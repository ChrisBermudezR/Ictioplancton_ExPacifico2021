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1E494047-308C-4285-BCE6-27C5A8CCBFCB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<sst xmlns="http://schemas.openxmlformats.org/spreadsheetml/2006/main" count="69" uniqueCount="68">
  <si>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</si>
  <si>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</si>
  <si>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</si>
  <si>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</si>
  <si>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</si>
  <si>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</si>
  <si>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</si>
  <si>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</si>
  <si>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</si>
  <si>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</si>
  <si>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</si>
  <si>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</si>
  <si>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</si>
  <si>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</si>
  <si>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</si>
  <si>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</si>
  <si>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</si>
  <si>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</si>
  <si>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</si>
  <si>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</si>
  <si>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</si>
  <si>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</si>
  <si>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</si>
  <si>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</si>
  <si>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</si>
  <si>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</si>
  <si>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</si>
  <si>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</si>
  <si>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</si>
  <si>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</si>
  <si>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</si>
  <si>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</si>
  <si>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</si>
  <si>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</si>
  <si>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</si>
  <si>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</si>
  <si>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</si>
  <si>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</si>
  <si>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</si>
  <si>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</si>
  <si>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</si>
  <si>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</si>
  <si>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</si>
  <si>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</si>
  <si>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</si>
  <si>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</si>
  <si>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</si>
  <si>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</si>
  <si>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</si>
  <si>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</si>
  <si>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</si>
  <si>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</si>
  <si>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</si>
  <si>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</si>
  <si>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</si>
  <si>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</si>
  <si>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</si>
  <si>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</si>
  <si>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</si>
  <si>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</si>
  <si>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</si>
  <si>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</si>
  <si>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Chaetognatha</t>
  </si>
  <si>
    <t>Mollusca (Creseis)</t>
  </si>
  <si>
    <t>Decapoda (Zoea)</t>
  </si>
  <si>
    <t>Brachiopoda (Lingula)</t>
  </si>
  <si>
    <t>SP-21-0238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</si>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</sst>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19BC7225-DF13-4955-A58A-A93ECFC9D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7AE43C9-33D7-46F5-B640-75ACA317A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C916BF70-5A22-4B9E-8A80-296193177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5257813F-254B-44E8-A66C-18E6F61C1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D79DC44F-5670-4008-B274-E9EBA4BE8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93178797-CB3D-4CCF-906B-F66A85408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67E91439-D6B1-4325-8C71-78101D744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83BB13AF-FCD9-44E1-97B0-1469FA44B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70CB944E-4882-4FD1-84E4-E2BD657CE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8534EF1F-F043-4D8D-B92C-31C607C92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F65FB649-BC59-43E8-88CC-A2E42A4A5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58FBE74A-93BF-4762-A823-D77232205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BC40BF3-59DD-4F15-A0E6-CD2868220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C2967781-50F8-42F6-903D-5A7ED85AE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15DF3730-3C1C-45CA-9AD3-E2D1C0EF1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4FA56317-77CA-43A6-89D2-DBB53CFC0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F7837CC0-E695-46ED-A763-B42FC4A95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47983519-E88D-42A2-9A0E-976A21A0C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49091BA0-46F7-4AD6-BB06-88BACA984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E575AC7E-00D9-4A55-88F8-A18280FBA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80393BD7-8DEC-4410-8286-69AEDA602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4364D187-A6D4-46DD-AE3C-57110BBAA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1EB4E26C-4E39-4AAE-B8A1-5CA7FF88C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60D3799-6EA9-49CC-9008-CB105BFFA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ABA8C2C1-5320-403F-A8E5-7CD346A02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51671334-2837-48A6-A140-BF197A5E9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9799EF2A-CBE8-4C74-9534-4731E2FFD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326589E8-1F8F-41E6-988D-AB644D7F1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983F3ACB-13D5-408B-A853-630E9F5EF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B27C33BD-3448-476F-822A-BDD01153B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BAEE0CFF-C6EB-4343-84B9-8061AE59D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D873A7D9-6985-489C-BA31-8C1DA29D1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9BB6138D-6693-4E28-8831-316F12427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692E6BA8-ED39-439F-BBB9-83C6E6466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9DDAD536-DB02-4E0D-979F-C9EC9AF45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9964A135-59DD-4EE6-804C-7CAD14937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F3A0867A-8795-426A-88D1-D9F3C8A2C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98DE6732-D17E-4928-A971-9F6822618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3963F2CA-BE2C-4153-87CB-810E9C24D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17298AA2-E980-442E-BC75-B54D78885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E808BAB-F646-4F37-A65A-42DB13FE6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EBE00FAE-2CC9-4C29-B5A1-6F133EBAD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807156BF-05F6-42C2-A500-A6F49D1AD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6727667D-DC14-4236-AA6B-70613B7BC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DB08E97C-558D-4416-A124-155B839B8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40D082D9-9AFF-49DB-A2FB-958E6BCCB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11943BDE-52F2-4756-B647-1AAA02967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7CC419BC-AC77-4DB5-A2FD-1CB2BB14C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E1B459D5-53D3-462C-A693-F1AA1328F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F699722D-CBB4-40C9-A59E-EB427D097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94404111-0FDE-4F2E-AB79-E0F9A9427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4101A726-687C-4AE8-ADFA-853B6BB88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6BF67656-06E7-4848-89FF-DBE886517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77005F44-8D28-40E7-8048-A42B2B22D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27BEE768-626F-4627-976C-75DEEA3A8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FAFA1DB3-E0D2-431F-911C-F1DF21BC0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EC2BE260-0AB0-4D58-85E7-4EF73398E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619A4B16-B358-4BCE-8AFD-B3C0AC473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E32E206B-F50D-4FEF-9510-544EC099E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A2DCFDC6-6FAA-49F9-9F1E-9304724DA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FF818719-F5F4-4BCA-BFD6-AF0A4AFBE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8268B9A-1DEB-496B-BB76-ABDFDD380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F7718E34-F251-4B7B-AF18-D2359C8F1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48524046-4D0E-4F88-87BF-7511BC9A8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EDA661BD-2840-41FC-AD6A-9F5CB9E14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5CAD2B9B-F342-4BE6-A5BC-FC0C245D4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98A7C610-6E8B-4159-9E71-ED7B81A21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65339960-FB10-4A52-9E57-3984833C1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2C1FB7D-015C-448A-8B9C-34ABA83FE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2E578629-325C-438B-9D8A-A9CBC2366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C713850-492D-4216-A5AA-4427F650F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4ADBD9A-8E3C-470B-8D6D-947D0BFBE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1D6560D3-EC8F-4CF7-BF38-F9B1ACE2C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6D63CEB9-FC3E-4E83-AD09-ADD2A15B5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6396E380-FB52-4DD4-9D37-5EA943F88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A55FA75A-9D82-4B5F-8C9D-7D35D61FC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F9F777B-2C53-4112-8814-42023BFA4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4B26D98C-E73A-40FD-B58D-AED2A3F14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BA141512-17FD-4D5C-9BA9-1B55D8A60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8C73AF48-C3E1-4B47-AEDF-9895A8EF4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A4E7A7DF-F4B6-4B8F-AA8A-EDAB2EA9D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C7D5CA42-3316-41F7-8256-43101E607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5DE04716-2C94-40BE-8FAC-49CD589F2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799565A1-A316-46B4-BF8A-621281C28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3647126E-31B9-4182-97B8-0727AF401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22DF5E97-0CD2-4B29-B3AC-F2CEAC217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3DA08CFF-ECB2-4A5F-842B-0349E5E60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7C9DC02D-566A-4DF9-8C36-3BE2CE1C3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1A67BEBC-0DC2-4230-8403-6C6EF3EBB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2AED0682-07D1-44DD-B1B4-7FA607A2D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C8757D30-022E-4F05-95F7-E2A3E2503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D3CE4510-404A-47F9-9737-DACD9BBD5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FE31044E-D7BF-4683-9384-BC4ED477C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3D44B0E8-38B5-4FA8-96AF-6C557796E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D5B15355-C2A6-4659-8498-F3232AA42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FC55B1F-6C61-455B-A291-A78E0678D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4E80887C-A073-4305-8F8C-30651AE91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DFC353C5-6420-4329-BDAD-662FDFD6F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E3C931C-B844-4B97-9A69-49F0DA48B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AFAC57E9-D22F-4042-BA2E-13B192CB9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DD84DA-B7E3-45EF-8F91-F1C7A8506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32AD7E97-012A-4EF0-9DE4-794312859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A093B82A-12C2-4892-B7B1-63AEBCD71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33F5BA90-14DE-474C-BC3E-AEF0816D6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610E7B76-D177-4A3D-9F4E-3BD851A4E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7337D7B1-F40A-4EBD-883C-640AB6AAD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603F6698-BA38-4D10-8B32-01369AA82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12EA6667-B752-4428-A3F9-8276FCBE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C3FCE1B2-E6D2-4454-B468-EF9D34BFD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378EA2F8-EFD1-4FE1-B0F1-FC891B907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F033F8BA-57F0-4542-9028-1703F2037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FE3DC42-0479-4413-9B77-96718F747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5472CC9E-21D1-479A-8E02-7A80DEDF2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F2063BFA-E19D-40EA-8EA8-D2C398AF8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E25B25F0-8FBF-46D3-8E81-5D2F3988D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ABA66F2A-34DB-46CE-B7E3-7353BA5A6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8AD8C7D2-4CD4-410B-AAB5-C120D6B54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944BC93F-2145-4DEA-BE28-8E67E7C0E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B87B4595-FA71-4B06-8C34-4CFF2A545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ABA89DFD-C646-405D-A9E3-F1225D602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B5989E75-6AAE-49EA-907D-BA10870B3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14749B19-6B1E-4A5D-B0A1-8E3311F8F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E9E456E9-A0C5-4D0D-BEC9-AEF70F6B8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E53E8728-1A13-4803-83C7-5FAFFC3C6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E8A03FBA-6414-43F2-944D-F36FDA1B4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A163B8B4-2026-45DC-B728-A9FD0A8F6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60DA4CCD-31C2-45B4-853F-EA5004907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9D80FFA2-F306-4BBC-98F4-75BDFD9A1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A1E832DD-885B-4A74-A050-EAEA81B68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94E19677-1332-4C11-A010-688EA2386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FCBBE37F-7E1B-45CB-9BBB-C531C4FA9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4E144B83-88D2-43F4-95A9-BE3B1C32E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89E7D9AA-F9C0-4CA4-88D4-8BB6FB795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8F9B8C59-4ED0-4186-95D3-B6AE2AF31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972814F5-260A-41DD-83AB-253D079F4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5233A958-8D06-4C71-8839-1E5837CD5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341FF723-031F-4927-B986-2AF3FF07C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1284D950-1637-49CF-AB45-5E23674A5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E0D15926-BD45-4090-84C7-BFCBA368A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6C520F3E-35CA-4317-B786-A31A2333B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7EE27096-8C39-42BA-B40B-6397A024E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6CF57353-912B-4736-BDB4-001BE1109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9A30D7CE-09E2-4A2F-B277-2359DC09C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E64BBB8-A6ED-4D64-87C9-0E49AA72E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93F29BB6-86A9-4081-9218-94B75A342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8B7D4B10-D86A-4C39-A759-2A958692F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833CDC4A-12F3-481E-B62E-8B2B57506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E0D352EA-1DCA-4208-AEE2-87935C72F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F487FC65-FB4F-4D95-A1C6-6B93B206D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64EB3E25-CA86-4E2F-986A-91535976B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8E459ED-ABA1-4737-B1E8-4DD34F7FD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C1D37F0A-E8D1-43E3-B217-1B3B6E4FC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68AECD2F-21A3-4113-BAC6-72F8DBD0D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73EA016B-5B56-4FC4-938A-2786720AA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9D2567A8-3720-410E-9694-91DF2C49D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4333CBE7-46BC-42A9-89D8-231F578B0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5C96CC8F-9BD6-435B-9B93-8991A98E3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D00979E0-4C9F-45EB-95FB-87EAD8CEC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EC37DCE8-AE41-4F75-8EC9-F4A38F355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535A563A-54AB-46ED-A874-AFB0F22B9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28F99EFF-DD15-45B6-9362-6C6EF44B3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E727AB71-6C6D-4803-8CFC-E47B0F221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84" name="Button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6325EF11-1910-412E-9082-802F15021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85" name="Button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B1B1B84E-9B45-456C-BDE9-6AFA6D8D4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86" name="Button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CAFAE21A-7E61-4237-AE8E-5BD823E1C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87" name="Button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46947C91-654A-498D-8407-02C34B551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488" name="Button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873AE5E-AEA2-4BD9-BD1E-A7B8F15B6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89" name="Button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2268A8A4-9147-4153-A206-3E11C2C29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90" name="Button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3EBCCD85-B0BC-489E-87A5-627E807D6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91" name="Button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6113D9F1-52B4-476A-BB94-44BC296DF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92" name="Button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81F54D6E-8D82-4C36-A118-A62A95943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93" name="Button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D22440BC-1342-4A27-9F0E-2280B7717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494" name="Button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A24554BF-F0E1-4A3F-B1C9-CC36BA51E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95" name="Button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1B83B9B4-894D-4B04-A9DC-E185A1650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96" name="Button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FD4E98A6-4258-49BC-9CB8-22ECF4AC7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97" name="Button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46631076-F92F-4762-BF1F-B579379CE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98" name="Button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42AD31E8-3B00-4C7E-BBA7-4854E8802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99" name="Button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4880071E-D662-4F7C-BEF4-88E866749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00" name="Button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FEBEA51C-850A-4D47-8FC5-611A2ABF3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01" name="Button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13D1B2C7-C505-4EE0-8354-CED70F669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502" name="Button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B1E2EFF9-492B-43FD-A58F-A0D27CDE2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503" name="Button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DA15FEB3-5853-4E0B-84AC-6F42CD24C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04" name="Button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288E070F-E29F-4954-A929-880D6F53F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05" name="Button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FA1AC90F-CC42-4208-B116-CE5F569C7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06" name="Button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A1B01F7D-8C79-4B5B-A048-C78CF211F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07" name="Button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1110807A-A0A9-463B-B340-A75B6564F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08" name="Button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DACD6E10-BDE7-437A-83BF-E0965D8A9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509" name="Button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9C47F76F-3B19-4268-9B76-BB45A802E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510" name="Button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8BDB565B-27FF-4C81-B897-A409DC05D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511" name="Button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BDE8B038-1406-4B1A-BFF6-7233B4AF3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512" name="Button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CE2CC325-AD7C-42DA-98E3-FA4B20BC8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513" name="Button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F15F5A39-06D1-4AC3-8A6C-9330A516E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514" name="Button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554DBEBD-C75A-4AAC-BAE5-F21029A48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15" name="Button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B984BF74-C489-4B49-AE54-9602C1E79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516" name="Button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4A7C1743-8CD9-4934-80D9-C0173E8FC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517" name="Button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B562B3BE-8A48-414F-9E5C-4B17CEE90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18" name="Button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769B29F5-40C8-4195-AB04-652B36C19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19" name="Button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3BEB6BE9-7837-48DC-9221-B2C9F8160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20" name="Button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B7A11D88-34C6-49A4-853A-B7B3635B8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21" name="Button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44A93AC7-D0B9-4C55-B736-C1E9927E8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22" name="Button 474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D4BAFA8C-70F6-4F94-82B4-02C34AA51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23" name="Button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7BBE6BD9-E846-42B7-9042-AA0EE1385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24" name="Button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5992A439-D144-4EBF-A9C5-09CAE4B0F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25" name="Button 477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7FCE3409-9D87-4501-91BA-D273EB5A1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26" name="Button 478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8A0B47A5-3402-4FAC-8618-B47D20B21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527" name="Button 479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C80C1F97-1200-4AEC-9B23-CDFFBE664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528" name="Button 480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51F8EA14-7832-4819-B4B9-54DA23740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529" name="Button 481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65BBD754-FFA6-4686-97B7-E4FAA7C24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30" name="Button 482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55DC554C-1BAA-486D-AF39-3B87C49BC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531" name="Button 483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4F0B049D-D21E-4E0E-9CD3-1604F4A69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32" name="Button 484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E41F74E3-5D31-403D-B8A6-60A2AA39B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33" name="Button 485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0908D212-2169-44B6-AEBF-4CCFA1548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34" name="Button 486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B34CC39C-1D7E-4435-8E57-914A952F9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35" name="Button 487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854B0012-A398-47A4-B1AA-B007E963D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36" name="Button 488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D3469AE7-B204-4E51-8680-56D1AB4B4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37" name="Button 489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1CABBA4A-1818-4F0A-BA71-EB2C2B062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38" name="Button 490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70947B14-C31E-4916-85A6-661A0D825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39" name="Button 491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D08AD9CC-2D9C-4BDD-8B22-AE3B5222B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540" name="Button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F05B2513-992F-4C2E-8B5A-A2E2A4F99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541" name="Button 493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B039BBF7-32AF-4475-9B92-24B49360A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542" name="Button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4DEDC3EB-CD27-447D-91F3-6C3AAD177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543" name="Button 495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BA1CC5EA-2DAC-471F-8FFE-57C94F869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544" name="Button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2BC8BD41-37BA-40DB-89B8-EE0D841A0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545" name="Button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A6A51A5E-ED95-4B27-8C82-74F129445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546" name="Button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5E512D10-B055-4028-B0A3-370C7E621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453" Type="http://schemas.openxmlformats.org/officeDocument/2006/relationships/ctrlProp" Target="../ctrlProps/ctrlProp450.xml"/><Relationship Id="rId474" Type="http://schemas.openxmlformats.org/officeDocument/2006/relationships/ctrlProp" Target="../ctrlProps/ctrlProp471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443" Type="http://schemas.openxmlformats.org/officeDocument/2006/relationships/ctrlProp" Target="../ctrlProps/ctrlProp440.xml"/><Relationship Id="rId464" Type="http://schemas.openxmlformats.org/officeDocument/2006/relationships/ctrlProp" Target="../ctrlProps/ctrlProp461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E23" sqref="E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6"/>
      <c r="B1" s="6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86"/>
      <c r="B2" s="6"/>
      <c r="I2" s="87" t="s">
        <v>32</v>
      </c>
      <c r="J2" s="88"/>
      <c r="K2" s="88"/>
      <c r="L2" s="88"/>
      <c r="M2" s="88"/>
      <c r="N2" s="88"/>
      <c r="O2" s="88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1" t="s">
        <v>1</v>
      </c>
      <c r="B4" s="91"/>
      <c r="C4" s="91"/>
      <c r="D4" s="91"/>
      <c r="E4" s="91"/>
      <c r="F4" s="94"/>
      <c r="G4" s="89" t="s">
        <v>67</v>
      </c>
      <c r="H4" s="89"/>
      <c r="I4" s="89"/>
      <c r="J4" s="89"/>
      <c r="K4" s="89"/>
      <c r="L4" s="89"/>
      <c r="M4" s="89"/>
      <c r="N4" s="90" t="s">
        <v>11</v>
      </c>
      <c r="O4" s="90"/>
      <c r="P4" s="90"/>
      <c r="Q4" s="90"/>
      <c r="R4" s="90"/>
      <c r="S4" s="90"/>
      <c r="T4" s="90"/>
      <c r="U4" s="105" t="s">
        <v>54</v>
      </c>
      <c r="V4" s="106"/>
      <c r="W4" s="106"/>
      <c r="X4" s="106"/>
      <c r="Y4" s="106"/>
      <c r="Z4" s="106"/>
      <c r="AA4" s="106"/>
      <c r="AB4" s="107"/>
      <c r="AC4" s="3"/>
    </row>
    <row r="5" spans="1:29" ht="24" customHeight="1" x14ac:dyDescent="0.2">
      <c r="A5" s="91" t="s">
        <v>5</v>
      </c>
      <c r="B5" s="91"/>
      <c r="C5" s="91"/>
      <c r="D5" s="91"/>
      <c r="E5" s="91"/>
      <c r="F5" s="94"/>
      <c r="G5" s="75" t="s">
        <v>38</v>
      </c>
      <c r="H5" s="75"/>
      <c r="I5" s="75"/>
      <c r="J5" s="75"/>
      <c r="K5" s="75"/>
      <c r="L5" s="75"/>
      <c r="M5" s="75"/>
      <c r="N5" s="91" t="s">
        <v>9</v>
      </c>
      <c r="O5" s="91"/>
      <c r="P5" s="91"/>
      <c r="Q5" s="91"/>
      <c r="R5" s="91"/>
      <c r="S5" s="91"/>
      <c r="T5" s="91"/>
      <c r="U5" s="97">
        <v>44502</v>
      </c>
      <c r="V5" s="98"/>
      <c r="W5" s="99"/>
      <c r="X5" s="24" t="s">
        <v>30</v>
      </c>
      <c r="Y5" s="100">
        <v>0.64583333333333337</v>
      </c>
      <c r="Z5" s="101"/>
      <c r="AA5" s="101"/>
      <c r="AB5" s="101"/>
    </row>
    <row r="6" spans="1:29" ht="24" customHeight="1" x14ac:dyDescent="0.2">
      <c r="A6" s="95" t="s">
        <v>7</v>
      </c>
      <c r="B6" s="95"/>
      <c r="C6" s="95"/>
      <c r="D6" s="95"/>
      <c r="E6" s="95"/>
      <c r="F6" s="96"/>
      <c r="G6" s="75" t="s">
        <v>41</v>
      </c>
      <c r="H6" s="75"/>
      <c r="I6" s="75"/>
      <c r="J6" s="75"/>
      <c r="K6" s="75"/>
      <c r="L6" s="75"/>
      <c r="M6" s="75"/>
      <c r="N6" s="102" t="s">
        <v>0</v>
      </c>
      <c r="O6" s="102"/>
      <c r="P6" s="102"/>
      <c r="Q6" s="102"/>
      <c r="R6" s="102"/>
      <c r="S6" s="102"/>
      <c r="T6" s="102"/>
      <c r="U6" s="97">
        <v>44502</v>
      </c>
      <c r="V6" s="98"/>
      <c r="W6" s="99"/>
      <c r="X6" s="24" t="s">
        <v>30</v>
      </c>
      <c r="Y6" s="100">
        <v>0.80902777777777779</v>
      </c>
      <c r="Z6" s="101"/>
      <c r="AA6" s="101"/>
      <c r="AB6" s="101"/>
    </row>
    <row r="7" spans="1:29" ht="24" customHeight="1" x14ac:dyDescent="0.2">
      <c r="A7" s="91" t="s">
        <v>10</v>
      </c>
      <c r="B7" s="91"/>
      <c r="C7" s="91"/>
      <c r="D7" s="91"/>
      <c r="E7" s="91"/>
      <c r="F7" s="94"/>
      <c r="G7" s="75" t="s">
        <v>42</v>
      </c>
      <c r="H7" s="75"/>
      <c r="I7" s="75"/>
      <c r="J7" s="75"/>
      <c r="K7" s="75"/>
      <c r="L7" s="75"/>
      <c r="M7" s="75"/>
      <c r="N7" s="108" t="s">
        <v>35</v>
      </c>
      <c r="O7" s="108"/>
      <c r="P7" s="108"/>
      <c r="Q7" s="108"/>
      <c r="R7" s="108"/>
      <c r="S7" s="108"/>
      <c r="T7" s="108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95" t="s">
        <v>2</v>
      </c>
      <c r="B8" s="95"/>
      <c r="C8" s="95"/>
      <c r="D8" s="95"/>
      <c r="E8" s="95"/>
      <c r="F8" s="96"/>
      <c r="G8" s="75">
        <v>20065667</v>
      </c>
      <c r="H8" s="75"/>
      <c r="I8" s="75"/>
      <c r="J8" s="75"/>
      <c r="K8" s="75"/>
      <c r="L8" s="75"/>
      <c r="M8" s="75"/>
      <c r="N8" s="108" t="s">
        <v>4</v>
      </c>
      <c r="O8" s="108"/>
      <c r="P8" s="108"/>
      <c r="Q8" s="108"/>
      <c r="R8" s="108"/>
      <c r="S8" s="108"/>
      <c r="T8" s="108"/>
      <c r="U8" s="109" t="s">
        <v>39</v>
      </c>
      <c r="V8" s="109"/>
      <c r="W8" s="109"/>
      <c r="X8" s="109"/>
      <c r="Y8" s="109"/>
      <c r="Z8" s="109"/>
      <c r="AA8" s="109"/>
      <c r="AB8" s="109"/>
    </row>
    <row r="9" spans="1:29" ht="24" customHeight="1" x14ac:dyDescent="0.2">
      <c r="A9" s="95" t="s">
        <v>6</v>
      </c>
      <c r="B9" s="95"/>
      <c r="C9" s="95"/>
      <c r="D9" s="95"/>
      <c r="E9" s="95"/>
      <c r="F9" s="96"/>
      <c r="G9" s="103" t="s">
        <v>43</v>
      </c>
      <c r="H9" s="103"/>
      <c r="I9" s="103"/>
      <c r="J9" s="103"/>
      <c r="K9" s="103"/>
      <c r="L9" s="103"/>
      <c r="M9" s="103"/>
      <c r="N9" s="108" t="s">
        <v>31</v>
      </c>
      <c r="O9" s="108"/>
      <c r="P9" s="108"/>
      <c r="Q9" s="108"/>
      <c r="R9" s="108"/>
      <c r="S9" s="108"/>
      <c r="T9" s="108"/>
      <c r="U9" s="104" t="s">
        <v>66</v>
      </c>
      <c r="V9" s="104"/>
      <c r="W9" s="104"/>
      <c r="X9" s="104"/>
      <c r="Y9" s="104"/>
      <c r="Z9" s="104"/>
      <c r="AA9" s="104"/>
      <c r="AB9" s="104"/>
    </row>
    <row r="10" spans="1:29" ht="6" customHeight="1" x14ac:dyDescent="0.2">
      <c r="U10" s="8"/>
      <c r="V10" s="8"/>
      <c r="W10" s="8"/>
    </row>
    <row r="11" spans="1:29" ht="23.25" customHeight="1" x14ac:dyDescent="0.2">
      <c r="A11" s="110" t="s">
        <v>8</v>
      </c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9"/>
      <c r="N11" s="108" t="s">
        <v>12</v>
      </c>
      <c r="O11" s="108"/>
      <c r="P11" s="108"/>
      <c r="Q11" s="108"/>
      <c r="R11" s="108"/>
      <c r="S11" s="75"/>
      <c r="T11" s="75"/>
      <c r="U11" s="108" t="s">
        <v>13</v>
      </c>
      <c r="V11" s="108"/>
      <c r="W11" s="108"/>
      <c r="X11" s="108"/>
      <c r="Y11" s="108"/>
      <c r="Z11" s="108"/>
      <c r="AA11" s="105"/>
      <c r="AB11" s="107"/>
    </row>
    <row r="12" spans="1:29" ht="6" customHeight="1" x14ac:dyDescent="0.2"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</row>
    <row r="13" spans="1:29" ht="36" customHeight="1" x14ac:dyDescent="0.2">
      <c r="A13" s="47" t="s">
        <v>36</v>
      </c>
      <c r="B13" s="80"/>
      <c r="C13" s="80"/>
      <c r="D13" s="80"/>
      <c r="E13" s="80"/>
      <c r="F13" s="25" t="s">
        <v>37</v>
      </c>
      <c r="G13" s="70" t="s">
        <v>14</v>
      </c>
      <c r="H13" s="70"/>
      <c r="I13" s="70"/>
      <c r="J13" s="85">
        <v>7.9042252021252022</v>
      </c>
      <c r="K13" s="85">
        <v>33.17347386232386</v>
      </c>
      <c r="L13" s="70" t="s">
        <v>15</v>
      </c>
      <c r="M13" s="70"/>
      <c r="N13" s="70"/>
      <c r="O13" s="105">
        <v>40</v>
      </c>
      <c r="P13" s="106"/>
      <c r="Q13" s="107"/>
      <c r="R13" s="70" t="s">
        <v>16</v>
      </c>
      <c r="S13" s="70"/>
      <c r="T13" s="70"/>
      <c r="U13" s="75">
        <v>5</v>
      </c>
      <c r="V13" s="75"/>
      <c r="W13" s="70" t="s">
        <v>17</v>
      </c>
      <c r="X13" s="70"/>
      <c r="Y13" s="70"/>
      <c r="Z13" s="70"/>
      <c r="AA13" s="75">
        <v>5</v>
      </c>
      <c r="AB13" s="75"/>
    </row>
    <row r="14" spans="1:29" ht="27" customHeight="1" x14ac:dyDescent="0.2">
      <c r="A14" s="80" t="s">
        <v>3</v>
      </c>
      <c r="B14" s="80"/>
      <c r="C14" s="80"/>
      <c r="D14" s="80"/>
      <c r="E14" s="80"/>
      <c r="F14" s="25"/>
      <c r="G14" s="70" t="s">
        <v>18</v>
      </c>
      <c r="H14" s="70"/>
      <c r="I14" s="70"/>
      <c r="J14" s="70"/>
      <c r="K14" s="70"/>
      <c r="L14" s="70"/>
      <c r="M14" s="77"/>
      <c r="N14" s="78"/>
      <c r="O14" s="78"/>
      <c r="P14" s="78"/>
      <c r="Q14" s="79"/>
      <c r="R14" s="70" t="s">
        <v>19</v>
      </c>
      <c r="S14" s="70"/>
      <c r="T14" s="70"/>
      <c r="U14" s="70"/>
      <c r="V14" s="70"/>
      <c r="W14" s="71" t="s">
        <v>55</v>
      </c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81" t="s">
        <v>21</v>
      </c>
      <c r="H17" s="81"/>
      <c r="I17" s="81"/>
      <c r="J17" s="81" t="s">
        <v>23</v>
      </c>
      <c r="K17" s="81"/>
      <c r="L17" s="81"/>
      <c r="M17" s="81" t="s">
        <v>24</v>
      </c>
      <c r="N17" s="81"/>
      <c r="O17" s="81"/>
      <c r="P17" s="81" t="s">
        <v>22</v>
      </c>
      <c r="Q17" s="81"/>
      <c r="R17" s="81"/>
      <c r="S17" s="81"/>
      <c r="T17" s="81" t="s">
        <v>25</v>
      </c>
      <c r="U17" s="81"/>
      <c r="V17" s="81"/>
      <c r="W17" s="81" t="s">
        <v>26</v>
      </c>
      <c r="X17" s="81"/>
      <c r="Y17" s="81"/>
      <c r="Z17" s="81" t="s">
        <v>27</v>
      </c>
      <c r="AA17" s="81"/>
      <c r="AB17" s="81"/>
    </row>
    <row r="18" spans="1:28" ht="15" customHeight="1" x14ac:dyDescent="0.2">
      <c r="A18" s="69" t="s">
        <v>56</v>
      </c>
      <c r="B18" s="69"/>
      <c r="C18" s="69"/>
      <c r="D18" s="69"/>
      <c r="E18" s="69"/>
      <c r="F18" s="69"/>
      <c r="G18" s="16">
        <v>-5</v>
      </c>
      <c r="H18" s="16">
        <v>16</v>
      </c>
      <c r="I18" s="16"/>
      <c r="J18" s="52"/>
      <c r="K18" s="53"/>
      <c r="L18" s="54"/>
      <c r="M18" s="16"/>
      <c r="N18" s="16">
        <v>0</v>
      </c>
      <c r="O18" s="16"/>
      <c r="P18" s="55"/>
      <c r="Q18" s="55"/>
      <c r="R18" s="55"/>
      <c r="S18" s="55"/>
      <c r="T18" s="17"/>
      <c r="U18" s="16">
        <v>0</v>
      </c>
      <c r="V18" s="17"/>
      <c r="W18" s="55"/>
      <c r="X18" s="55"/>
      <c r="Y18" s="55"/>
      <c r="Z18" s="17"/>
      <c r="AA18" s="16">
        <v>0</v>
      </c>
      <c r="AB18" s="17"/>
    </row>
    <row r="19" spans="1:28" ht="15" customHeight="1" x14ac:dyDescent="0.2">
      <c r="A19" s="37" t="s">
        <v>57</v>
      </c>
      <c r="B19" s="38"/>
      <c r="C19" s="38"/>
      <c r="D19" s="38"/>
      <c r="E19" s="38"/>
      <c r="F19" s="39"/>
      <c r="G19" s="16"/>
      <c r="H19" s="32">
        <v>164</v>
      </c>
      <c r="I19" s="16"/>
      <c r="J19" s="52"/>
      <c r="K19" s="53"/>
      <c r="L19" s="54"/>
      <c r="M19" s="16"/>
      <c r="N19" s="16">
        <v>0</v>
      </c>
      <c r="O19" s="16"/>
      <c r="P19" s="55"/>
      <c r="Q19" s="55"/>
      <c r="R19" s="55"/>
      <c r="S19" s="55"/>
      <c r="T19" s="17"/>
      <c r="U19" s="16">
        <v>0</v>
      </c>
      <c r="V19" s="17"/>
      <c r="W19" s="55"/>
      <c r="X19" s="55"/>
      <c r="Y19" s="55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16">
        <v>234</v>
      </c>
      <c r="I20" s="16"/>
      <c r="J20" s="52"/>
      <c r="K20" s="53"/>
      <c r="L20" s="54"/>
      <c r="M20" s="16"/>
      <c r="N20" s="16">
        <v>0</v>
      </c>
      <c r="O20" s="16"/>
      <c r="P20" s="55"/>
      <c r="Q20" s="55"/>
      <c r="R20" s="55"/>
      <c r="S20" s="55"/>
      <c r="T20" s="17"/>
      <c r="U20" s="16">
        <v>0</v>
      </c>
      <c r="V20" s="17"/>
      <c r="W20" s="55"/>
      <c r="X20" s="55"/>
      <c r="Y20" s="55"/>
      <c r="Z20" s="18"/>
      <c r="AA20" s="16">
        <v>0</v>
      </c>
      <c r="AB20" s="17"/>
    </row>
    <row r="21" spans="1:28" ht="15" customHeight="1" x14ac:dyDescent="0.2">
      <c r="A21" s="37" t="s">
        <v>64</v>
      </c>
      <c r="B21" s="38"/>
      <c r="C21" s="38"/>
      <c r="D21" s="38"/>
      <c r="E21" s="38"/>
      <c r="F21" s="39"/>
      <c r="G21" s="16"/>
      <c r="H21" s="16">
        <v>8</v>
      </c>
      <c r="I21" s="16"/>
      <c r="J21" s="52"/>
      <c r="K21" s="53"/>
      <c r="L21" s="54"/>
      <c r="M21" s="16"/>
      <c r="N21" s="16">
        <v>0</v>
      </c>
      <c r="O21" s="16"/>
      <c r="P21" s="55"/>
      <c r="Q21" s="55"/>
      <c r="R21" s="55"/>
      <c r="S21" s="55"/>
      <c r="T21" s="17"/>
      <c r="U21" s="16">
        <v>0</v>
      </c>
      <c r="V21" s="17"/>
      <c r="W21" s="57"/>
      <c r="X21" s="57"/>
      <c r="Y21" s="57"/>
      <c r="Z21" s="17"/>
      <c r="AA21" s="16">
        <v>0</v>
      </c>
      <c r="AB21" s="17"/>
    </row>
    <row r="22" spans="1:28" ht="15" customHeight="1" x14ac:dyDescent="0.2">
      <c r="A22" s="37" t="s">
        <v>62</v>
      </c>
      <c r="B22" s="38"/>
      <c r="C22" s="38"/>
      <c r="D22" s="38"/>
      <c r="E22" s="38"/>
      <c r="F22" s="39"/>
      <c r="G22" s="16"/>
      <c r="H22" s="16">
        <v>7</v>
      </c>
      <c r="I22" s="16"/>
      <c r="J22" s="52"/>
      <c r="K22" s="53"/>
      <c r="L22" s="54"/>
      <c r="M22" s="16"/>
      <c r="N22" s="16">
        <v>0</v>
      </c>
      <c r="O22" s="16"/>
      <c r="P22" s="55"/>
      <c r="Q22" s="55"/>
      <c r="R22" s="55"/>
      <c r="S22" s="55"/>
      <c r="T22" s="17"/>
      <c r="U22" s="32">
        <v>0</v>
      </c>
      <c r="V22" s="17"/>
      <c r="W22" s="57"/>
      <c r="X22" s="57"/>
      <c r="Y22" s="57"/>
      <c r="Z22" s="17"/>
      <c r="AA22" s="16">
        <v>0</v>
      </c>
      <c r="AB22" s="17"/>
    </row>
    <row r="23" spans="1:28" ht="15" customHeight="1" x14ac:dyDescent="0.2">
      <c r="A23" s="37" t="s">
        <v>59</v>
      </c>
      <c r="B23" s="38"/>
      <c r="C23" s="38"/>
      <c r="D23" s="38"/>
      <c r="E23" s="38"/>
      <c r="F23" s="39"/>
      <c r="G23" s="16"/>
      <c r="H23" s="16">
        <v>3</v>
      </c>
      <c r="I23" s="16"/>
      <c r="J23" s="52"/>
      <c r="K23" s="53"/>
      <c r="L23" s="54"/>
      <c r="M23" s="16"/>
      <c r="N23" s="16">
        <v>0</v>
      </c>
      <c r="O23" s="16"/>
      <c r="P23" s="68"/>
      <c r="Q23" s="68"/>
      <c r="R23" s="68"/>
      <c r="S23" s="68"/>
      <c r="T23" s="17"/>
      <c r="U23" s="16">
        <v>0</v>
      </c>
      <c r="V23" s="17"/>
      <c r="W23" s="57"/>
      <c r="X23" s="57"/>
      <c r="Y23" s="57"/>
      <c r="Z23" s="17"/>
      <c r="AA23" s="16">
        <v>0</v>
      </c>
      <c r="AB23" s="17"/>
    </row>
    <row r="24" spans="1:28" ht="15" customHeight="1" x14ac:dyDescent="0.2">
      <c r="A24" s="37" t="s">
        <v>60</v>
      </c>
      <c r="B24" s="38"/>
      <c r="C24" s="38"/>
      <c r="D24" s="38"/>
      <c r="E24" s="38"/>
      <c r="F24" s="39"/>
      <c r="G24" s="16"/>
      <c r="H24" s="16">
        <v>56</v>
      </c>
      <c r="I24" s="16"/>
      <c r="J24" s="52"/>
      <c r="K24" s="53"/>
      <c r="L24" s="54"/>
      <c r="M24" s="16"/>
      <c r="N24" s="16">
        <v>0</v>
      </c>
      <c r="O24" s="16"/>
      <c r="P24" s="68"/>
      <c r="Q24" s="68"/>
      <c r="R24" s="68"/>
      <c r="S24" s="68"/>
      <c r="T24" s="17"/>
      <c r="U24" s="16">
        <v>0</v>
      </c>
      <c r="V24" s="17"/>
      <c r="W24" s="57"/>
      <c r="X24" s="57"/>
      <c r="Y24" s="57"/>
      <c r="Z24" s="17"/>
      <c r="AA24" s="16">
        <v>0</v>
      </c>
      <c r="AB24" s="17"/>
    </row>
    <row r="25" spans="1:28" ht="15" customHeight="1" x14ac:dyDescent="0.2">
      <c r="A25" s="37" t="s">
        <v>61</v>
      </c>
      <c r="B25" s="38"/>
      <c r="C25" s="38"/>
      <c r="D25" s="38"/>
      <c r="E25" s="38"/>
      <c r="F25" s="39"/>
      <c r="G25" s="16"/>
      <c r="H25" s="16">
        <v>16</v>
      </c>
      <c r="I25" s="16"/>
      <c r="J25" s="72"/>
      <c r="K25" s="73"/>
      <c r="L25" s="74"/>
      <c r="M25" s="16"/>
      <c r="N25" s="16">
        <v>0</v>
      </c>
      <c r="O25" s="16"/>
      <c r="P25" s="68"/>
      <c r="Q25" s="68"/>
      <c r="R25" s="68"/>
      <c r="S25" s="68"/>
      <c r="T25" s="17"/>
      <c r="U25" s="16">
        <v>0</v>
      </c>
      <c r="V25" s="17"/>
      <c r="W25" s="57"/>
      <c r="X25" s="57"/>
      <c r="Y25" s="57"/>
      <c r="Z25" s="17"/>
      <c r="AA25" s="16">
        <v>0</v>
      </c>
      <c r="AB25" s="17"/>
    </row>
    <row r="26" spans="1:28" ht="15" customHeight="1" x14ac:dyDescent="0.2">
      <c r="A26" s="37" t="s">
        <v>65</v>
      </c>
      <c r="B26" s="38"/>
      <c r="C26" s="38"/>
      <c r="D26" s="38"/>
      <c r="E26" s="38"/>
      <c r="F26" s="39"/>
      <c r="G26" s="16"/>
      <c r="H26" s="16">
        <v>4</v>
      </c>
      <c r="I26" s="16"/>
      <c r="J26" s="72"/>
      <c r="K26" s="73"/>
      <c r="L26" s="74"/>
      <c r="M26" s="16"/>
      <c r="N26" s="16">
        <v>0</v>
      </c>
      <c r="O26" s="16"/>
      <c r="P26" s="68"/>
      <c r="Q26" s="68"/>
      <c r="R26" s="68"/>
      <c r="S26" s="68"/>
      <c r="T26" s="17"/>
      <c r="U26" s="16">
        <v>0</v>
      </c>
      <c r="V26" s="17"/>
      <c r="W26" s="57"/>
      <c r="X26" s="57"/>
      <c r="Y26" s="57"/>
      <c r="Z26" s="17"/>
      <c r="AA26" s="16">
        <v>0</v>
      </c>
      <c r="AB26" s="17"/>
    </row>
    <row r="27" spans="1:28" ht="15" customHeight="1" x14ac:dyDescent="0.2">
      <c r="A27" s="40" t="s">
        <v>63</v>
      </c>
      <c r="B27" s="41"/>
      <c r="C27" s="41"/>
      <c r="D27" s="41"/>
      <c r="E27" s="41"/>
      <c r="F27" s="42"/>
      <c r="G27" s="16"/>
      <c r="H27" s="16">
        <v>4</v>
      </c>
      <c r="I27" s="16"/>
      <c r="J27" s="52"/>
      <c r="K27" s="53"/>
      <c r="L27" s="54"/>
      <c r="M27" s="16"/>
      <c r="N27" s="16">
        <v>0</v>
      </c>
      <c r="O27" s="16"/>
      <c r="P27" s="68"/>
      <c r="Q27" s="68"/>
      <c r="R27" s="68"/>
      <c r="S27" s="68"/>
      <c r="T27" s="17"/>
      <c r="U27" s="16">
        <v>0</v>
      </c>
      <c r="V27" s="17"/>
      <c r="W27" s="57"/>
      <c r="X27" s="57"/>
      <c r="Y27" s="57"/>
      <c r="Z27" s="17"/>
      <c r="AA27" s="16">
        <v>0</v>
      </c>
      <c r="AB27" s="17"/>
    </row>
    <row r="28" spans="1:28" ht="15" customHeight="1" x14ac:dyDescent="0.2">
      <c r="A28" s="40"/>
      <c r="B28" s="41"/>
      <c r="C28" s="41"/>
      <c r="D28" s="41"/>
      <c r="E28" s="41"/>
      <c r="F28" s="42"/>
      <c r="G28" s="16"/>
      <c r="H28" s="16"/>
      <c r="I28" s="16"/>
      <c r="J28" s="52"/>
      <c r="K28" s="53"/>
      <c r="L28" s="54"/>
      <c r="M28" s="16"/>
      <c r="N28" s="16">
        <v>0</v>
      </c>
      <c r="O28" s="16"/>
      <c r="P28" s="68"/>
      <c r="Q28" s="68"/>
      <c r="R28" s="68"/>
      <c r="S28" s="68"/>
      <c r="T28" s="17"/>
      <c r="U28" s="16">
        <v>0</v>
      </c>
      <c r="V28" s="17"/>
      <c r="W28" s="57"/>
      <c r="X28" s="57"/>
      <c r="Y28" s="57"/>
      <c r="Z28" s="17"/>
      <c r="AA28" s="16">
        <v>0</v>
      </c>
      <c r="AB28" s="17"/>
    </row>
    <row r="29" spans="1:28" ht="15" customHeight="1" x14ac:dyDescent="0.2">
      <c r="A29" s="40"/>
      <c r="B29" s="41"/>
      <c r="C29" s="41"/>
      <c r="D29" s="41"/>
      <c r="E29" s="41"/>
      <c r="F29" s="42"/>
      <c r="G29" s="16"/>
      <c r="H29" s="16"/>
      <c r="I29" s="16"/>
      <c r="J29" s="52"/>
      <c r="K29" s="53"/>
      <c r="L29" s="54"/>
      <c r="M29" s="16"/>
      <c r="N29" s="16">
        <v>0</v>
      </c>
      <c r="O29" s="16"/>
      <c r="P29" s="68"/>
      <c r="Q29" s="68"/>
      <c r="R29" s="68"/>
      <c r="S29" s="68"/>
      <c r="T29" s="17"/>
      <c r="U29" s="16">
        <v>0</v>
      </c>
      <c r="V29" s="17"/>
      <c r="W29" s="57"/>
      <c r="X29" s="57"/>
      <c r="Y29" s="57"/>
      <c r="Z29" s="17"/>
      <c r="AA29" s="16">
        <v>0</v>
      </c>
      <c r="AB29" s="17"/>
    </row>
    <row r="30" spans="1:28" ht="15" customHeight="1" x14ac:dyDescent="0.2">
      <c r="A30" s="40"/>
      <c r="B30" s="41"/>
      <c r="C30" s="41"/>
      <c r="D30" s="41"/>
      <c r="E30" s="41"/>
      <c r="F30" s="42"/>
      <c r="G30" s="16"/>
      <c r="H30" s="16"/>
      <c r="I30" s="16"/>
      <c r="J30" s="52"/>
      <c r="K30" s="53"/>
      <c r="L30" s="54"/>
      <c r="M30" s="16"/>
      <c r="N30" s="16">
        <v>0</v>
      </c>
      <c r="O30" s="16"/>
      <c r="P30" s="55"/>
      <c r="Q30" s="55"/>
      <c r="R30" s="55"/>
      <c r="S30" s="55"/>
      <c r="T30" s="17"/>
      <c r="U30" s="16">
        <v>0</v>
      </c>
      <c r="V30" s="17"/>
      <c r="W30" s="57"/>
      <c r="X30" s="57"/>
      <c r="Y30" s="57"/>
      <c r="Z30" s="17"/>
      <c r="AA30" s="16">
        <v>0</v>
      </c>
      <c r="AB30" s="17"/>
    </row>
    <row r="31" spans="1:28" ht="15" customHeight="1" x14ac:dyDescent="0.2">
      <c r="A31" s="69"/>
      <c r="B31" s="69"/>
      <c r="C31" s="69"/>
      <c r="D31" s="69"/>
      <c r="E31" s="69"/>
      <c r="F31" s="69"/>
      <c r="G31" s="16"/>
      <c r="H31" s="16"/>
      <c r="I31" s="16"/>
      <c r="J31" s="52"/>
      <c r="K31" s="53"/>
      <c r="L31" s="54"/>
      <c r="M31" s="16"/>
      <c r="N31" s="16">
        <v>0</v>
      </c>
      <c r="O31" s="16"/>
      <c r="P31" s="55"/>
      <c r="Q31" s="55"/>
      <c r="R31" s="55"/>
      <c r="S31" s="55"/>
      <c r="T31" s="17"/>
      <c r="U31" s="16">
        <v>0</v>
      </c>
      <c r="V31" s="17"/>
      <c r="W31" s="57"/>
      <c r="X31" s="57"/>
      <c r="Y31" s="57"/>
      <c r="Z31" s="17"/>
      <c r="AA31" s="16">
        <v>0</v>
      </c>
      <c r="AB31" s="17"/>
    </row>
    <row r="32" spans="1:28" ht="15" customHeight="1" x14ac:dyDescent="0.2">
      <c r="A32" s="69"/>
      <c r="B32" s="69"/>
      <c r="C32" s="69"/>
      <c r="D32" s="69"/>
      <c r="E32" s="69"/>
      <c r="F32" s="69"/>
      <c r="G32" s="16"/>
      <c r="H32" s="16"/>
      <c r="I32" s="16"/>
      <c r="J32" s="52"/>
      <c r="K32" s="53"/>
      <c r="L32" s="54"/>
      <c r="M32" s="16"/>
      <c r="N32" s="16">
        <v>0</v>
      </c>
      <c r="O32" s="16"/>
      <c r="P32" s="55"/>
      <c r="Q32" s="55"/>
      <c r="R32" s="55"/>
      <c r="S32" s="55"/>
      <c r="T32" s="17"/>
      <c r="U32" s="16">
        <v>0</v>
      </c>
      <c r="V32" s="17"/>
      <c r="W32" s="57"/>
      <c r="X32" s="57"/>
      <c r="Y32" s="57"/>
      <c r="Z32" s="17"/>
      <c r="AA32" s="16">
        <v>0</v>
      </c>
      <c r="AB32" s="17"/>
    </row>
    <row r="33" spans="1:28" ht="15" customHeight="1" x14ac:dyDescent="0.2">
      <c r="A33" s="40"/>
      <c r="B33" s="41"/>
      <c r="C33" s="41"/>
      <c r="D33" s="41"/>
      <c r="E33" s="41"/>
      <c r="F33" s="42"/>
      <c r="G33" s="16"/>
      <c r="H33" s="16">
        <v>0</v>
      </c>
      <c r="I33" s="16"/>
      <c r="J33" s="52"/>
      <c r="K33" s="53"/>
      <c r="L33" s="54"/>
      <c r="M33" s="16"/>
      <c r="N33" s="16">
        <v>0</v>
      </c>
      <c r="O33" s="16"/>
      <c r="P33" s="55"/>
      <c r="Q33" s="55"/>
      <c r="R33" s="55"/>
      <c r="S33" s="55"/>
      <c r="T33" s="17"/>
      <c r="U33" s="16">
        <v>0</v>
      </c>
      <c r="V33" s="17"/>
      <c r="W33" s="57"/>
      <c r="X33" s="57"/>
      <c r="Y33" s="57"/>
      <c r="Z33" s="17"/>
      <c r="AA33" s="16">
        <v>0</v>
      </c>
      <c r="AB33" s="17"/>
    </row>
    <row r="34" spans="1:28" ht="15" customHeight="1" x14ac:dyDescent="0.2">
      <c r="A34" s="40"/>
      <c r="B34" s="41"/>
      <c r="C34" s="41"/>
      <c r="D34" s="41"/>
      <c r="E34" s="41"/>
      <c r="F34" s="42"/>
      <c r="G34" s="16"/>
      <c r="H34" s="16">
        <v>0</v>
      </c>
      <c r="I34" s="16"/>
      <c r="J34" s="52"/>
      <c r="K34" s="53"/>
      <c r="L34" s="54"/>
      <c r="M34" s="16"/>
      <c r="N34" s="16">
        <v>0</v>
      </c>
      <c r="O34" s="16"/>
      <c r="P34" s="55"/>
      <c r="Q34" s="55"/>
      <c r="R34" s="55"/>
      <c r="S34" s="55"/>
      <c r="T34" s="17"/>
      <c r="U34" s="16">
        <v>0</v>
      </c>
      <c r="V34" s="17"/>
      <c r="W34" s="57"/>
      <c r="X34" s="57"/>
      <c r="Y34" s="57"/>
      <c r="Z34" s="17"/>
      <c r="AA34" s="16">
        <v>0</v>
      </c>
      <c r="AB34" s="17"/>
    </row>
    <row r="35" spans="1:28" ht="15" customHeight="1" x14ac:dyDescent="0.2">
      <c r="A35" s="40"/>
      <c r="B35" s="41"/>
      <c r="C35" s="41"/>
      <c r="D35" s="41"/>
      <c r="E35" s="41"/>
      <c r="F35" s="42"/>
      <c r="G35" s="16"/>
      <c r="H35" s="16">
        <v>0</v>
      </c>
      <c r="I35" s="16"/>
      <c r="J35" s="52"/>
      <c r="K35" s="53"/>
      <c r="L35" s="54"/>
      <c r="M35" s="16"/>
      <c r="N35" s="16">
        <v>0</v>
      </c>
      <c r="O35" s="16"/>
      <c r="P35" s="55"/>
      <c r="Q35" s="55"/>
      <c r="R35" s="55"/>
      <c r="S35" s="55"/>
      <c r="T35" s="17"/>
      <c r="U35" s="16">
        <v>0</v>
      </c>
      <c r="V35" s="17"/>
      <c r="W35" s="57"/>
      <c r="X35" s="57"/>
      <c r="Y35" s="57"/>
      <c r="Z35" s="17"/>
      <c r="AA35" s="16">
        <v>0</v>
      </c>
      <c r="AB35" s="17"/>
    </row>
    <row r="36" spans="1:28" ht="15" customHeight="1" x14ac:dyDescent="0.2">
      <c r="A36" s="58"/>
      <c r="B36" s="59"/>
      <c r="C36" s="59"/>
      <c r="D36" s="59"/>
      <c r="E36" s="59"/>
      <c r="F36" s="60"/>
      <c r="G36" s="16"/>
      <c r="H36" s="16">
        <v>0</v>
      </c>
      <c r="I36" s="16"/>
      <c r="J36" s="52"/>
      <c r="K36" s="53"/>
      <c r="L36" s="54"/>
      <c r="M36" s="16"/>
      <c r="N36" s="16">
        <v>0</v>
      </c>
      <c r="O36" s="16"/>
      <c r="P36" s="55"/>
      <c r="Q36" s="55"/>
      <c r="R36" s="55"/>
      <c r="S36" s="55"/>
      <c r="T36" s="17"/>
      <c r="U36" s="16">
        <v>0</v>
      </c>
      <c r="V36" s="17"/>
      <c r="W36" s="57"/>
      <c r="X36" s="57"/>
      <c r="Y36" s="57"/>
      <c r="Z36" s="17"/>
      <c r="AA36" s="16">
        <v>0</v>
      </c>
      <c r="AB36" s="17"/>
    </row>
    <row r="37" spans="1:28" ht="15" customHeight="1" x14ac:dyDescent="0.2">
      <c r="A37" s="40"/>
      <c r="B37" s="41"/>
      <c r="C37" s="41"/>
      <c r="D37" s="41"/>
      <c r="E37" s="41"/>
      <c r="F37" s="42"/>
      <c r="G37" s="16"/>
      <c r="H37" s="16">
        <v>0</v>
      </c>
      <c r="I37" s="16"/>
      <c r="J37" s="52"/>
      <c r="K37" s="53"/>
      <c r="L37" s="54"/>
      <c r="M37" s="16"/>
      <c r="N37" s="16">
        <v>0</v>
      </c>
      <c r="O37" s="16"/>
      <c r="P37" s="55"/>
      <c r="Q37" s="55"/>
      <c r="R37" s="55"/>
      <c r="S37" s="55"/>
      <c r="T37" s="17"/>
      <c r="U37" s="16">
        <v>0</v>
      </c>
      <c r="V37" s="17"/>
      <c r="W37" s="56"/>
      <c r="X37" s="57"/>
      <c r="Y37" s="57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47" t="s">
        <v>34</v>
      </c>
      <c r="X39" s="47"/>
      <c r="Y39" s="47"/>
      <c r="Z39" s="47"/>
      <c r="AA39" s="47"/>
      <c r="AB39" s="47"/>
    </row>
    <row r="40" spans="1:28" ht="22.5" customHeight="1" x14ac:dyDescent="0.2">
      <c r="A40" s="62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4"/>
      <c r="W40" s="43"/>
      <c r="X40" s="44"/>
      <c r="Y40" s="44"/>
      <c r="Z40" s="44"/>
      <c r="AA40" s="44"/>
      <c r="AB40" s="45"/>
    </row>
    <row r="41" spans="1:28" ht="26.25" customHeight="1" x14ac:dyDescent="0.2">
      <c r="A41" s="65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7"/>
      <c r="V41" s="48"/>
      <c r="W41" s="46" t="s">
        <v>29</v>
      </c>
      <c r="X41" s="47"/>
      <c r="Y41" s="47"/>
      <c r="Z41" s="47"/>
      <c r="AA41" s="47"/>
      <c r="AB41" s="47"/>
    </row>
    <row r="42" spans="1:28" ht="22.5" customHeight="1" x14ac:dyDescent="0.2">
      <c r="A42" s="65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7"/>
      <c r="V42" s="48"/>
      <c r="W42" s="49"/>
      <c r="X42" s="50"/>
      <c r="Y42" s="50"/>
      <c r="Z42" s="50"/>
      <c r="AA42" s="50"/>
      <c r="AB42" s="51"/>
    </row>
  </sheetData>
  <sheetProtection formatCells="0" insertRows="0" deleteRows="0" selectLockedCells="1" sort="0"/>
  <mergeCells count="136">
    <mergeCell ref="A27:F27"/>
    <mergeCell ref="A28:F28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03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04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5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06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7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08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9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10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1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13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4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5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1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17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18" name="Button 27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19" name="Button 28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20" name="Button 29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2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2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2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2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2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2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2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2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2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3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3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7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8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9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40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41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2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3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4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5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6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7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8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49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0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1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2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3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5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5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5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9" name="Button 27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0" name="Button 27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1" name="Button 27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72" name="Button 27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3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4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5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6" name="Button 28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7" name="Button 2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8" name="Button 28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9" name="Button 28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0" name="Button 28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1" name="Button 28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2" name="Button 28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3" name="Button 29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4" name="Button 29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90" name="Button 298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91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92" name="Button 30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93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94" name="Button 30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5" name="Button 30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6" name="Button 30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7" name="Button 30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8" name="Button 30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9" name="Button 30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00" name="Button 30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02" name="Button 31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03" name="Button 31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04" name="Button 31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05" name="Button 31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06" name="Button 31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07" name="Button 31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08" name="Button 31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09" name="Button 31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10" name="Button 31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11" name="Button 31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12" name="Button 3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13" name="Button 321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14" name="Button 32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15" name="Button 32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16" name="Button 32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17" name="Button 32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18" name="Button 3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19" name="Button 3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20" name="Button 3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21" name="Button 3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22" name="Button 3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23" name="Button 331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24" name="Button 33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25" name="Button 3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26" name="Button 33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27" name="Button 33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28" name="Button 33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29" name="Button 33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30" name="Button 338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31" name="Button 339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32" name="Button 34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33" name="Button 341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34" name="Button 34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35" name="Button 34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36" name="Button 34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37" name="Button 34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38" name="Button 34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39" name="Button 34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40" name="Button 34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41" name="Button 34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42" name="Button 350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43" name="Button 351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44" name="Button 352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45" name="Button 35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46" name="Button 35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47" name="Button 35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48" name="Button 35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49" name="Button 35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50" name="Button 3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51" name="Button 3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52" name="Button 36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53" name="Button 36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54" name="Button 36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55" name="Button 363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56" name="Button 36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57" name="Button 36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58" name="Button 36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59" name="Button 36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60" name="Button 36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61" name="Button 36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62" name="Button 37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63" name="Button 37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64" name="Button 37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65" name="Button 37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66" name="Button 37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67" name="Button 37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68" name="Button 37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69" name="Button 3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70" name="Button 37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71" name="Button 3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72" name="Button 3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73" name="Button 3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74" name="Button 38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75" name="Button 38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76" name="Button 3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77" name="Button 38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78" name="Button 38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79" name="Button 38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80" name="Button 388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81" name="Button 389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82" name="Button 3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83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84" name="Button 39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85" name="Button 39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86" name="Button 39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87" name="Button 395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88" name="Button 39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389" name="Button 39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390" name="Button 39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391" name="Button 39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392" name="Button 40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393" name="Button 40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394" name="Button 40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395" name="Button 40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396" name="Button 40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397" name="Button 40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398" name="Button 40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399" name="Button 40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00" name="Button 40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01" name="Button 40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02" name="Button 410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03" name="Button 411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04" name="Button 41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05" name="Button 41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06" name="Button 41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07" name="Button 41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08" name="Button 41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09" name="Button 41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10" name="Button 41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11" name="Button 41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12" name="Button 42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13" name="Button 42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14" name="Button 42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15" name="Button 42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16" name="Button 42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17" name="Button 425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18" name="Button 42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19" name="Button 42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20" name="Button 4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21" name="Button 4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22" name="Button 43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23" name="Button 43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24" name="Button 43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25" name="Button 433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26" name="Button 43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27" name="Button 4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428" name="Button 43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429" name="Button 437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430" name="Button 43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431" name="Button 43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432" name="Button 44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433" name="Button 44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434" name="Button 44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435" name="Button 44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436" name="Button 44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437" name="Button 44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438" name="Button 44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439" name="Button 447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440" name="Button 44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441" name="Button 44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442" name="Button 45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443" name="Button 4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444" name="Button 4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445" name="Button 4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446" name="Button 45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447" name="Button 45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448" name="Button 456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449" name="Button 45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450" name="Button 458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451" name="Button 45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452" name="Button 460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453" name="Button 4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454" name="Button 4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455" name="Button 46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456" name="Button 46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457" name="Button 4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458" name="Button 466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459" name="Button 46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460" name="Button 46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461" name="Button 46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62" name="Button 47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463" name="Button 47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464" name="Button 47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465" name="Button 473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466" name="Button 47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467" name="Button 47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468" name="Button 47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469" name="Button 47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470" name="Button 47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471" name="Button 4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472" name="Button 4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473" name="Button 4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474" name="Button 48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475" name="Button 4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476" name="Button 48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477" name="Button 48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478" name="Button 48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479" name="Button 48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480" name="Button 48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481" name="Button 48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482" name="Button 49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483" name="Button 49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484" name="Button 49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485" name="Button 49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486" name="Button 49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487" name="Button 49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488" name="Button 49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489" name="Button 49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490" name="Button 498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SP-21-0238</v>
      </c>
      <c r="B2" s="29">
        <f>'Densidad de Grupos'!J13</f>
        <v>7.9042252021252022</v>
      </c>
      <c r="C2" s="29">
        <f>'Densidad de Grupos'!O13</f>
        <v>40</v>
      </c>
      <c r="D2" s="29">
        <f>'Densidad de Grupos'!U13</f>
        <v>5</v>
      </c>
      <c r="E2" s="29">
        <f>'Densidad de Grupos'!AA13</f>
        <v>5</v>
      </c>
      <c r="F2" s="29">
        <f>E2*D2</f>
        <v>25</v>
      </c>
      <c r="G2" s="26" t="str">
        <f>'Densidad de Grupos'!A18</f>
        <v>Decapoda (Anomura Zoea)</v>
      </c>
      <c r="H2" s="26">
        <f>'Densidad de Grupos'!H18</f>
        <v>16</v>
      </c>
      <c r="I2" s="28">
        <f>((H2*C2)/(F2*B2))*2</f>
        <v>6.4775482341057158</v>
      </c>
      <c r="J2" s="28">
        <f>I2*1000</f>
        <v>6477.5482341057159</v>
      </c>
    </row>
    <row r="3" spans="1:10" x14ac:dyDescent="0.2">
      <c r="A3" s="27" t="str">
        <f>$A$2</f>
        <v>SP-21-0238</v>
      </c>
      <c r="B3" s="29">
        <f>$B$2</f>
        <v>7.9042252021252022</v>
      </c>
      <c r="C3" s="29">
        <f>$C$2</f>
        <v>40</v>
      </c>
      <c r="D3" s="29">
        <f>$D$2</f>
        <v>5</v>
      </c>
      <c r="E3" s="29">
        <f>$E$2</f>
        <v>5</v>
      </c>
      <c r="F3" s="29">
        <f>$F$2</f>
        <v>25</v>
      </c>
      <c r="G3" s="26" t="str">
        <f>'Densidad de Grupos'!A19</f>
        <v>Decapoda (Brachyura Zoea)</v>
      </c>
      <c r="H3" s="26">
        <f>'Densidad de Grupos'!H19</f>
        <v>164</v>
      </c>
      <c r="I3" s="28">
        <f t="shared" ref="I3:I65" si="0">((H3*C3)/(F3*B3))*2</f>
        <v>66.394869399583584</v>
      </c>
      <c r="J3" s="28">
        <f t="shared" ref="J3:J65" si="1">I3*1000</f>
        <v>66394.869399583578</v>
      </c>
    </row>
    <row r="4" spans="1:10" x14ac:dyDescent="0.2">
      <c r="A4" s="27" t="str">
        <f t="shared" ref="A4:A65" si="2">$A$2</f>
        <v>SP-21-0238</v>
      </c>
      <c r="B4" s="29">
        <f t="shared" ref="B4:B65" si="3">$B$2</f>
        <v>7.9042252021252022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5</v>
      </c>
      <c r="F4" s="29">
        <f t="shared" ref="F4:F65" si="7">$F$2</f>
        <v>25</v>
      </c>
      <c r="G4" s="26" t="str">
        <f>'Densidad de Grupos'!A20</f>
        <v>Copepoda (Calanoida)</v>
      </c>
      <c r="H4" s="26">
        <f>'Densidad de Grupos'!H20</f>
        <v>234</v>
      </c>
      <c r="I4" s="31">
        <f t="shared" si="0"/>
        <v>94.734142923796099</v>
      </c>
      <c r="J4" s="28">
        <f t="shared" si="1"/>
        <v>94734.142923796098</v>
      </c>
    </row>
    <row r="5" spans="1:10" x14ac:dyDescent="0.2">
      <c r="A5" s="27" t="str">
        <f t="shared" si="2"/>
        <v>SP-21-0238</v>
      </c>
      <c r="B5" s="29">
        <f t="shared" si="3"/>
        <v>7.9042252021252022</v>
      </c>
      <c r="C5" s="29">
        <f t="shared" si="4"/>
        <v>40</v>
      </c>
      <c r="D5" s="29">
        <f t="shared" si="5"/>
        <v>5</v>
      </c>
      <c r="E5" s="29">
        <f t="shared" si="6"/>
        <v>5</v>
      </c>
      <c r="F5" s="29">
        <f t="shared" si="7"/>
        <v>25</v>
      </c>
      <c r="G5" s="26" t="str">
        <f>'Densidad de Grupos'!A21</f>
        <v>Decapoda (Zoea)</v>
      </c>
      <c r="H5" s="26">
        <f>'Densidad de Grupos'!H21</f>
        <v>8</v>
      </c>
      <c r="I5" s="28">
        <f t="shared" si="0"/>
        <v>3.2387741170528579</v>
      </c>
      <c r="J5" s="28">
        <f t="shared" si="1"/>
        <v>3238.7741170528579</v>
      </c>
    </row>
    <row r="6" spans="1:10" x14ac:dyDescent="0.2">
      <c r="A6" s="27" t="str">
        <f t="shared" si="2"/>
        <v>SP-21-0238</v>
      </c>
      <c r="B6" s="29">
        <f t="shared" si="3"/>
        <v>7.9042252021252022</v>
      </c>
      <c r="C6" s="29">
        <f t="shared" si="4"/>
        <v>40</v>
      </c>
      <c r="D6" s="29">
        <f t="shared" si="5"/>
        <v>5</v>
      </c>
      <c r="E6" s="29">
        <f t="shared" si="6"/>
        <v>5</v>
      </c>
      <c r="F6" s="29">
        <f t="shared" si="7"/>
        <v>25</v>
      </c>
      <c r="G6" s="26" t="str">
        <f>'Densidad de Grupos'!A22</f>
        <v>Chaetognatha</v>
      </c>
      <c r="H6" s="26">
        <f>'Densidad de Grupos'!H22</f>
        <v>7</v>
      </c>
      <c r="I6" s="31">
        <f t="shared" si="0"/>
        <v>2.8339273524212509</v>
      </c>
      <c r="J6" s="28">
        <f t="shared" si="1"/>
        <v>2833.9273524212508</v>
      </c>
    </row>
    <row r="7" spans="1:10" x14ac:dyDescent="0.2">
      <c r="A7" s="27" t="str">
        <f t="shared" si="2"/>
        <v>SP-21-0238</v>
      </c>
      <c r="B7" s="29">
        <f t="shared" si="3"/>
        <v>7.9042252021252022</v>
      </c>
      <c r="C7" s="29">
        <f t="shared" si="4"/>
        <v>40</v>
      </c>
      <c r="D7" s="29">
        <f t="shared" si="5"/>
        <v>5</v>
      </c>
      <c r="E7" s="29">
        <f t="shared" si="6"/>
        <v>5</v>
      </c>
      <c r="F7" s="29">
        <f t="shared" si="7"/>
        <v>25</v>
      </c>
      <c r="G7" s="26" t="str">
        <f>'Densidad de Grupos'!A23</f>
        <v>Mollusca (Atlanta)</v>
      </c>
      <c r="H7" s="26">
        <f>'Densidad de Grupos'!H23</f>
        <v>3</v>
      </c>
      <c r="I7" s="31">
        <f t="shared" si="0"/>
        <v>1.2145402938948218</v>
      </c>
      <c r="J7" s="28">
        <f t="shared" si="1"/>
        <v>1214.5402938948218</v>
      </c>
    </row>
    <row r="8" spans="1:10" x14ac:dyDescent="0.2">
      <c r="A8" s="27" t="str">
        <f t="shared" si="2"/>
        <v>SP-21-0238</v>
      </c>
      <c r="B8" s="29">
        <f t="shared" si="3"/>
        <v>7.9042252021252022</v>
      </c>
      <c r="C8" s="29">
        <f t="shared" si="4"/>
        <v>40</v>
      </c>
      <c r="D8" s="29">
        <f t="shared" si="5"/>
        <v>5</v>
      </c>
      <c r="E8" s="29">
        <f t="shared" si="6"/>
        <v>5</v>
      </c>
      <c r="F8" s="29">
        <f t="shared" si="7"/>
        <v>25</v>
      </c>
      <c r="G8" s="26" t="str">
        <f>'Densidad de Grupos'!A24</f>
        <v>Pez (Huevo)</v>
      </c>
      <c r="H8" s="26">
        <f>'Densidad de Grupos'!H24</f>
        <v>56</v>
      </c>
      <c r="I8" s="31">
        <f t="shared" si="0"/>
        <v>22.671418819370007</v>
      </c>
      <c r="J8" s="28">
        <f t="shared" si="1"/>
        <v>22671.418819370007</v>
      </c>
    </row>
    <row r="9" spans="1:10" x14ac:dyDescent="0.2">
      <c r="A9" s="27" t="str">
        <f t="shared" si="2"/>
        <v>SP-21-0238</v>
      </c>
      <c r="B9" s="29">
        <f t="shared" si="3"/>
        <v>7.9042252021252022</v>
      </c>
      <c r="C9" s="29">
        <f t="shared" si="4"/>
        <v>40</v>
      </c>
      <c r="D9" s="29">
        <f t="shared" si="5"/>
        <v>5</v>
      </c>
      <c r="E9" s="29">
        <f t="shared" si="6"/>
        <v>5</v>
      </c>
      <c r="F9" s="29">
        <f t="shared" si="7"/>
        <v>25</v>
      </c>
      <c r="G9" s="26" t="str">
        <f>'Densidad de Grupos'!A25</f>
        <v>Copepoda (Cyclopoida)</v>
      </c>
      <c r="H9" s="26">
        <f>'Densidad de Grupos'!H25</f>
        <v>16</v>
      </c>
      <c r="I9" s="31">
        <f t="shared" si="0"/>
        <v>6.4775482341057158</v>
      </c>
      <c r="J9" s="28">
        <f t="shared" si="1"/>
        <v>6477.5482341057159</v>
      </c>
    </row>
    <row r="10" spans="1:10" x14ac:dyDescent="0.2">
      <c r="A10" s="27" t="str">
        <f t="shared" si="2"/>
        <v>SP-21-0238</v>
      </c>
      <c r="B10" s="29">
        <f t="shared" si="3"/>
        <v>7.9042252021252022</v>
      </c>
      <c r="C10" s="29">
        <f t="shared" si="4"/>
        <v>40</v>
      </c>
      <c r="D10" s="29">
        <f t="shared" si="5"/>
        <v>5</v>
      </c>
      <c r="E10" s="29">
        <f t="shared" si="6"/>
        <v>5</v>
      </c>
      <c r="F10" s="29">
        <f t="shared" si="7"/>
        <v>25</v>
      </c>
      <c r="G10" s="26" t="str">
        <f>'Densidad de Grupos'!A26</f>
        <v>Brachiopoda (Lingula)</v>
      </c>
      <c r="H10" s="26">
        <f>'Densidad de Grupos'!H26</f>
        <v>4</v>
      </c>
      <c r="I10" s="31">
        <f t="shared" si="0"/>
        <v>1.6193870585264289</v>
      </c>
      <c r="J10" s="28">
        <f t="shared" si="1"/>
        <v>1619.387058526429</v>
      </c>
    </row>
    <row r="11" spans="1:10" x14ac:dyDescent="0.2">
      <c r="A11" s="27" t="str">
        <f t="shared" si="2"/>
        <v>SP-21-0238</v>
      </c>
      <c r="B11" s="29">
        <f t="shared" si="3"/>
        <v>7.9042252021252022</v>
      </c>
      <c r="C11" s="29">
        <f t="shared" si="4"/>
        <v>40</v>
      </c>
      <c r="D11" s="29">
        <f t="shared" si="5"/>
        <v>5</v>
      </c>
      <c r="E11" s="29">
        <f t="shared" si="6"/>
        <v>5</v>
      </c>
      <c r="F11" s="29">
        <f t="shared" si="7"/>
        <v>25</v>
      </c>
      <c r="G11" s="26" t="str">
        <f>'Densidad de Grupos'!A27</f>
        <v>Mollusca (Creseis)</v>
      </c>
      <c r="H11" s="26">
        <f>'Densidad de Grupos'!H27</f>
        <v>4</v>
      </c>
      <c r="I11" s="31">
        <f t="shared" si="0"/>
        <v>1.6193870585264289</v>
      </c>
      <c r="J11" s="28">
        <f t="shared" si="1"/>
        <v>1619.387058526429</v>
      </c>
    </row>
    <row r="12" spans="1:10" x14ac:dyDescent="0.2">
      <c r="A12" s="27" t="str">
        <f t="shared" si="2"/>
        <v>SP-21-0238</v>
      </c>
      <c r="B12" s="29">
        <f t="shared" si="3"/>
        <v>7.9042252021252022</v>
      </c>
      <c r="C12" s="29">
        <f t="shared" si="4"/>
        <v>40</v>
      </c>
      <c r="D12" s="29">
        <f t="shared" si="5"/>
        <v>5</v>
      </c>
      <c r="E12" s="29">
        <f t="shared" si="6"/>
        <v>5</v>
      </c>
      <c r="F12" s="29">
        <f t="shared" si="7"/>
        <v>25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SP-21-0238</v>
      </c>
      <c r="B13" s="29">
        <f t="shared" si="3"/>
        <v>7.9042252021252022</v>
      </c>
      <c r="C13" s="29">
        <f t="shared" si="4"/>
        <v>40</v>
      </c>
      <c r="D13" s="29">
        <f t="shared" si="5"/>
        <v>5</v>
      </c>
      <c r="E13" s="29">
        <f t="shared" si="6"/>
        <v>5</v>
      </c>
      <c r="F13" s="29">
        <f t="shared" si="7"/>
        <v>25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SP-21-0238</v>
      </c>
      <c r="B14" s="29">
        <f t="shared" si="3"/>
        <v>7.9042252021252022</v>
      </c>
      <c r="C14" s="29">
        <f t="shared" si="4"/>
        <v>40</v>
      </c>
      <c r="D14" s="29">
        <f t="shared" si="5"/>
        <v>5</v>
      </c>
      <c r="E14" s="29">
        <f t="shared" si="6"/>
        <v>5</v>
      </c>
      <c r="F14" s="29">
        <f t="shared" si="7"/>
        <v>25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SP-21-0238</v>
      </c>
      <c r="B15" s="29">
        <f t="shared" si="3"/>
        <v>7.9042252021252022</v>
      </c>
      <c r="C15" s="29">
        <f t="shared" si="4"/>
        <v>40</v>
      </c>
      <c r="D15" s="29">
        <f t="shared" si="5"/>
        <v>5</v>
      </c>
      <c r="E15" s="29">
        <f t="shared" si="6"/>
        <v>5</v>
      </c>
      <c r="F15" s="29">
        <f t="shared" si="7"/>
        <v>25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SP-21-0238</v>
      </c>
      <c r="B16" s="29">
        <f t="shared" si="3"/>
        <v>7.9042252021252022</v>
      </c>
      <c r="C16" s="29">
        <f t="shared" si="4"/>
        <v>40</v>
      </c>
      <c r="D16" s="29">
        <f t="shared" si="5"/>
        <v>5</v>
      </c>
      <c r="E16" s="29">
        <f t="shared" si="6"/>
        <v>5</v>
      </c>
      <c r="F16" s="29">
        <f t="shared" si="7"/>
        <v>25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SP-21-0238</v>
      </c>
      <c r="B17" s="29">
        <f t="shared" si="3"/>
        <v>7.9042252021252022</v>
      </c>
      <c r="C17" s="29">
        <f t="shared" si="4"/>
        <v>40</v>
      </c>
      <c r="D17" s="29">
        <f t="shared" si="5"/>
        <v>5</v>
      </c>
      <c r="E17" s="29">
        <f t="shared" si="6"/>
        <v>5</v>
      </c>
      <c r="F17" s="29">
        <f t="shared" si="7"/>
        <v>25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SP-21-0238</v>
      </c>
      <c r="B18" s="29">
        <f t="shared" si="3"/>
        <v>7.9042252021252022</v>
      </c>
      <c r="C18" s="29">
        <f t="shared" si="4"/>
        <v>40</v>
      </c>
      <c r="D18" s="29">
        <f t="shared" si="5"/>
        <v>5</v>
      </c>
      <c r="E18" s="29">
        <f t="shared" si="6"/>
        <v>5</v>
      </c>
      <c r="F18" s="29">
        <f t="shared" si="7"/>
        <v>25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SP-21-0238</v>
      </c>
      <c r="B19" s="29">
        <f t="shared" si="3"/>
        <v>7.9042252021252022</v>
      </c>
      <c r="C19" s="29">
        <f t="shared" si="4"/>
        <v>40</v>
      </c>
      <c r="D19" s="29">
        <f t="shared" si="5"/>
        <v>5</v>
      </c>
      <c r="E19" s="29">
        <f t="shared" si="6"/>
        <v>5</v>
      </c>
      <c r="F19" s="29">
        <f t="shared" si="7"/>
        <v>25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SP-21-0238</v>
      </c>
      <c r="B20" s="29">
        <f t="shared" si="3"/>
        <v>7.9042252021252022</v>
      </c>
      <c r="C20" s="29">
        <f t="shared" si="4"/>
        <v>40</v>
      </c>
      <c r="D20" s="29">
        <f t="shared" si="5"/>
        <v>5</v>
      </c>
      <c r="E20" s="29">
        <f t="shared" si="6"/>
        <v>5</v>
      </c>
      <c r="F20" s="29">
        <f t="shared" si="7"/>
        <v>25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SP-21-0238</v>
      </c>
      <c r="B21" s="34">
        <f t="shared" si="3"/>
        <v>7.9042252021252022</v>
      </c>
      <c r="C21" s="34">
        <f t="shared" si="4"/>
        <v>40</v>
      </c>
      <c r="D21" s="34">
        <f t="shared" si="5"/>
        <v>5</v>
      </c>
      <c r="E21" s="34">
        <f t="shared" si="6"/>
        <v>5</v>
      </c>
      <c r="F21" s="34">
        <f t="shared" si="7"/>
        <v>25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SP-21-0238</v>
      </c>
      <c r="B22" s="29">
        <f t="shared" si="3"/>
        <v>7.9042252021252022</v>
      </c>
      <c r="C22" s="29">
        <f t="shared" si="4"/>
        <v>40</v>
      </c>
      <c r="D22" s="29">
        <f t="shared" si="5"/>
        <v>5</v>
      </c>
      <c r="E22" s="29">
        <f t="shared" si="6"/>
        <v>5</v>
      </c>
      <c r="F22" s="29">
        <f t="shared" si="7"/>
        <v>25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SP-21-0238</v>
      </c>
      <c r="B23" s="29">
        <f t="shared" si="3"/>
        <v>7.9042252021252022</v>
      </c>
      <c r="C23" s="29">
        <f t="shared" si="4"/>
        <v>40</v>
      </c>
      <c r="D23" s="29">
        <f t="shared" si="5"/>
        <v>5</v>
      </c>
      <c r="E23" s="29">
        <f t="shared" si="6"/>
        <v>5</v>
      </c>
      <c r="F23" s="29">
        <f t="shared" si="7"/>
        <v>25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SP-21-0238</v>
      </c>
      <c r="B24" s="29">
        <f t="shared" si="3"/>
        <v>7.9042252021252022</v>
      </c>
      <c r="C24" s="29">
        <f t="shared" si="4"/>
        <v>40</v>
      </c>
      <c r="D24" s="29">
        <f t="shared" si="5"/>
        <v>5</v>
      </c>
      <c r="E24" s="29">
        <f t="shared" si="6"/>
        <v>5</v>
      </c>
      <c r="F24" s="29">
        <f t="shared" si="7"/>
        <v>25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SP-21-0238</v>
      </c>
      <c r="B25" s="29">
        <f t="shared" si="3"/>
        <v>7.9042252021252022</v>
      </c>
      <c r="C25" s="29">
        <f t="shared" si="4"/>
        <v>40</v>
      </c>
      <c r="D25" s="29">
        <f t="shared" si="5"/>
        <v>5</v>
      </c>
      <c r="E25" s="29">
        <f t="shared" si="6"/>
        <v>5</v>
      </c>
      <c r="F25" s="29">
        <f t="shared" si="7"/>
        <v>25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SP-21-0238</v>
      </c>
      <c r="B26" s="29">
        <f t="shared" si="3"/>
        <v>7.9042252021252022</v>
      </c>
      <c r="C26" s="29">
        <f t="shared" si="4"/>
        <v>40</v>
      </c>
      <c r="D26" s="29">
        <f t="shared" si="5"/>
        <v>5</v>
      </c>
      <c r="E26" s="29">
        <f t="shared" si="6"/>
        <v>5</v>
      </c>
      <c r="F26" s="29">
        <f t="shared" si="7"/>
        <v>25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SP-21-0238</v>
      </c>
      <c r="B27" s="29">
        <f t="shared" si="3"/>
        <v>7.9042252021252022</v>
      </c>
      <c r="C27" s="29">
        <f t="shared" si="4"/>
        <v>40</v>
      </c>
      <c r="D27" s="29">
        <f t="shared" si="5"/>
        <v>5</v>
      </c>
      <c r="E27" s="29">
        <f t="shared" si="6"/>
        <v>5</v>
      </c>
      <c r="F27" s="29">
        <f t="shared" si="7"/>
        <v>25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SP-21-0238</v>
      </c>
      <c r="B28" s="29">
        <f t="shared" si="3"/>
        <v>7.9042252021252022</v>
      </c>
      <c r="C28" s="29">
        <f t="shared" si="4"/>
        <v>40</v>
      </c>
      <c r="D28" s="29">
        <f t="shared" si="5"/>
        <v>5</v>
      </c>
      <c r="E28" s="29">
        <f t="shared" si="6"/>
        <v>5</v>
      </c>
      <c r="F28" s="29">
        <f t="shared" si="7"/>
        <v>25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SP-21-0238</v>
      </c>
      <c r="B29" s="29">
        <f t="shared" si="3"/>
        <v>7.9042252021252022</v>
      </c>
      <c r="C29" s="29">
        <f t="shared" si="4"/>
        <v>40</v>
      </c>
      <c r="D29" s="29">
        <f t="shared" si="5"/>
        <v>5</v>
      </c>
      <c r="E29" s="29">
        <f t="shared" si="6"/>
        <v>5</v>
      </c>
      <c r="F29" s="29">
        <f t="shared" si="7"/>
        <v>25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SP-21-0238</v>
      </c>
      <c r="B30" s="29">
        <f t="shared" si="3"/>
        <v>7.9042252021252022</v>
      </c>
      <c r="C30" s="29">
        <f t="shared" si="4"/>
        <v>40</v>
      </c>
      <c r="D30" s="29">
        <f t="shared" si="5"/>
        <v>5</v>
      </c>
      <c r="E30" s="29">
        <f t="shared" si="6"/>
        <v>5</v>
      </c>
      <c r="F30" s="29">
        <f t="shared" si="7"/>
        <v>25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SP-21-0238</v>
      </c>
      <c r="B31" s="29">
        <f t="shared" si="3"/>
        <v>7.9042252021252022</v>
      </c>
      <c r="C31" s="29">
        <f t="shared" si="4"/>
        <v>40</v>
      </c>
      <c r="D31" s="29">
        <f t="shared" si="5"/>
        <v>5</v>
      </c>
      <c r="E31" s="29">
        <f t="shared" si="6"/>
        <v>5</v>
      </c>
      <c r="F31" s="29">
        <f t="shared" si="7"/>
        <v>25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SP-21-0238</v>
      </c>
      <c r="B32" s="29">
        <f t="shared" si="3"/>
        <v>7.9042252021252022</v>
      </c>
      <c r="C32" s="29">
        <f t="shared" si="4"/>
        <v>40</v>
      </c>
      <c r="D32" s="29">
        <f t="shared" si="5"/>
        <v>5</v>
      </c>
      <c r="E32" s="29">
        <f t="shared" si="6"/>
        <v>5</v>
      </c>
      <c r="F32" s="29">
        <f t="shared" si="7"/>
        <v>25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SP-21-0238</v>
      </c>
      <c r="B33" s="29">
        <f t="shared" si="3"/>
        <v>7.9042252021252022</v>
      </c>
      <c r="C33" s="29">
        <f t="shared" si="4"/>
        <v>40</v>
      </c>
      <c r="D33" s="29">
        <f t="shared" si="5"/>
        <v>5</v>
      </c>
      <c r="E33" s="29">
        <f t="shared" si="6"/>
        <v>5</v>
      </c>
      <c r="F33" s="29">
        <f t="shared" si="7"/>
        <v>25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SP-21-0238</v>
      </c>
      <c r="B34" s="29">
        <f t="shared" si="3"/>
        <v>7.9042252021252022</v>
      </c>
      <c r="C34" s="29">
        <f t="shared" si="4"/>
        <v>40</v>
      </c>
      <c r="D34" s="29">
        <f t="shared" si="5"/>
        <v>5</v>
      </c>
      <c r="E34" s="29">
        <f t="shared" si="6"/>
        <v>5</v>
      </c>
      <c r="F34" s="29">
        <f t="shared" si="7"/>
        <v>25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SP-21-0238</v>
      </c>
      <c r="B35" s="29">
        <f t="shared" si="3"/>
        <v>7.9042252021252022</v>
      </c>
      <c r="C35" s="29">
        <f t="shared" si="4"/>
        <v>40</v>
      </c>
      <c r="D35" s="29">
        <f t="shared" si="5"/>
        <v>5</v>
      </c>
      <c r="E35" s="29">
        <f t="shared" si="6"/>
        <v>5</v>
      </c>
      <c r="F35" s="29">
        <f t="shared" si="7"/>
        <v>25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SP-21-0238</v>
      </c>
      <c r="B36" s="29">
        <f t="shared" si="3"/>
        <v>7.9042252021252022</v>
      </c>
      <c r="C36" s="29">
        <f t="shared" si="4"/>
        <v>40</v>
      </c>
      <c r="D36" s="29">
        <f t="shared" si="5"/>
        <v>5</v>
      </c>
      <c r="E36" s="29">
        <f t="shared" si="6"/>
        <v>5</v>
      </c>
      <c r="F36" s="29">
        <f t="shared" si="7"/>
        <v>25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SP-21-0238</v>
      </c>
      <c r="B37" s="29">
        <f t="shared" si="3"/>
        <v>7.9042252021252022</v>
      </c>
      <c r="C37" s="29">
        <f t="shared" si="4"/>
        <v>40</v>
      </c>
      <c r="D37" s="29">
        <f t="shared" si="5"/>
        <v>5</v>
      </c>
      <c r="E37" s="29">
        <f t="shared" si="6"/>
        <v>5</v>
      </c>
      <c r="F37" s="29">
        <f t="shared" si="7"/>
        <v>25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SP-21-0238</v>
      </c>
      <c r="B38" s="29">
        <f t="shared" si="3"/>
        <v>7.9042252021252022</v>
      </c>
      <c r="C38" s="29">
        <f t="shared" si="4"/>
        <v>40</v>
      </c>
      <c r="D38" s="29">
        <f t="shared" si="5"/>
        <v>5</v>
      </c>
      <c r="E38" s="29">
        <f t="shared" si="6"/>
        <v>5</v>
      </c>
      <c r="F38" s="29">
        <f t="shared" si="7"/>
        <v>25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SP-21-0238</v>
      </c>
      <c r="B39" s="29">
        <f t="shared" si="3"/>
        <v>7.9042252021252022</v>
      </c>
      <c r="C39" s="29">
        <f t="shared" si="4"/>
        <v>40</v>
      </c>
      <c r="D39" s="29">
        <f t="shared" si="5"/>
        <v>5</v>
      </c>
      <c r="E39" s="29">
        <f t="shared" si="6"/>
        <v>5</v>
      </c>
      <c r="F39" s="29">
        <f t="shared" si="7"/>
        <v>25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SP-21-0238</v>
      </c>
      <c r="B40" s="29">
        <f t="shared" si="3"/>
        <v>7.9042252021252022</v>
      </c>
      <c r="C40" s="29">
        <f t="shared" si="4"/>
        <v>40</v>
      </c>
      <c r="D40" s="29">
        <f t="shared" si="5"/>
        <v>5</v>
      </c>
      <c r="E40" s="29">
        <f t="shared" si="6"/>
        <v>5</v>
      </c>
      <c r="F40" s="29">
        <f t="shared" si="7"/>
        <v>25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SP-21-0238</v>
      </c>
      <c r="B41" s="34">
        <f t="shared" si="3"/>
        <v>7.9042252021252022</v>
      </c>
      <c r="C41" s="34">
        <f t="shared" si="4"/>
        <v>40</v>
      </c>
      <c r="D41" s="34">
        <f t="shared" si="5"/>
        <v>5</v>
      </c>
      <c r="E41" s="34">
        <f t="shared" si="6"/>
        <v>5</v>
      </c>
      <c r="F41" s="34">
        <f t="shared" si="7"/>
        <v>25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SP-21-0238</v>
      </c>
      <c r="B42" s="29">
        <f t="shared" si="3"/>
        <v>7.9042252021252022</v>
      </c>
      <c r="C42" s="29">
        <f t="shared" si="4"/>
        <v>40</v>
      </c>
      <c r="D42" s="29">
        <f t="shared" si="5"/>
        <v>5</v>
      </c>
      <c r="E42" s="29">
        <f t="shared" si="6"/>
        <v>5</v>
      </c>
      <c r="F42" s="29">
        <f t="shared" si="7"/>
        <v>25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SP-21-0238</v>
      </c>
      <c r="B43" s="29">
        <f t="shared" si="3"/>
        <v>7.9042252021252022</v>
      </c>
      <c r="C43" s="29">
        <f t="shared" si="4"/>
        <v>40</v>
      </c>
      <c r="D43" s="29">
        <f t="shared" si="5"/>
        <v>5</v>
      </c>
      <c r="E43" s="29">
        <f t="shared" si="6"/>
        <v>5</v>
      </c>
      <c r="F43" s="29">
        <f t="shared" si="7"/>
        <v>25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SP-21-0238</v>
      </c>
      <c r="B44" s="29">
        <f t="shared" si="3"/>
        <v>7.9042252021252022</v>
      </c>
      <c r="C44" s="29">
        <f t="shared" si="4"/>
        <v>40</v>
      </c>
      <c r="D44" s="29">
        <f t="shared" si="5"/>
        <v>5</v>
      </c>
      <c r="E44" s="29">
        <f t="shared" si="6"/>
        <v>5</v>
      </c>
      <c r="F44" s="29">
        <f t="shared" si="7"/>
        <v>25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SP-21-0238</v>
      </c>
      <c r="B45" s="29">
        <f t="shared" si="3"/>
        <v>7.9042252021252022</v>
      </c>
      <c r="C45" s="29">
        <f t="shared" si="4"/>
        <v>40</v>
      </c>
      <c r="D45" s="29">
        <f t="shared" si="5"/>
        <v>5</v>
      </c>
      <c r="E45" s="29">
        <f t="shared" si="6"/>
        <v>5</v>
      </c>
      <c r="F45" s="29">
        <f t="shared" si="7"/>
        <v>25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SP-21-0238</v>
      </c>
      <c r="B46" s="29">
        <f t="shared" si="3"/>
        <v>7.9042252021252022</v>
      </c>
      <c r="C46" s="29">
        <f t="shared" si="4"/>
        <v>40</v>
      </c>
      <c r="D46" s="29">
        <f t="shared" si="5"/>
        <v>5</v>
      </c>
      <c r="E46" s="29">
        <f t="shared" si="6"/>
        <v>5</v>
      </c>
      <c r="F46" s="29">
        <f t="shared" si="7"/>
        <v>25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SP-21-0238</v>
      </c>
      <c r="B47" s="29">
        <f t="shared" si="3"/>
        <v>7.9042252021252022</v>
      </c>
      <c r="C47" s="29">
        <f t="shared" si="4"/>
        <v>40</v>
      </c>
      <c r="D47" s="29">
        <f t="shared" si="5"/>
        <v>5</v>
      </c>
      <c r="E47" s="29">
        <f t="shared" si="6"/>
        <v>5</v>
      </c>
      <c r="F47" s="29">
        <f t="shared" si="7"/>
        <v>25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SP-21-0238</v>
      </c>
      <c r="B48" s="29">
        <f t="shared" si="3"/>
        <v>7.9042252021252022</v>
      </c>
      <c r="C48" s="29">
        <f t="shared" si="4"/>
        <v>40</v>
      </c>
      <c r="D48" s="29">
        <f t="shared" si="5"/>
        <v>5</v>
      </c>
      <c r="E48" s="29">
        <f t="shared" si="6"/>
        <v>5</v>
      </c>
      <c r="F48" s="29">
        <f t="shared" si="7"/>
        <v>25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SP-21-0238</v>
      </c>
      <c r="B49" s="29">
        <f t="shared" si="3"/>
        <v>7.9042252021252022</v>
      </c>
      <c r="C49" s="29">
        <f t="shared" si="4"/>
        <v>40</v>
      </c>
      <c r="D49" s="29">
        <f t="shared" si="5"/>
        <v>5</v>
      </c>
      <c r="E49" s="29">
        <f t="shared" si="6"/>
        <v>5</v>
      </c>
      <c r="F49" s="29">
        <f t="shared" si="7"/>
        <v>25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SP-21-0238</v>
      </c>
      <c r="B50" s="29">
        <f t="shared" si="3"/>
        <v>7.9042252021252022</v>
      </c>
      <c r="C50" s="29">
        <f t="shared" si="4"/>
        <v>40</v>
      </c>
      <c r="D50" s="29">
        <f t="shared" si="5"/>
        <v>5</v>
      </c>
      <c r="E50" s="29">
        <f t="shared" si="6"/>
        <v>5</v>
      </c>
      <c r="F50" s="29">
        <f t="shared" si="7"/>
        <v>25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SP-21-0238</v>
      </c>
      <c r="B51" s="29">
        <f t="shared" si="3"/>
        <v>7.9042252021252022</v>
      </c>
      <c r="C51" s="29">
        <f t="shared" si="4"/>
        <v>40</v>
      </c>
      <c r="D51" s="29">
        <f t="shared" si="5"/>
        <v>5</v>
      </c>
      <c r="E51" s="29">
        <f t="shared" si="6"/>
        <v>5</v>
      </c>
      <c r="F51" s="29">
        <f t="shared" si="7"/>
        <v>25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SP-21-0238</v>
      </c>
      <c r="B52" s="29">
        <f t="shared" si="3"/>
        <v>7.9042252021252022</v>
      </c>
      <c r="C52" s="29">
        <f t="shared" si="4"/>
        <v>40</v>
      </c>
      <c r="D52" s="29">
        <f t="shared" si="5"/>
        <v>5</v>
      </c>
      <c r="E52" s="29">
        <f t="shared" si="6"/>
        <v>5</v>
      </c>
      <c r="F52" s="29">
        <f t="shared" si="7"/>
        <v>25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SP-21-0238</v>
      </c>
      <c r="B53" s="29">
        <f t="shared" si="3"/>
        <v>7.9042252021252022</v>
      </c>
      <c r="C53" s="29">
        <f t="shared" si="4"/>
        <v>40</v>
      </c>
      <c r="D53" s="29">
        <f t="shared" si="5"/>
        <v>5</v>
      </c>
      <c r="E53" s="29">
        <f t="shared" si="6"/>
        <v>5</v>
      </c>
      <c r="F53" s="29">
        <f t="shared" si="7"/>
        <v>25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SP-21-0238</v>
      </c>
      <c r="B54" s="29">
        <f t="shared" si="3"/>
        <v>7.9042252021252022</v>
      </c>
      <c r="C54" s="29">
        <f t="shared" si="4"/>
        <v>40</v>
      </c>
      <c r="D54" s="29">
        <f t="shared" si="5"/>
        <v>5</v>
      </c>
      <c r="E54" s="29">
        <f t="shared" si="6"/>
        <v>5</v>
      </c>
      <c r="F54" s="29">
        <f t="shared" si="7"/>
        <v>25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SP-21-0238</v>
      </c>
      <c r="B55" s="29">
        <f t="shared" si="3"/>
        <v>7.9042252021252022</v>
      </c>
      <c r="C55" s="29">
        <f t="shared" si="4"/>
        <v>40</v>
      </c>
      <c r="D55" s="29">
        <f t="shared" si="5"/>
        <v>5</v>
      </c>
      <c r="E55" s="29">
        <f t="shared" si="6"/>
        <v>5</v>
      </c>
      <c r="F55" s="29">
        <f t="shared" si="7"/>
        <v>25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SP-21-0238</v>
      </c>
      <c r="B56" s="29">
        <f t="shared" si="3"/>
        <v>7.9042252021252022</v>
      </c>
      <c r="C56" s="29">
        <f t="shared" si="4"/>
        <v>40</v>
      </c>
      <c r="D56" s="29">
        <f t="shared" si="5"/>
        <v>5</v>
      </c>
      <c r="E56" s="29">
        <f t="shared" si="6"/>
        <v>5</v>
      </c>
      <c r="F56" s="29">
        <f t="shared" si="7"/>
        <v>25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SP-21-0238</v>
      </c>
      <c r="B57" s="29">
        <f t="shared" si="3"/>
        <v>7.9042252021252022</v>
      </c>
      <c r="C57" s="29">
        <f t="shared" si="4"/>
        <v>40</v>
      </c>
      <c r="D57" s="29">
        <f t="shared" si="5"/>
        <v>5</v>
      </c>
      <c r="E57" s="29">
        <f t="shared" si="6"/>
        <v>5</v>
      </c>
      <c r="F57" s="29">
        <f t="shared" si="7"/>
        <v>25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SP-21-0238</v>
      </c>
      <c r="B58" s="29">
        <f t="shared" si="3"/>
        <v>7.9042252021252022</v>
      </c>
      <c r="C58" s="29">
        <f t="shared" si="4"/>
        <v>40</v>
      </c>
      <c r="D58" s="29">
        <f t="shared" si="5"/>
        <v>5</v>
      </c>
      <c r="E58" s="29">
        <f t="shared" si="6"/>
        <v>5</v>
      </c>
      <c r="F58" s="29">
        <f t="shared" si="7"/>
        <v>25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SP-21-0238</v>
      </c>
      <c r="B59" s="29">
        <f t="shared" si="3"/>
        <v>7.9042252021252022</v>
      </c>
      <c r="C59" s="29">
        <f t="shared" si="4"/>
        <v>40</v>
      </c>
      <c r="D59" s="29">
        <f t="shared" si="5"/>
        <v>5</v>
      </c>
      <c r="E59" s="29">
        <f t="shared" si="6"/>
        <v>5</v>
      </c>
      <c r="F59" s="29">
        <f t="shared" si="7"/>
        <v>25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SP-21-0238</v>
      </c>
      <c r="B60" s="29">
        <f t="shared" si="3"/>
        <v>7.9042252021252022</v>
      </c>
      <c r="C60" s="29">
        <f t="shared" si="4"/>
        <v>40</v>
      </c>
      <c r="D60" s="29">
        <f t="shared" si="5"/>
        <v>5</v>
      </c>
      <c r="E60" s="29">
        <f t="shared" si="6"/>
        <v>5</v>
      </c>
      <c r="F60" s="29">
        <f t="shared" si="7"/>
        <v>25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SP-21-0238</v>
      </c>
      <c r="B61" s="34">
        <f t="shared" si="3"/>
        <v>7.9042252021252022</v>
      </c>
      <c r="C61" s="34">
        <f t="shared" si="4"/>
        <v>40</v>
      </c>
      <c r="D61" s="34">
        <f t="shared" si="5"/>
        <v>5</v>
      </c>
      <c r="E61" s="34">
        <f t="shared" si="6"/>
        <v>5</v>
      </c>
      <c r="F61" s="34">
        <f t="shared" si="7"/>
        <v>25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SP-21-0238</v>
      </c>
      <c r="B62" s="29">
        <f t="shared" si="3"/>
        <v>7.9042252021252022</v>
      </c>
      <c r="C62" s="29">
        <f t="shared" si="4"/>
        <v>40</v>
      </c>
      <c r="D62" s="29">
        <f t="shared" si="5"/>
        <v>5</v>
      </c>
      <c r="E62" s="29">
        <f t="shared" si="6"/>
        <v>5</v>
      </c>
      <c r="F62" s="29">
        <f t="shared" si="7"/>
        <v>25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SP-21-0238</v>
      </c>
      <c r="B63" s="29">
        <f t="shared" si="3"/>
        <v>7.9042252021252022</v>
      </c>
      <c r="C63" s="29">
        <f t="shared" si="4"/>
        <v>40</v>
      </c>
      <c r="D63" s="29">
        <f t="shared" si="5"/>
        <v>5</v>
      </c>
      <c r="E63" s="29">
        <f t="shared" si="6"/>
        <v>5</v>
      </c>
      <c r="F63" s="29">
        <f t="shared" si="7"/>
        <v>25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SP-21-0238</v>
      </c>
      <c r="B64" s="29">
        <f t="shared" si="3"/>
        <v>7.9042252021252022</v>
      </c>
      <c r="C64" s="29">
        <f t="shared" si="4"/>
        <v>40</v>
      </c>
      <c r="D64" s="29">
        <f t="shared" si="5"/>
        <v>5</v>
      </c>
      <c r="E64" s="29">
        <f t="shared" si="6"/>
        <v>5</v>
      </c>
      <c r="F64" s="29">
        <f t="shared" si="7"/>
        <v>25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SP-21-0238</v>
      </c>
      <c r="B65" s="29">
        <f t="shared" si="3"/>
        <v>7.9042252021252022</v>
      </c>
      <c r="C65" s="29">
        <f t="shared" si="4"/>
        <v>40</v>
      </c>
      <c r="D65" s="29">
        <f t="shared" si="5"/>
        <v>5</v>
      </c>
      <c r="E65" s="29">
        <f t="shared" si="6"/>
        <v>5</v>
      </c>
      <c r="F65" s="29">
        <f t="shared" si="7"/>
        <v>25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SP-21-0238</v>
      </c>
      <c r="B66" s="29">
        <f t="shared" ref="B66:B81" si="9">$B$2</f>
        <v>7.9042252021252022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5</v>
      </c>
      <c r="F66" s="29">
        <f t="shared" ref="F66:F81" si="13">$F$2</f>
        <v>25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SP-21-0238</v>
      </c>
      <c r="B67" s="29">
        <f t="shared" si="9"/>
        <v>7.9042252021252022</v>
      </c>
      <c r="C67" s="29">
        <f t="shared" si="10"/>
        <v>40</v>
      </c>
      <c r="D67" s="29">
        <f t="shared" si="11"/>
        <v>5</v>
      </c>
      <c r="E67" s="29">
        <f t="shared" si="12"/>
        <v>5</v>
      </c>
      <c r="F67" s="29">
        <f t="shared" si="13"/>
        <v>25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SP-21-0238</v>
      </c>
      <c r="B68" s="29">
        <f t="shared" si="9"/>
        <v>7.9042252021252022</v>
      </c>
      <c r="C68" s="29">
        <f t="shared" si="10"/>
        <v>40</v>
      </c>
      <c r="D68" s="29">
        <f t="shared" si="11"/>
        <v>5</v>
      </c>
      <c r="E68" s="29">
        <f t="shared" si="12"/>
        <v>5</v>
      </c>
      <c r="F68" s="29">
        <f t="shared" si="13"/>
        <v>25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SP-21-0238</v>
      </c>
      <c r="B69" s="29">
        <f t="shared" si="9"/>
        <v>7.9042252021252022</v>
      </c>
      <c r="C69" s="29">
        <f t="shared" si="10"/>
        <v>40</v>
      </c>
      <c r="D69" s="29">
        <f t="shared" si="11"/>
        <v>5</v>
      </c>
      <c r="E69" s="29">
        <f t="shared" si="12"/>
        <v>5</v>
      </c>
      <c r="F69" s="29">
        <f t="shared" si="13"/>
        <v>25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SP-21-0238</v>
      </c>
      <c r="B70" s="29">
        <f t="shared" si="9"/>
        <v>7.9042252021252022</v>
      </c>
      <c r="C70" s="29">
        <f t="shared" si="10"/>
        <v>40</v>
      </c>
      <c r="D70" s="29">
        <f t="shared" si="11"/>
        <v>5</v>
      </c>
      <c r="E70" s="29">
        <f t="shared" si="12"/>
        <v>5</v>
      </c>
      <c r="F70" s="29">
        <f t="shared" si="13"/>
        <v>25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SP-21-0238</v>
      </c>
      <c r="B71" s="29">
        <f t="shared" si="9"/>
        <v>7.9042252021252022</v>
      </c>
      <c r="C71" s="29">
        <f t="shared" si="10"/>
        <v>40</v>
      </c>
      <c r="D71" s="29">
        <f t="shared" si="11"/>
        <v>5</v>
      </c>
      <c r="E71" s="29">
        <f t="shared" si="12"/>
        <v>5</v>
      </c>
      <c r="F71" s="29">
        <f t="shared" si="13"/>
        <v>25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SP-21-0238</v>
      </c>
      <c r="B72" s="29">
        <f t="shared" si="9"/>
        <v>7.9042252021252022</v>
      </c>
      <c r="C72" s="29">
        <f t="shared" si="10"/>
        <v>40</v>
      </c>
      <c r="D72" s="29">
        <f t="shared" si="11"/>
        <v>5</v>
      </c>
      <c r="E72" s="29">
        <f t="shared" si="12"/>
        <v>5</v>
      </c>
      <c r="F72" s="29">
        <f t="shared" si="13"/>
        <v>25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SP-21-0238</v>
      </c>
      <c r="B73" s="29">
        <f t="shared" si="9"/>
        <v>7.9042252021252022</v>
      </c>
      <c r="C73" s="29">
        <f t="shared" si="10"/>
        <v>40</v>
      </c>
      <c r="D73" s="29">
        <f t="shared" si="11"/>
        <v>5</v>
      </c>
      <c r="E73" s="29">
        <f t="shared" si="12"/>
        <v>5</v>
      </c>
      <c r="F73" s="29">
        <f t="shared" si="13"/>
        <v>25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SP-21-0238</v>
      </c>
      <c r="B74" s="29">
        <f t="shared" si="9"/>
        <v>7.9042252021252022</v>
      </c>
      <c r="C74" s="29">
        <f t="shared" si="10"/>
        <v>40</v>
      </c>
      <c r="D74" s="29">
        <f t="shared" si="11"/>
        <v>5</v>
      </c>
      <c r="E74" s="29">
        <f t="shared" si="12"/>
        <v>5</v>
      </c>
      <c r="F74" s="29">
        <f t="shared" si="13"/>
        <v>25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SP-21-0238</v>
      </c>
      <c r="B75" s="29">
        <f t="shared" si="9"/>
        <v>7.9042252021252022</v>
      </c>
      <c r="C75" s="29">
        <f t="shared" si="10"/>
        <v>40</v>
      </c>
      <c r="D75" s="29">
        <f t="shared" si="11"/>
        <v>5</v>
      </c>
      <c r="E75" s="29">
        <f t="shared" si="12"/>
        <v>5</v>
      </c>
      <c r="F75" s="29">
        <f t="shared" si="13"/>
        <v>25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SP-21-0238</v>
      </c>
      <c r="B76" s="29">
        <f t="shared" si="9"/>
        <v>7.9042252021252022</v>
      </c>
      <c r="C76" s="29">
        <f t="shared" si="10"/>
        <v>40</v>
      </c>
      <c r="D76" s="29">
        <f t="shared" si="11"/>
        <v>5</v>
      </c>
      <c r="E76" s="29">
        <f t="shared" si="12"/>
        <v>5</v>
      </c>
      <c r="F76" s="29">
        <f t="shared" si="13"/>
        <v>25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SP-21-0238</v>
      </c>
      <c r="B77" s="29">
        <f t="shared" si="9"/>
        <v>7.9042252021252022</v>
      </c>
      <c r="C77" s="29">
        <f t="shared" si="10"/>
        <v>40</v>
      </c>
      <c r="D77" s="29">
        <f t="shared" si="11"/>
        <v>5</v>
      </c>
      <c r="E77" s="29">
        <f t="shared" si="12"/>
        <v>5</v>
      </c>
      <c r="F77" s="29">
        <f t="shared" si="13"/>
        <v>25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SP-21-0238</v>
      </c>
      <c r="B78" s="29">
        <f t="shared" si="9"/>
        <v>7.9042252021252022</v>
      </c>
      <c r="C78" s="29">
        <f t="shared" si="10"/>
        <v>40</v>
      </c>
      <c r="D78" s="29">
        <f t="shared" si="11"/>
        <v>5</v>
      </c>
      <c r="E78" s="29">
        <f t="shared" si="12"/>
        <v>5</v>
      </c>
      <c r="F78" s="29">
        <f t="shared" si="13"/>
        <v>25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SP-21-0238</v>
      </c>
      <c r="B79" s="29">
        <f t="shared" si="9"/>
        <v>7.9042252021252022</v>
      </c>
      <c r="C79" s="29">
        <f t="shared" si="10"/>
        <v>40</v>
      </c>
      <c r="D79" s="29">
        <f t="shared" si="11"/>
        <v>5</v>
      </c>
      <c r="E79" s="29">
        <f t="shared" si="12"/>
        <v>5</v>
      </c>
      <c r="F79" s="29">
        <f t="shared" si="13"/>
        <v>25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SP-21-0238</v>
      </c>
      <c r="B80" s="29">
        <f t="shared" si="9"/>
        <v>7.9042252021252022</v>
      </c>
      <c r="C80" s="29">
        <f t="shared" si="10"/>
        <v>40</v>
      </c>
      <c r="D80" s="29">
        <f t="shared" si="11"/>
        <v>5</v>
      </c>
      <c r="E80" s="29">
        <f t="shared" si="12"/>
        <v>5</v>
      </c>
      <c r="F80" s="29">
        <f t="shared" si="13"/>
        <v>25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SP-21-0238</v>
      </c>
      <c r="B81" s="29">
        <f t="shared" si="9"/>
        <v>7.9042252021252022</v>
      </c>
      <c r="C81" s="29">
        <f t="shared" si="10"/>
        <v>40</v>
      </c>
      <c r="D81" s="29">
        <f t="shared" si="11"/>
        <v>5</v>
      </c>
      <c r="E81" s="29">
        <f t="shared" si="12"/>
        <v>5</v>
      </c>
      <c r="F81" s="29">
        <f t="shared" si="13"/>
        <v>25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2022-02-28T00:43:39Z</dcterms:modified>
</cp:coreProperties>
</file>