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CAC4258A-03E9-4025-A86F-5D78E5E1B93C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D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L47" i="4" l="1"/>
  <c r="M47" i="4" s="1"/>
  <c r="L80" i="4"/>
  <c r="M80" i="4" s="1"/>
  <c r="L67" i="4"/>
  <c r="M67" i="4" s="1"/>
  <c r="L61" i="4"/>
  <c r="M61" i="4" s="1"/>
  <c r="L54" i="4"/>
  <c r="M54" i="4" s="1"/>
  <c r="L46" i="4"/>
  <c r="M46" i="4" s="1"/>
  <c r="L79" i="4"/>
  <c r="M79" i="4" s="1"/>
  <c r="L73" i="4"/>
  <c r="M73" i="4" s="1"/>
  <c r="L66" i="4"/>
  <c r="M66" i="4" s="1"/>
  <c r="L60" i="4"/>
  <c r="M60" i="4" s="1"/>
  <c r="L78" i="4"/>
  <c r="M78" i="4" s="1"/>
  <c r="L72" i="4"/>
  <c r="M72" i="4" s="1"/>
  <c r="L59" i="4"/>
  <c r="M59" i="4" s="1"/>
  <c r="L53" i="4"/>
  <c r="M53" i="4" s="1"/>
  <c r="L45" i="4"/>
  <c r="M45" i="4" s="1"/>
  <c r="L71" i="4"/>
  <c r="M71" i="4" s="1"/>
  <c r="L65" i="4"/>
  <c r="M65" i="4" s="1"/>
  <c r="L58" i="4"/>
  <c r="M58" i="4" s="1"/>
  <c r="L50" i="4"/>
  <c r="M50" i="4" s="1"/>
  <c r="L44" i="4"/>
  <c r="M44" i="4" s="1"/>
  <c r="L77" i="4"/>
  <c r="M77" i="4" s="1"/>
  <c r="L70" i="4"/>
  <c r="M70" i="4" s="1"/>
  <c r="L64" i="4"/>
  <c r="M64" i="4" s="1"/>
  <c r="L43" i="4"/>
  <c r="M43" i="4" s="1"/>
  <c r="L76" i="4"/>
  <c r="M76" i="4" s="1"/>
  <c r="L63" i="4"/>
  <c r="M63" i="4" s="1"/>
  <c r="L57" i="4"/>
  <c r="M57" i="4" s="1"/>
  <c r="L49" i="4"/>
  <c r="M49" i="4" s="1"/>
  <c r="L42" i="4"/>
  <c r="M42" i="4" s="1"/>
  <c r="L52" i="4"/>
  <c r="M52" i="4" s="1"/>
  <c r="L75" i="4"/>
  <c r="M75" i="4" s="1"/>
  <c r="L69" i="4"/>
  <c r="M69" i="4" s="1"/>
  <c r="L62" i="4"/>
  <c r="M62" i="4" s="1"/>
  <c r="L56" i="4"/>
  <c r="M56" i="4" s="1"/>
  <c r="L48" i="4"/>
  <c r="M48" i="4" s="1"/>
  <c r="L51" i="4"/>
  <c r="M51" i="4" s="1"/>
  <c r="L81" i="4"/>
  <c r="M81" i="4" s="1"/>
  <c r="L74" i="4"/>
  <c r="M74" i="4" s="1"/>
  <c r="L68" i="4"/>
  <c r="M68" i="4" s="1"/>
  <c r="L55" i="4"/>
  <c r="M55" i="4" s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L30" i="4" l="1"/>
  <c r="M30" i="4" s="1"/>
  <c r="L38" i="4"/>
  <c r="M38" i="4" s="1"/>
  <c r="L7" i="4"/>
  <c r="M7" i="4" s="1"/>
  <c r="L15" i="4"/>
  <c r="M15" i="4" s="1"/>
  <c r="L2" i="4"/>
  <c r="M2" i="4" s="1"/>
  <c r="L8" i="4"/>
  <c r="M8" i="4" s="1"/>
  <c r="L17" i="4"/>
  <c r="M17" i="4" s="1"/>
  <c r="L23" i="4"/>
  <c r="M23" i="4" s="1"/>
  <c r="L31" i="4"/>
  <c r="M31" i="4" s="1"/>
  <c r="L39" i="4"/>
  <c r="M39" i="4" s="1"/>
  <c r="L16" i="4"/>
  <c r="M16" i="4" s="1"/>
  <c r="L24" i="4"/>
  <c r="M24" i="4" s="1"/>
  <c r="L32" i="4"/>
  <c r="M32" i="4" s="1"/>
  <c r="L25" i="4"/>
  <c r="M25" i="4" s="1"/>
  <c r="L33" i="4"/>
  <c r="M33" i="4" s="1"/>
  <c r="L41" i="4"/>
  <c r="M41" i="4" s="1"/>
  <c r="L10" i="4"/>
  <c r="M10" i="4" s="1"/>
  <c r="L26" i="4"/>
  <c r="M26" i="4" s="1"/>
  <c r="L34" i="4"/>
  <c r="M34" i="4" s="1"/>
  <c r="L3" i="4"/>
  <c r="M3" i="4" s="1"/>
  <c r="L11" i="4"/>
  <c r="M11" i="4" s="1"/>
  <c r="L19" i="4"/>
  <c r="M19" i="4" s="1"/>
  <c r="L27" i="4"/>
  <c r="M27" i="4" s="1"/>
  <c r="L35" i="4"/>
  <c r="M35" i="4" s="1"/>
  <c r="L4" i="4"/>
  <c r="M4" i="4" s="1"/>
  <c r="L12" i="4"/>
  <c r="M12" i="4" s="1"/>
  <c r="L20" i="4"/>
  <c r="M20" i="4" s="1"/>
  <c r="L37" i="4"/>
  <c r="M37" i="4" s="1"/>
  <c r="L14" i="4"/>
  <c r="M14" i="4" s="1"/>
  <c r="L9" i="4"/>
  <c r="M9" i="4" s="1"/>
  <c r="L18" i="4"/>
  <c r="M18" i="4" s="1"/>
  <c r="L28" i="4"/>
  <c r="M28" i="4" s="1"/>
  <c r="L36" i="4"/>
  <c r="M36" i="4" s="1"/>
  <c r="L5" i="4"/>
  <c r="M5" i="4" s="1"/>
  <c r="L13" i="4"/>
  <c r="M13" i="4" s="1"/>
  <c r="L21" i="4"/>
  <c r="M21" i="4" s="1"/>
  <c r="L29" i="4"/>
  <c r="M29" i="4" s="1"/>
  <c r="L6" i="4"/>
  <c r="M6" i="4" s="1"/>
  <c r="L22" i="4"/>
  <c r="M22" i="4" s="1"/>
  <c r="L40" i="4"/>
  <c r="M40" i="4" s="1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<sst xmlns="http://schemas.openxmlformats.org/spreadsheetml/2006/main" count="69" uniqueCount="68">
  <si>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</si>
  <si>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</si>
  <si>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</si>
  <si>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</si>
  <si>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</si>
  <si>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</si>
  <si>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</si>
  <si>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</si>
  <si>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</si>
  <si>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</si>
  <si>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</si>
  <si>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</si>
  <si>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</si>
  <si>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</si>
  <si>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</si>
  <si>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</si>
  <si>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</si>
  <si>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</si>
  <si>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</si>
  <si>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</si>
  <si>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</si>
  <si>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</si>
  <si>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</si>
  <si>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</si>
  <si>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</si>
  <si>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</si>
  <si>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</si>
  <si>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</si>
  <si>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</si>
  <si>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</si>
  <si>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</si>
  <si>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</si>
  <si>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</si>
  <si>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</si>
  <si>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</si>
  <si>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</si>
  <si>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</si>
  <si>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</si>
  <si>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</si>
  <si>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</si>
  <si>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</si>
  <si>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</si>
  <si>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</si>
  <si>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</si>
  <si>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</si>
  <si>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</si>
  <si>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</si>
  <si>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</si>
  <si>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</si>
  <si>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</si>
  <si>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</si>
  <si>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</si>
  <si>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</si>
  <si>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</si>
  <si>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</si>
  <si>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</si>
  <si>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</si>
  <si>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</si>
  <si>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</si>
  <si>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</si>
  <si>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</si>
  <si>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Copepoda (Cyclopoida)</t>
  </si>
  <si>
    <t>Chaetognatha</t>
  </si>
  <si>
    <t>Amphipoda (Hyperiidae)</t>
  </si>
  <si>
    <t>Ostracoda</t>
  </si>
  <si>
    <t>Decapoda (Zoea)</t>
  </si>
  <si>
    <t>SP-21-0226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</si>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</sst>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12C81C8F-2319-4B4B-8554-41E607E04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DDBF98C1-0877-4B4E-AEA6-FCB775D34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52FDC62A-6795-4EE4-BA7A-DCD3693B9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EDF4DA40-1352-473E-B994-FFCE456FD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2030EA4C-CAEE-4593-8CAB-102FB68BF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5B1CEB43-284A-4C02-AA2B-82E89357E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6F333AAF-DE03-4CC6-912B-1D9E8136B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G4" sqref="G4:M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5"/>
      <c r="B1" s="6"/>
      <c r="I1" s="61" t="s">
        <v>33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3"/>
    </row>
    <row r="2" spans="1:29" ht="37.5" customHeight="1" x14ac:dyDescent="0.2">
      <c r="A2" s="55"/>
      <c r="B2" s="6"/>
      <c r="I2" s="56" t="s">
        <v>32</v>
      </c>
      <c r="J2" s="57"/>
      <c r="K2" s="57"/>
      <c r="L2" s="57"/>
      <c r="M2" s="57"/>
      <c r="N2" s="57"/>
      <c r="O2" s="5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0" t="s">
        <v>1</v>
      </c>
      <c r="B4" s="60"/>
      <c r="C4" s="60"/>
      <c r="D4" s="60"/>
      <c r="E4" s="60"/>
      <c r="F4" s="63"/>
      <c r="G4" s="58" t="s">
        <v>67</v>
      </c>
      <c r="H4" s="58"/>
      <c r="I4" s="58"/>
      <c r="J4" s="58"/>
      <c r="K4" s="58"/>
      <c r="L4" s="58"/>
      <c r="M4" s="58"/>
      <c r="N4" s="59" t="s">
        <v>11</v>
      </c>
      <c r="O4" s="59"/>
      <c r="P4" s="59"/>
      <c r="Q4" s="59"/>
      <c r="R4" s="59"/>
      <c r="S4" s="59"/>
      <c r="T4" s="59"/>
      <c r="U4" s="40" t="s">
        <v>54</v>
      </c>
      <c r="V4" s="41"/>
      <c r="W4" s="41"/>
      <c r="X4" s="41"/>
      <c r="Y4" s="41"/>
      <c r="Z4" s="41"/>
      <c r="AA4" s="41"/>
      <c r="AB4" s="42"/>
      <c r="AC4" s="3"/>
    </row>
    <row r="5" spans="1:29" ht="24" customHeight="1" x14ac:dyDescent="0.2">
      <c r="A5" s="60" t="s">
        <v>5</v>
      </c>
      <c r="B5" s="60"/>
      <c r="C5" s="60"/>
      <c r="D5" s="60"/>
      <c r="E5" s="60"/>
      <c r="F5" s="63"/>
      <c r="G5" s="44" t="s">
        <v>38</v>
      </c>
      <c r="H5" s="44"/>
      <c r="I5" s="44"/>
      <c r="J5" s="44"/>
      <c r="K5" s="44"/>
      <c r="L5" s="44"/>
      <c r="M5" s="44"/>
      <c r="N5" s="60" t="s">
        <v>9</v>
      </c>
      <c r="O5" s="60"/>
      <c r="P5" s="60"/>
      <c r="Q5" s="60"/>
      <c r="R5" s="60"/>
      <c r="S5" s="60"/>
      <c r="T5" s="60"/>
      <c r="U5" s="47">
        <v>44484</v>
      </c>
      <c r="V5" s="48"/>
      <c r="W5" s="49"/>
      <c r="X5" s="24" t="s">
        <v>30</v>
      </c>
      <c r="Y5" s="66">
        <v>0.39583333333333331</v>
      </c>
      <c r="Z5" s="67"/>
      <c r="AA5" s="67"/>
      <c r="AB5" s="67"/>
    </row>
    <row r="6" spans="1:29" ht="24" customHeight="1" x14ac:dyDescent="0.2">
      <c r="A6" s="64" t="s">
        <v>7</v>
      </c>
      <c r="B6" s="64"/>
      <c r="C6" s="64"/>
      <c r="D6" s="64"/>
      <c r="E6" s="64"/>
      <c r="F6" s="65"/>
      <c r="G6" s="44" t="s">
        <v>41</v>
      </c>
      <c r="H6" s="44"/>
      <c r="I6" s="44"/>
      <c r="J6" s="44"/>
      <c r="K6" s="44"/>
      <c r="L6" s="44"/>
      <c r="M6" s="44"/>
      <c r="N6" s="68" t="s">
        <v>0</v>
      </c>
      <c r="O6" s="68"/>
      <c r="P6" s="68"/>
      <c r="Q6" s="68"/>
      <c r="R6" s="68"/>
      <c r="S6" s="68"/>
      <c r="T6" s="68"/>
      <c r="U6" s="47">
        <v>44484</v>
      </c>
      <c r="V6" s="48"/>
      <c r="W6" s="49"/>
      <c r="X6" s="24" t="s">
        <v>30</v>
      </c>
      <c r="Y6" s="66">
        <v>0.62152777777777779</v>
      </c>
      <c r="Z6" s="67"/>
      <c r="AA6" s="67"/>
      <c r="AB6" s="67"/>
    </row>
    <row r="7" spans="1:29" ht="24" customHeight="1" x14ac:dyDescent="0.2">
      <c r="A7" s="60" t="s">
        <v>10</v>
      </c>
      <c r="B7" s="60"/>
      <c r="C7" s="60"/>
      <c r="D7" s="60"/>
      <c r="E7" s="60"/>
      <c r="F7" s="63"/>
      <c r="G7" s="44" t="s">
        <v>42</v>
      </c>
      <c r="H7" s="44"/>
      <c r="I7" s="44"/>
      <c r="J7" s="44"/>
      <c r="K7" s="44"/>
      <c r="L7" s="44"/>
      <c r="M7" s="44"/>
      <c r="N7" s="45" t="s">
        <v>35</v>
      </c>
      <c r="O7" s="45"/>
      <c r="P7" s="45"/>
      <c r="Q7" s="45"/>
      <c r="R7" s="45"/>
      <c r="S7" s="45"/>
      <c r="T7" s="45"/>
      <c r="U7" s="71" t="s">
        <v>40</v>
      </c>
      <c r="V7" s="71"/>
      <c r="W7" s="71"/>
      <c r="X7" s="71"/>
      <c r="Y7" s="71"/>
      <c r="Z7" s="71"/>
      <c r="AA7" s="71"/>
      <c r="AB7" s="71"/>
    </row>
    <row r="8" spans="1:29" ht="24" customHeight="1" x14ac:dyDescent="0.2">
      <c r="A8" s="64" t="s">
        <v>2</v>
      </c>
      <c r="B8" s="64"/>
      <c r="C8" s="64"/>
      <c r="D8" s="64"/>
      <c r="E8" s="64"/>
      <c r="F8" s="65"/>
      <c r="G8" s="44">
        <v>20065667</v>
      </c>
      <c r="H8" s="44"/>
      <c r="I8" s="44"/>
      <c r="J8" s="44"/>
      <c r="K8" s="44"/>
      <c r="L8" s="44"/>
      <c r="M8" s="44"/>
      <c r="N8" s="45" t="s">
        <v>4</v>
      </c>
      <c r="O8" s="45"/>
      <c r="P8" s="45"/>
      <c r="Q8" s="45"/>
      <c r="R8" s="45"/>
      <c r="S8" s="45"/>
      <c r="T8" s="45"/>
      <c r="U8" s="46" t="s">
        <v>39</v>
      </c>
      <c r="V8" s="46"/>
      <c r="W8" s="46"/>
      <c r="X8" s="46"/>
      <c r="Y8" s="46"/>
      <c r="Z8" s="46"/>
      <c r="AA8" s="46"/>
      <c r="AB8" s="46"/>
    </row>
    <row r="9" spans="1:29" ht="24" customHeight="1" x14ac:dyDescent="0.2">
      <c r="A9" s="64" t="s">
        <v>6</v>
      </c>
      <c r="B9" s="64"/>
      <c r="C9" s="64"/>
      <c r="D9" s="64"/>
      <c r="E9" s="64"/>
      <c r="F9" s="65"/>
      <c r="G9" s="69" t="s">
        <v>43</v>
      </c>
      <c r="H9" s="69"/>
      <c r="I9" s="69"/>
      <c r="J9" s="69"/>
      <c r="K9" s="69"/>
      <c r="L9" s="69"/>
      <c r="M9" s="69"/>
      <c r="N9" s="45" t="s">
        <v>31</v>
      </c>
      <c r="O9" s="45"/>
      <c r="P9" s="45"/>
      <c r="Q9" s="45"/>
      <c r="R9" s="45"/>
      <c r="S9" s="45"/>
      <c r="T9" s="45"/>
      <c r="U9" s="70" t="s">
        <v>66</v>
      </c>
      <c r="V9" s="70"/>
      <c r="W9" s="70"/>
      <c r="X9" s="70"/>
      <c r="Y9" s="70"/>
      <c r="Z9" s="70"/>
      <c r="AA9" s="70"/>
      <c r="AB9" s="70"/>
    </row>
    <row r="10" spans="1:29" ht="6" customHeight="1" x14ac:dyDescent="0.2">
      <c r="U10" s="8"/>
      <c r="V10" s="8"/>
      <c r="W10" s="8"/>
    </row>
    <row r="11" spans="1:29" ht="23.25" customHeight="1" x14ac:dyDescent="0.2">
      <c r="A11" s="50" t="s">
        <v>8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19"/>
      <c r="N11" s="45" t="s">
        <v>12</v>
      </c>
      <c r="O11" s="45"/>
      <c r="P11" s="45"/>
      <c r="Q11" s="45"/>
      <c r="R11" s="45"/>
      <c r="S11" s="44"/>
      <c r="T11" s="44"/>
      <c r="U11" s="45" t="s">
        <v>13</v>
      </c>
      <c r="V11" s="45"/>
      <c r="W11" s="45"/>
      <c r="X11" s="45"/>
      <c r="Y11" s="45"/>
      <c r="Z11" s="45"/>
      <c r="AA11" s="40"/>
      <c r="AB11" s="42"/>
    </row>
    <row r="12" spans="1:29" ht="6" customHeight="1" x14ac:dyDescent="0.2"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</row>
    <row r="13" spans="1:29" ht="36" customHeight="1" x14ac:dyDescent="0.2">
      <c r="A13" s="52" t="s">
        <v>36</v>
      </c>
      <c r="B13" s="53"/>
      <c r="C13" s="53"/>
      <c r="D13" s="53"/>
      <c r="E13" s="53"/>
      <c r="F13" s="25" t="s">
        <v>37</v>
      </c>
      <c r="G13" s="43" t="s">
        <v>14</v>
      </c>
      <c r="H13" s="43"/>
      <c r="I13" s="43"/>
      <c r="J13" s="54">
        <v>4.0470899399399398</v>
      </c>
      <c r="K13" s="54">
        <v>33.17347386232386</v>
      </c>
      <c r="L13" s="43" t="s">
        <v>15</v>
      </c>
      <c r="M13" s="43"/>
      <c r="N13" s="43"/>
      <c r="O13" s="40">
        <v>100</v>
      </c>
      <c r="P13" s="41"/>
      <c r="Q13" s="42"/>
      <c r="R13" s="43" t="s">
        <v>16</v>
      </c>
      <c r="S13" s="43"/>
      <c r="T13" s="43"/>
      <c r="U13" s="44">
        <v>5</v>
      </c>
      <c r="V13" s="44"/>
      <c r="W13" s="43" t="s">
        <v>17</v>
      </c>
      <c r="X13" s="43"/>
      <c r="Y13" s="43"/>
      <c r="Z13" s="43"/>
      <c r="AA13" s="44">
        <v>1</v>
      </c>
      <c r="AB13" s="44"/>
    </row>
    <row r="14" spans="1:29" ht="27" customHeight="1" x14ac:dyDescent="0.2">
      <c r="A14" s="53" t="s">
        <v>3</v>
      </c>
      <c r="B14" s="53"/>
      <c r="C14" s="53"/>
      <c r="D14" s="53"/>
      <c r="E14" s="53"/>
      <c r="F14" s="25"/>
      <c r="G14" s="43" t="s">
        <v>18</v>
      </c>
      <c r="H14" s="43"/>
      <c r="I14" s="43"/>
      <c r="J14" s="43"/>
      <c r="K14" s="43"/>
      <c r="L14" s="43"/>
      <c r="M14" s="72"/>
      <c r="N14" s="73"/>
      <c r="O14" s="73"/>
      <c r="P14" s="73"/>
      <c r="Q14" s="74"/>
      <c r="R14" s="43" t="s">
        <v>19</v>
      </c>
      <c r="S14" s="43"/>
      <c r="T14" s="43"/>
      <c r="U14" s="43"/>
      <c r="V14" s="43"/>
      <c r="W14" s="84" t="s">
        <v>55</v>
      </c>
      <c r="X14" s="84"/>
      <c r="Y14" s="84"/>
      <c r="Z14" s="84"/>
      <c r="AA14" s="84"/>
      <c r="AB14" s="8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83" t="s">
        <v>57</v>
      </c>
      <c r="B18" s="83"/>
      <c r="C18" s="83"/>
      <c r="D18" s="83"/>
      <c r="E18" s="83"/>
      <c r="F18" s="83"/>
      <c r="G18" s="16">
        <v>-5</v>
      </c>
      <c r="H18" s="16">
        <v>1</v>
      </c>
      <c r="I18" s="16"/>
      <c r="J18" s="76"/>
      <c r="K18" s="77"/>
      <c r="L18" s="78"/>
      <c r="M18" s="16"/>
      <c r="N18" s="16">
        <v>0</v>
      </c>
      <c r="O18" s="16"/>
      <c r="P18" s="79"/>
      <c r="Q18" s="79"/>
      <c r="R18" s="79"/>
      <c r="S18" s="79"/>
      <c r="T18" s="17"/>
      <c r="U18" s="16">
        <v>0</v>
      </c>
      <c r="V18" s="17"/>
      <c r="W18" s="79"/>
      <c r="X18" s="79"/>
      <c r="Y18" s="79"/>
      <c r="Z18" s="17"/>
      <c r="AA18" s="16">
        <v>0</v>
      </c>
      <c r="AB18" s="17"/>
    </row>
    <row r="19" spans="1:28" ht="15" customHeight="1" x14ac:dyDescent="0.2">
      <c r="A19" s="83" t="s">
        <v>64</v>
      </c>
      <c r="B19" s="83"/>
      <c r="C19" s="83"/>
      <c r="D19" s="83"/>
      <c r="E19" s="83"/>
      <c r="F19" s="83"/>
      <c r="G19" s="16"/>
      <c r="H19" s="16">
        <v>3</v>
      </c>
      <c r="I19" s="16"/>
      <c r="J19" s="76"/>
      <c r="K19" s="77"/>
      <c r="L19" s="78"/>
      <c r="M19" s="16"/>
      <c r="N19" s="16">
        <v>0</v>
      </c>
      <c r="O19" s="16"/>
      <c r="P19" s="79"/>
      <c r="Q19" s="79"/>
      <c r="R19" s="79"/>
      <c r="S19" s="79"/>
      <c r="T19" s="17"/>
      <c r="U19" s="16">
        <v>0</v>
      </c>
      <c r="V19" s="17"/>
      <c r="W19" s="79"/>
      <c r="X19" s="79"/>
      <c r="Y19" s="79"/>
      <c r="Z19" s="17"/>
      <c r="AA19" s="16">
        <v>0</v>
      </c>
      <c r="AB19" s="17"/>
    </row>
    <row r="20" spans="1:28" ht="15" customHeight="1" x14ac:dyDescent="0.2">
      <c r="A20" s="37" t="s">
        <v>58</v>
      </c>
      <c r="B20" s="38"/>
      <c r="C20" s="38"/>
      <c r="D20" s="38"/>
      <c r="E20" s="38"/>
      <c r="F20" s="39"/>
      <c r="G20" s="16"/>
      <c r="H20" s="32">
        <v>3</v>
      </c>
      <c r="I20" s="16"/>
      <c r="J20" s="76"/>
      <c r="K20" s="77"/>
      <c r="L20" s="78"/>
      <c r="M20" s="16"/>
      <c r="N20" s="16">
        <v>0</v>
      </c>
      <c r="O20" s="16"/>
      <c r="P20" s="79"/>
      <c r="Q20" s="79"/>
      <c r="R20" s="79"/>
      <c r="S20" s="79"/>
      <c r="T20" s="17"/>
      <c r="U20" s="16">
        <v>0</v>
      </c>
      <c r="V20" s="17"/>
      <c r="W20" s="79"/>
      <c r="X20" s="79"/>
      <c r="Y20" s="79"/>
      <c r="Z20" s="18"/>
      <c r="AA20" s="16">
        <v>0</v>
      </c>
      <c r="AB20" s="17"/>
    </row>
    <row r="21" spans="1:28" ht="15" customHeight="1" x14ac:dyDescent="0.2">
      <c r="A21" s="37" t="s">
        <v>59</v>
      </c>
      <c r="B21" s="38"/>
      <c r="C21" s="38"/>
      <c r="D21" s="38"/>
      <c r="E21" s="38"/>
      <c r="F21" s="39"/>
      <c r="G21" s="16"/>
      <c r="H21" s="16">
        <v>309</v>
      </c>
      <c r="I21" s="16"/>
      <c r="J21" s="76"/>
      <c r="K21" s="77"/>
      <c r="L21" s="78"/>
      <c r="M21" s="16"/>
      <c r="N21" s="16">
        <v>0</v>
      </c>
      <c r="O21" s="16"/>
      <c r="P21" s="79"/>
      <c r="Q21" s="79"/>
      <c r="R21" s="79"/>
      <c r="S21" s="79"/>
      <c r="T21" s="17"/>
      <c r="U21" s="16">
        <v>0</v>
      </c>
      <c r="V21" s="17"/>
      <c r="W21" s="85"/>
      <c r="X21" s="85"/>
      <c r="Y21" s="85"/>
      <c r="Z21" s="17"/>
      <c r="AA21" s="16">
        <v>0</v>
      </c>
      <c r="AB21" s="17"/>
    </row>
    <row r="22" spans="1:28" ht="15" customHeight="1" x14ac:dyDescent="0.2">
      <c r="A22" s="37" t="s">
        <v>63</v>
      </c>
      <c r="B22" s="38"/>
      <c r="C22" s="38"/>
      <c r="D22" s="38"/>
      <c r="E22" s="38"/>
      <c r="F22" s="39"/>
      <c r="G22" s="32" t="s">
        <v>56</v>
      </c>
      <c r="H22" s="16">
        <v>11</v>
      </c>
      <c r="I22" s="16"/>
      <c r="J22" s="76"/>
      <c r="K22" s="77"/>
      <c r="L22" s="78"/>
      <c r="M22" s="16"/>
      <c r="N22" s="16">
        <v>0</v>
      </c>
      <c r="O22" s="16"/>
      <c r="P22" s="79"/>
      <c r="Q22" s="79"/>
      <c r="R22" s="79"/>
      <c r="S22" s="79"/>
      <c r="T22" s="17"/>
      <c r="U22" s="32">
        <v>0</v>
      </c>
      <c r="V22" s="17"/>
      <c r="W22" s="85"/>
      <c r="X22" s="85"/>
      <c r="Y22" s="85"/>
      <c r="Z22" s="17"/>
      <c r="AA22" s="16">
        <v>0</v>
      </c>
      <c r="AB22" s="17"/>
    </row>
    <row r="23" spans="1:28" ht="15" customHeight="1" x14ac:dyDescent="0.2">
      <c r="A23" s="37" t="s">
        <v>65</v>
      </c>
      <c r="B23" s="38"/>
      <c r="C23" s="38"/>
      <c r="D23" s="38"/>
      <c r="E23" s="38"/>
      <c r="F23" s="39"/>
      <c r="G23" s="16"/>
      <c r="H23" s="16">
        <v>1</v>
      </c>
      <c r="I23" s="16"/>
      <c r="J23" s="76"/>
      <c r="K23" s="77"/>
      <c r="L23" s="78"/>
      <c r="M23" s="16"/>
      <c r="N23" s="16">
        <v>0</v>
      </c>
      <c r="O23" s="16"/>
      <c r="P23" s="86"/>
      <c r="Q23" s="86"/>
      <c r="R23" s="86"/>
      <c r="S23" s="86"/>
      <c r="T23" s="17"/>
      <c r="U23" s="16">
        <v>0</v>
      </c>
      <c r="V23" s="17"/>
      <c r="W23" s="85"/>
      <c r="X23" s="85"/>
      <c r="Y23" s="85"/>
      <c r="Z23" s="17"/>
      <c r="AA23" s="16">
        <v>0</v>
      </c>
      <c r="AB23" s="17"/>
    </row>
    <row r="24" spans="1:28" ht="15" customHeight="1" x14ac:dyDescent="0.2">
      <c r="A24" s="37" t="s">
        <v>62</v>
      </c>
      <c r="B24" s="38"/>
      <c r="C24" s="38"/>
      <c r="D24" s="38"/>
      <c r="E24" s="38"/>
      <c r="F24" s="39"/>
      <c r="G24" s="16"/>
      <c r="H24" s="16">
        <v>4</v>
      </c>
      <c r="I24" s="16"/>
      <c r="J24" s="76"/>
      <c r="K24" s="77"/>
      <c r="L24" s="78"/>
      <c r="M24" s="16"/>
      <c r="N24" s="16">
        <v>0</v>
      </c>
      <c r="O24" s="16"/>
      <c r="P24" s="86"/>
      <c r="Q24" s="86"/>
      <c r="R24" s="86"/>
      <c r="S24" s="86"/>
      <c r="T24" s="17"/>
      <c r="U24" s="16">
        <v>0</v>
      </c>
      <c r="V24" s="17"/>
      <c r="W24" s="85"/>
      <c r="X24" s="85"/>
      <c r="Y24" s="85"/>
      <c r="Z24" s="17"/>
      <c r="AA24" s="16">
        <v>0</v>
      </c>
      <c r="AB24" s="17"/>
    </row>
    <row r="25" spans="1:28" ht="15" customHeight="1" x14ac:dyDescent="0.2">
      <c r="A25" s="37" t="s">
        <v>61</v>
      </c>
      <c r="B25" s="38"/>
      <c r="C25" s="38"/>
      <c r="D25" s="38"/>
      <c r="E25" s="38"/>
      <c r="F25" s="39"/>
      <c r="G25" s="16"/>
      <c r="H25" s="16">
        <v>78</v>
      </c>
      <c r="I25" s="16"/>
      <c r="J25" s="87"/>
      <c r="K25" s="88"/>
      <c r="L25" s="89"/>
      <c r="M25" s="16"/>
      <c r="N25" s="16">
        <v>0</v>
      </c>
      <c r="O25" s="16"/>
      <c r="P25" s="86"/>
      <c r="Q25" s="86"/>
      <c r="R25" s="86"/>
      <c r="S25" s="86"/>
      <c r="T25" s="17"/>
      <c r="U25" s="16">
        <v>0</v>
      </c>
      <c r="V25" s="17"/>
      <c r="W25" s="85"/>
      <c r="X25" s="85"/>
      <c r="Y25" s="85"/>
      <c r="Z25" s="17"/>
      <c r="AA25" s="16">
        <v>0</v>
      </c>
      <c r="AB25" s="17"/>
    </row>
    <row r="26" spans="1:28" ht="15" customHeight="1" x14ac:dyDescent="0.2">
      <c r="A26" s="37" t="s">
        <v>60</v>
      </c>
      <c r="B26" s="38"/>
      <c r="C26" s="38"/>
      <c r="D26" s="38"/>
      <c r="E26" s="38"/>
      <c r="F26" s="39"/>
      <c r="G26" s="16"/>
      <c r="H26" s="16">
        <v>2</v>
      </c>
      <c r="I26" s="16"/>
      <c r="J26" s="87"/>
      <c r="K26" s="88"/>
      <c r="L26" s="89"/>
      <c r="M26" s="16"/>
      <c r="N26" s="16">
        <v>0</v>
      </c>
      <c r="O26" s="16"/>
      <c r="P26" s="86"/>
      <c r="Q26" s="86"/>
      <c r="R26" s="86"/>
      <c r="S26" s="86"/>
      <c r="T26" s="17"/>
      <c r="U26" s="16">
        <v>0</v>
      </c>
      <c r="V26" s="17"/>
      <c r="W26" s="85"/>
      <c r="X26" s="85"/>
      <c r="Y26" s="85"/>
      <c r="Z26" s="17"/>
      <c r="AA26" s="16">
        <v>0</v>
      </c>
      <c r="AB26" s="17"/>
    </row>
    <row r="27" spans="1:28" ht="15" customHeight="1" x14ac:dyDescent="0.2">
      <c r="A27" s="37"/>
      <c r="B27" s="38"/>
      <c r="C27" s="38"/>
      <c r="D27" s="38"/>
      <c r="E27" s="38"/>
      <c r="F27" s="39"/>
      <c r="G27" s="16"/>
      <c r="H27" s="16"/>
      <c r="I27" s="16"/>
      <c r="J27" s="76"/>
      <c r="K27" s="77"/>
      <c r="L27" s="78"/>
      <c r="M27" s="16"/>
      <c r="N27" s="16">
        <v>0</v>
      </c>
      <c r="O27" s="16"/>
      <c r="P27" s="86"/>
      <c r="Q27" s="86"/>
      <c r="R27" s="86"/>
      <c r="S27" s="86"/>
      <c r="T27" s="17"/>
      <c r="U27" s="16">
        <v>0</v>
      </c>
      <c r="V27" s="17"/>
      <c r="W27" s="85"/>
      <c r="X27" s="85"/>
      <c r="Y27" s="85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76"/>
      <c r="K28" s="77"/>
      <c r="L28" s="78"/>
      <c r="M28" s="16"/>
      <c r="N28" s="16">
        <v>0</v>
      </c>
      <c r="O28" s="16"/>
      <c r="P28" s="86"/>
      <c r="Q28" s="86"/>
      <c r="R28" s="86"/>
      <c r="S28" s="86"/>
      <c r="T28" s="17"/>
      <c r="U28" s="16">
        <v>0</v>
      </c>
      <c r="V28" s="17"/>
      <c r="W28" s="85"/>
      <c r="X28" s="85"/>
      <c r="Y28" s="85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76"/>
      <c r="K29" s="77"/>
      <c r="L29" s="78"/>
      <c r="M29" s="16"/>
      <c r="N29" s="16">
        <v>0</v>
      </c>
      <c r="O29" s="16"/>
      <c r="P29" s="86"/>
      <c r="Q29" s="86"/>
      <c r="R29" s="86"/>
      <c r="S29" s="86"/>
      <c r="T29" s="17"/>
      <c r="U29" s="16">
        <v>0</v>
      </c>
      <c r="V29" s="17"/>
      <c r="W29" s="85"/>
      <c r="X29" s="85"/>
      <c r="Y29" s="85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76"/>
      <c r="K30" s="77"/>
      <c r="L30" s="78"/>
      <c r="M30" s="16"/>
      <c r="N30" s="16">
        <v>0</v>
      </c>
      <c r="O30" s="16"/>
      <c r="P30" s="79"/>
      <c r="Q30" s="79"/>
      <c r="R30" s="79"/>
      <c r="S30" s="79"/>
      <c r="T30" s="17"/>
      <c r="U30" s="16">
        <v>0</v>
      </c>
      <c r="V30" s="17"/>
      <c r="W30" s="85"/>
      <c r="X30" s="85"/>
      <c r="Y30" s="85"/>
      <c r="Z30" s="17"/>
      <c r="AA30" s="16">
        <v>0</v>
      </c>
      <c r="AB30" s="17"/>
    </row>
    <row r="31" spans="1:28" ht="15" customHeight="1" x14ac:dyDescent="0.2">
      <c r="A31" s="83"/>
      <c r="B31" s="83"/>
      <c r="C31" s="83"/>
      <c r="D31" s="83"/>
      <c r="E31" s="83"/>
      <c r="F31" s="83"/>
      <c r="G31" s="16"/>
      <c r="H31" s="16"/>
      <c r="I31" s="16"/>
      <c r="J31" s="76"/>
      <c r="K31" s="77"/>
      <c r="L31" s="78"/>
      <c r="M31" s="16"/>
      <c r="N31" s="16">
        <v>0</v>
      </c>
      <c r="O31" s="16"/>
      <c r="P31" s="79"/>
      <c r="Q31" s="79"/>
      <c r="R31" s="79"/>
      <c r="S31" s="79"/>
      <c r="T31" s="17"/>
      <c r="U31" s="16">
        <v>0</v>
      </c>
      <c r="V31" s="17"/>
      <c r="W31" s="85"/>
      <c r="X31" s="85"/>
      <c r="Y31" s="85"/>
      <c r="Z31" s="17"/>
      <c r="AA31" s="16">
        <v>0</v>
      </c>
      <c r="AB31" s="17"/>
    </row>
    <row r="32" spans="1:28" ht="15" customHeight="1" x14ac:dyDescent="0.2">
      <c r="A32" s="83"/>
      <c r="B32" s="83"/>
      <c r="C32" s="83"/>
      <c r="D32" s="83"/>
      <c r="E32" s="83"/>
      <c r="F32" s="83"/>
      <c r="G32" s="16"/>
      <c r="H32" s="16"/>
      <c r="I32" s="16"/>
      <c r="J32" s="76"/>
      <c r="K32" s="77"/>
      <c r="L32" s="78"/>
      <c r="M32" s="16"/>
      <c r="N32" s="16">
        <v>0</v>
      </c>
      <c r="O32" s="16"/>
      <c r="P32" s="79"/>
      <c r="Q32" s="79"/>
      <c r="R32" s="79"/>
      <c r="S32" s="79"/>
      <c r="T32" s="17"/>
      <c r="U32" s="16">
        <v>0</v>
      </c>
      <c r="V32" s="17"/>
      <c r="W32" s="85"/>
      <c r="X32" s="85"/>
      <c r="Y32" s="85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>
        <v>0</v>
      </c>
      <c r="I33" s="16"/>
      <c r="J33" s="76"/>
      <c r="K33" s="77"/>
      <c r="L33" s="78"/>
      <c r="M33" s="16"/>
      <c r="N33" s="16">
        <v>0</v>
      </c>
      <c r="O33" s="16"/>
      <c r="P33" s="79"/>
      <c r="Q33" s="79"/>
      <c r="R33" s="79"/>
      <c r="S33" s="79"/>
      <c r="T33" s="17"/>
      <c r="U33" s="16">
        <v>0</v>
      </c>
      <c r="V33" s="17"/>
      <c r="W33" s="85"/>
      <c r="X33" s="85"/>
      <c r="Y33" s="85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>
        <v>0</v>
      </c>
      <c r="I34" s="16"/>
      <c r="J34" s="76"/>
      <c r="K34" s="77"/>
      <c r="L34" s="78"/>
      <c r="M34" s="16"/>
      <c r="N34" s="16">
        <v>0</v>
      </c>
      <c r="O34" s="16"/>
      <c r="P34" s="79"/>
      <c r="Q34" s="79"/>
      <c r="R34" s="79"/>
      <c r="S34" s="79"/>
      <c r="T34" s="17"/>
      <c r="U34" s="16">
        <v>0</v>
      </c>
      <c r="V34" s="17"/>
      <c r="W34" s="85"/>
      <c r="X34" s="85"/>
      <c r="Y34" s="85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76"/>
      <c r="K35" s="77"/>
      <c r="L35" s="78"/>
      <c r="M35" s="16"/>
      <c r="N35" s="16">
        <v>0</v>
      </c>
      <c r="O35" s="16"/>
      <c r="P35" s="79"/>
      <c r="Q35" s="79"/>
      <c r="R35" s="79"/>
      <c r="S35" s="79"/>
      <c r="T35" s="17"/>
      <c r="U35" s="16">
        <v>0</v>
      </c>
      <c r="V35" s="17"/>
      <c r="W35" s="85"/>
      <c r="X35" s="85"/>
      <c r="Y35" s="85"/>
      <c r="Z35" s="17"/>
      <c r="AA35" s="16">
        <v>0</v>
      </c>
      <c r="AB35" s="17"/>
    </row>
    <row r="36" spans="1:28" ht="15" customHeight="1" x14ac:dyDescent="0.2">
      <c r="A36" s="99"/>
      <c r="B36" s="100"/>
      <c r="C36" s="100"/>
      <c r="D36" s="100"/>
      <c r="E36" s="100"/>
      <c r="F36" s="101"/>
      <c r="G36" s="16"/>
      <c r="H36" s="16">
        <v>0</v>
      </c>
      <c r="I36" s="16"/>
      <c r="J36" s="76"/>
      <c r="K36" s="77"/>
      <c r="L36" s="78"/>
      <c r="M36" s="16"/>
      <c r="N36" s="16">
        <v>0</v>
      </c>
      <c r="O36" s="16"/>
      <c r="P36" s="79"/>
      <c r="Q36" s="79"/>
      <c r="R36" s="79"/>
      <c r="S36" s="79"/>
      <c r="T36" s="17"/>
      <c r="U36" s="16">
        <v>0</v>
      </c>
      <c r="V36" s="17"/>
      <c r="W36" s="85"/>
      <c r="X36" s="85"/>
      <c r="Y36" s="85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76"/>
      <c r="K37" s="77"/>
      <c r="L37" s="78"/>
      <c r="M37" s="16"/>
      <c r="N37" s="16">
        <v>0</v>
      </c>
      <c r="O37" s="16"/>
      <c r="P37" s="79"/>
      <c r="Q37" s="79"/>
      <c r="R37" s="79"/>
      <c r="S37" s="79"/>
      <c r="T37" s="17"/>
      <c r="U37" s="16">
        <v>0</v>
      </c>
      <c r="V37" s="17"/>
      <c r="W37" s="98"/>
      <c r="X37" s="85"/>
      <c r="Y37" s="85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2" t="s">
        <v>28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5"/>
      <c r="W40" s="90"/>
      <c r="X40" s="91"/>
      <c r="Y40" s="91"/>
      <c r="Z40" s="91"/>
      <c r="AA40" s="91"/>
      <c r="AB40" s="92"/>
    </row>
    <row r="41" spans="1:28" ht="26.25" customHeight="1" x14ac:dyDescent="0.2">
      <c r="A41" s="106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8"/>
      <c r="V41" s="94"/>
      <c r="W41" s="93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8"/>
      <c r="V42" s="94"/>
      <c r="W42" s="95"/>
      <c r="X42" s="96"/>
      <c r="Y42" s="96"/>
      <c r="Z42" s="96"/>
      <c r="AA42" s="96"/>
      <c r="AB42" s="97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9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0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1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2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3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4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5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6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7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8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19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0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1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2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3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4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5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6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7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8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9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0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1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2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3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4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5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6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7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8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9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0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1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2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3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4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5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46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7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8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49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0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1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2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3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4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55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6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57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58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5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0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1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2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63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64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5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6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7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F1" zoomScale="101" workbookViewId="0">
      <selection activeCell="J2" activeCellId="1" sqref="H2:H10 J2:J10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2" width="29.5703125" style="26" customWidth="1"/>
    <col min="13" max="16384" width="11.42578125" style="26"/>
  </cols>
  <sheetData>
    <row r="1" spans="1:13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3" x14ac:dyDescent="0.2">
      <c r="A2" s="27" t="str">
        <f>'Densidad de Grupos'!U9</f>
        <v>SP-21-0226</v>
      </c>
      <c r="B2" s="29">
        <f>'Densidad de Grupos'!J13</f>
        <v>4.0470899399399398</v>
      </c>
      <c r="C2" s="29">
        <f>'Densidad de Grupos'!O13</f>
        <v>100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1</v>
      </c>
      <c r="I2" s="28">
        <f>((H2*C2)/(F2*B2))*2</f>
        <v>9.883644938366162</v>
      </c>
      <c r="J2" s="28">
        <f>I2*1000</f>
        <v>9883.644938366162</v>
      </c>
      <c r="L2" s="26" t="e">
        <f>_xlfn.XLOOKUP(G2,#REF!,#REF!)</f>
        <v>#REF!</v>
      </c>
      <c r="M2" s="26" t="e">
        <f>_xlfn.XLOOKUP(L2,#REF!,#REF!)</f>
        <v>#REF!</v>
      </c>
    </row>
    <row r="3" spans="1:13" x14ac:dyDescent="0.2">
      <c r="A3" s="27" t="str">
        <f>$A$2</f>
        <v>SP-21-0226</v>
      </c>
      <c r="B3" s="29">
        <f>$B$2</f>
        <v>4.0470899399399398</v>
      </c>
      <c r="C3" s="29">
        <f>$C$2</f>
        <v>100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Ostracoda</v>
      </c>
      <c r="H3" s="26">
        <f>'Densidad de Grupos'!H19</f>
        <v>3</v>
      </c>
      <c r="I3" s="28">
        <f t="shared" ref="I3:I65" si="0">((H3*C3)/(F3*B3))*2</f>
        <v>29.650934815098484</v>
      </c>
      <c r="J3" s="28">
        <f t="shared" ref="J3:J65" si="1">I3*1000</f>
        <v>29650.934815098484</v>
      </c>
      <c r="L3" s="26" t="e">
        <f>_xlfn.XLOOKUP(G3,#REF!,#REF!)</f>
        <v>#REF!</v>
      </c>
      <c r="M3" s="26" t="e">
        <f>_xlfn.XLOOKUP(L3,#REF!,#REF!)</f>
        <v>#REF!</v>
      </c>
    </row>
    <row r="4" spans="1:13" x14ac:dyDescent="0.2">
      <c r="A4" s="27" t="str">
        <f t="shared" ref="A4:A65" si="2">$A$2</f>
        <v>SP-21-0226</v>
      </c>
      <c r="B4" s="29">
        <f t="shared" ref="B4:B65" si="3">$B$2</f>
        <v>4.0470899399399398</v>
      </c>
      <c r="C4" s="29">
        <f t="shared" ref="C4:C65" si="4">$C$2</f>
        <v>100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3</v>
      </c>
      <c r="I4" s="31">
        <f t="shared" si="0"/>
        <v>29.650934815098484</v>
      </c>
      <c r="J4" s="28">
        <f t="shared" si="1"/>
        <v>29650.934815098484</v>
      </c>
      <c r="L4" s="26" t="e">
        <f>_xlfn.XLOOKUP(G4,#REF!,#REF!)</f>
        <v>#REF!</v>
      </c>
      <c r="M4" s="26" t="e">
        <f>_xlfn.XLOOKUP(L4,#REF!,#REF!)</f>
        <v>#REF!</v>
      </c>
    </row>
    <row r="5" spans="1:13" x14ac:dyDescent="0.2">
      <c r="A5" s="27" t="str">
        <f t="shared" si="2"/>
        <v>SP-21-0226</v>
      </c>
      <c r="B5" s="29">
        <f t="shared" si="3"/>
        <v>4.0470899399399398</v>
      </c>
      <c r="C5" s="29">
        <f t="shared" si="4"/>
        <v>100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309</v>
      </c>
      <c r="I5" s="28">
        <f t="shared" si="0"/>
        <v>3054.046285955144</v>
      </c>
      <c r="J5" s="28">
        <f t="shared" si="1"/>
        <v>3054046.2859551441</v>
      </c>
      <c r="L5" s="26" t="e">
        <f>_xlfn.XLOOKUP(G5,#REF!,#REF!)</f>
        <v>#REF!</v>
      </c>
      <c r="M5" s="26" t="e">
        <f>_xlfn.XLOOKUP(L5,#REF!,#REF!)</f>
        <v>#REF!</v>
      </c>
    </row>
    <row r="6" spans="1:13" x14ac:dyDescent="0.2">
      <c r="A6" s="27" t="str">
        <f t="shared" si="2"/>
        <v>SP-21-0226</v>
      </c>
      <c r="B6" s="29">
        <f t="shared" si="3"/>
        <v>4.0470899399399398</v>
      </c>
      <c r="C6" s="29">
        <f t="shared" si="4"/>
        <v>100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11</v>
      </c>
      <c r="I6" s="31">
        <f t="shared" si="0"/>
        <v>108.72009432202778</v>
      </c>
      <c r="J6" s="28">
        <f t="shared" si="1"/>
        <v>108720.09432202777</v>
      </c>
      <c r="L6" s="26" t="e">
        <f>_xlfn.XLOOKUP(G6,#REF!,#REF!)</f>
        <v>#REF!</v>
      </c>
      <c r="M6" s="26" t="e">
        <f>_xlfn.XLOOKUP(L6,#REF!,#REF!)</f>
        <v>#REF!</v>
      </c>
    </row>
    <row r="7" spans="1:13" x14ac:dyDescent="0.2">
      <c r="A7" s="27" t="str">
        <f t="shared" si="2"/>
        <v>SP-21-0226</v>
      </c>
      <c r="B7" s="29">
        <f t="shared" si="3"/>
        <v>4.0470899399399398</v>
      </c>
      <c r="C7" s="29">
        <f t="shared" si="4"/>
        <v>100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Decapoda (Zoea)</v>
      </c>
      <c r="H7" s="26">
        <f>'Densidad de Grupos'!H23</f>
        <v>1</v>
      </c>
      <c r="I7" s="31">
        <f t="shared" si="0"/>
        <v>9.883644938366162</v>
      </c>
      <c r="J7" s="28">
        <f t="shared" si="1"/>
        <v>9883.644938366162</v>
      </c>
      <c r="L7" s="26" t="e">
        <f>_xlfn.XLOOKUP(G7,#REF!,#REF!)</f>
        <v>#REF!</v>
      </c>
      <c r="M7" s="26" t="e">
        <f>_xlfn.XLOOKUP(L7,#REF!,#REF!)</f>
        <v>#REF!</v>
      </c>
    </row>
    <row r="8" spans="1:13" x14ac:dyDescent="0.2">
      <c r="A8" s="27" t="str">
        <f t="shared" si="2"/>
        <v>SP-21-0226</v>
      </c>
      <c r="B8" s="29">
        <f t="shared" si="3"/>
        <v>4.0470899399399398</v>
      </c>
      <c r="C8" s="29">
        <f t="shared" si="4"/>
        <v>100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Chaetognatha</v>
      </c>
      <c r="H8" s="26">
        <f>'Densidad de Grupos'!H24</f>
        <v>4</v>
      </c>
      <c r="I8" s="31">
        <f t="shared" si="0"/>
        <v>39.534579753464648</v>
      </c>
      <c r="J8" s="28">
        <f t="shared" si="1"/>
        <v>39534.579753464648</v>
      </c>
      <c r="L8" s="26" t="e">
        <f>_xlfn.XLOOKUP(G8,#REF!,#REF!)</f>
        <v>#REF!</v>
      </c>
      <c r="M8" s="26" t="e">
        <f>_xlfn.XLOOKUP(L8,#REF!,#REF!)</f>
        <v>#REF!</v>
      </c>
    </row>
    <row r="9" spans="1:13" x14ac:dyDescent="0.2">
      <c r="A9" s="27" t="str">
        <f t="shared" si="2"/>
        <v>SP-21-0226</v>
      </c>
      <c r="B9" s="29">
        <f t="shared" si="3"/>
        <v>4.0470899399399398</v>
      </c>
      <c r="C9" s="29">
        <f t="shared" si="4"/>
        <v>100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Copepoda (Cyclopoida)</v>
      </c>
      <c r="H9" s="26">
        <f>'Densidad de Grupos'!H25</f>
        <v>78</v>
      </c>
      <c r="I9" s="31">
        <f t="shared" si="0"/>
        <v>770.92430519256061</v>
      </c>
      <c r="J9" s="28">
        <f t="shared" si="1"/>
        <v>770924.30519256066</v>
      </c>
      <c r="L9" s="26" t="e">
        <f>_xlfn.XLOOKUP(G9,#REF!,#REF!)</f>
        <v>#REF!</v>
      </c>
      <c r="M9" s="26" t="e">
        <f>_xlfn.XLOOKUP(L9,#REF!,#REF!)</f>
        <v>#REF!</v>
      </c>
    </row>
    <row r="10" spans="1:13" x14ac:dyDescent="0.2">
      <c r="A10" s="27" t="str">
        <f t="shared" si="2"/>
        <v>SP-21-0226</v>
      </c>
      <c r="B10" s="29">
        <f t="shared" si="3"/>
        <v>4.0470899399399398</v>
      </c>
      <c r="C10" s="29">
        <f t="shared" si="4"/>
        <v>100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Mollusca (Atlanta)</v>
      </c>
      <c r="H10" s="26">
        <f>'Densidad de Grupos'!H26</f>
        <v>2</v>
      </c>
      <c r="I10" s="31">
        <f t="shared" si="0"/>
        <v>19.767289876732324</v>
      </c>
      <c r="J10" s="28">
        <f t="shared" si="1"/>
        <v>19767.289876732324</v>
      </c>
      <c r="L10" s="26" t="e">
        <f>_xlfn.XLOOKUP(G10,#REF!,#REF!)</f>
        <v>#REF!</v>
      </c>
      <c r="M10" s="26" t="e">
        <f>_xlfn.XLOOKUP(L10,#REF!,#REF!)</f>
        <v>#REF!</v>
      </c>
    </row>
    <row r="11" spans="1:13" x14ac:dyDescent="0.2">
      <c r="A11" s="27" t="str">
        <f t="shared" si="2"/>
        <v>SP-21-0226</v>
      </c>
      <c r="B11" s="29">
        <f t="shared" si="3"/>
        <v>4.0470899399399398</v>
      </c>
      <c r="C11" s="29">
        <f t="shared" si="4"/>
        <v>100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  <c r="L11" s="26" t="e">
        <f>_xlfn.XLOOKUP(G11,#REF!,#REF!)</f>
        <v>#REF!</v>
      </c>
      <c r="M11" s="26" t="e">
        <f>_xlfn.XLOOKUP(L11,#REF!,#REF!)</f>
        <v>#REF!</v>
      </c>
    </row>
    <row r="12" spans="1:13" x14ac:dyDescent="0.2">
      <c r="A12" s="27" t="str">
        <f t="shared" si="2"/>
        <v>SP-21-0226</v>
      </c>
      <c r="B12" s="29">
        <f t="shared" si="3"/>
        <v>4.0470899399399398</v>
      </c>
      <c r="C12" s="29">
        <f t="shared" si="4"/>
        <v>100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  <c r="L12" s="26" t="e">
        <f>_xlfn.XLOOKUP(G12,#REF!,#REF!)</f>
        <v>#REF!</v>
      </c>
      <c r="M12" s="26" t="e">
        <f>_xlfn.XLOOKUP(L12,#REF!,#REF!)</f>
        <v>#REF!</v>
      </c>
    </row>
    <row r="13" spans="1:13" x14ac:dyDescent="0.2">
      <c r="A13" s="27" t="str">
        <f t="shared" si="2"/>
        <v>SP-21-0226</v>
      </c>
      <c r="B13" s="29">
        <f t="shared" si="3"/>
        <v>4.0470899399399398</v>
      </c>
      <c r="C13" s="29">
        <f t="shared" si="4"/>
        <v>100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  <c r="L13" s="26" t="e">
        <f>_xlfn.XLOOKUP(G13,#REF!,#REF!)</f>
        <v>#REF!</v>
      </c>
      <c r="M13" s="26" t="e">
        <f>_xlfn.XLOOKUP(L13,#REF!,#REF!)</f>
        <v>#REF!</v>
      </c>
    </row>
    <row r="14" spans="1:13" x14ac:dyDescent="0.2">
      <c r="A14" s="27" t="str">
        <f t="shared" si="2"/>
        <v>SP-21-0226</v>
      </c>
      <c r="B14" s="29">
        <f t="shared" si="3"/>
        <v>4.0470899399399398</v>
      </c>
      <c r="C14" s="29">
        <f t="shared" si="4"/>
        <v>100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  <c r="L14" s="26" t="e">
        <f>_xlfn.XLOOKUP(G14,#REF!,#REF!)</f>
        <v>#REF!</v>
      </c>
      <c r="M14" s="26" t="e">
        <f>_xlfn.XLOOKUP(L14,#REF!,#REF!)</f>
        <v>#REF!</v>
      </c>
    </row>
    <row r="15" spans="1:13" x14ac:dyDescent="0.2">
      <c r="A15" s="27" t="str">
        <f t="shared" si="2"/>
        <v>SP-21-0226</v>
      </c>
      <c r="B15" s="29">
        <f t="shared" si="3"/>
        <v>4.0470899399399398</v>
      </c>
      <c r="C15" s="29">
        <f t="shared" si="4"/>
        <v>100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  <c r="L15" s="26" t="e">
        <f>_xlfn.XLOOKUP(G15,#REF!,#REF!)</f>
        <v>#REF!</v>
      </c>
      <c r="M15" s="26" t="e">
        <f>_xlfn.XLOOKUP(L15,#REF!,#REF!)</f>
        <v>#REF!</v>
      </c>
    </row>
    <row r="16" spans="1:13" x14ac:dyDescent="0.2">
      <c r="A16" s="27" t="str">
        <f t="shared" si="2"/>
        <v>SP-21-0226</v>
      </c>
      <c r="B16" s="29">
        <f t="shared" si="3"/>
        <v>4.0470899399399398</v>
      </c>
      <c r="C16" s="29">
        <f t="shared" si="4"/>
        <v>100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  <c r="L16" s="26" t="e">
        <f>_xlfn.XLOOKUP(G16,#REF!,#REF!)</f>
        <v>#REF!</v>
      </c>
      <c r="M16" s="26" t="e">
        <f>_xlfn.XLOOKUP(L16,#REF!,#REF!)</f>
        <v>#REF!</v>
      </c>
    </row>
    <row r="17" spans="1:13" x14ac:dyDescent="0.2">
      <c r="A17" s="27" t="str">
        <f t="shared" si="2"/>
        <v>SP-21-0226</v>
      </c>
      <c r="B17" s="29">
        <f t="shared" si="3"/>
        <v>4.0470899399399398</v>
      </c>
      <c r="C17" s="29">
        <f t="shared" si="4"/>
        <v>100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  <c r="L17" s="26" t="e">
        <f>_xlfn.XLOOKUP(G17,#REF!,#REF!)</f>
        <v>#REF!</v>
      </c>
      <c r="M17" s="26" t="e">
        <f>_xlfn.XLOOKUP(L17,#REF!,#REF!)</f>
        <v>#REF!</v>
      </c>
    </row>
    <row r="18" spans="1:13" x14ac:dyDescent="0.2">
      <c r="A18" s="27" t="str">
        <f t="shared" si="2"/>
        <v>SP-21-0226</v>
      </c>
      <c r="B18" s="29">
        <f t="shared" si="3"/>
        <v>4.0470899399399398</v>
      </c>
      <c r="C18" s="29">
        <f t="shared" si="4"/>
        <v>100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  <c r="L18" s="26" t="e">
        <f>_xlfn.XLOOKUP(G18,#REF!,#REF!)</f>
        <v>#REF!</v>
      </c>
      <c r="M18" s="26" t="e">
        <f>_xlfn.XLOOKUP(L18,#REF!,#REF!)</f>
        <v>#REF!</v>
      </c>
    </row>
    <row r="19" spans="1:13" x14ac:dyDescent="0.2">
      <c r="A19" s="27" t="str">
        <f t="shared" si="2"/>
        <v>SP-21-0226</v>
      </c>
      <c r="B19" s="29">
        <f t="shared" si="3"/>
        <v>4.0470899399399398</v>
      </c>
      <c r="C19" s="29">
        <f t="shared" si="4"/>
        <v>100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  <c r="L19" s="26" t="e">
        <f>_xlfn.XLOOKUP(G19,#REF!,#REF!)</f>
        <v>#REF!</v>
      </c>
      <c r="M19" s="26" t="e">
        <f>_xlfn.XLOOKUP(L19,#REF!,#REF!)</f>
        <v>#REF!</v>
      </c>
    </row>
    <row r="20" spans="1:13" x14ac:dyDescent="0.2">
      <c r="A20" s="27" t="str">
        <f t="shared" si="2"/>
        <v>SP-21-0226</v>
      </c>
      <c r="B20" s="29">
        <f t="shared" si="3"/>
        <v>4.0470899399399398</v>
      </c>
      <c r="C20" s="29">
        <f t="shared" si="4"/>
        <v>100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  <c r="L20" s="26" t="e">
        <f>_xlfn.XLOOKUP(G20,#REF!,#REF!)</f>
        <v>#REF!</v>
      </c>
      <c r="M20" s="26" t="e">
        <f>_xlfn.XLOOKUP(L20,#REF!,#REF!)</f>
        <v>#REF!</v>
      </c>
    </row>
    <row r="21" spans="1:13" s="35" customFormat="1" x14ac:dyDescent="0.2">
      <c r="A21" s="33" t="str">
        <f t="shared" si="2"/>
        <v>SP-21-0226</v>
      </c>
      <c r="B21" s="34">
        <f t="shared" si="3"/>
        <v>4.0470899399399398</v>
      </c>
      <c r="C21" s="34">
        <f t="shared" si="4"/>
        <v>100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  <c r="L21" s="35" t="e">
        <f>_xlfn.XLOOKUP(G21,#REF!,#REF!)</f>
        <v>#REF!</v>
      </c>
      <c r="M21" s="35" t="e">
        <f>_xlfn.XLOOKUP(L21,#REF!,#REF!)</f>
        <v>#REF!</v>
      </c>
    </row>
    <row r="22" spans="1:13" x14ac:dyDescent="0.2">
      <c r="A22" s="27" t="str">
        <f t="shared" si="2"/>
        <v>SP-21-0226</v>
      </c>
      <c r="B22" s="29">
        <f t="shared" si="3"/>
        <v>4.0470899399399398</v>
      </c>
      <c r="C22" s="29">
        <f t="shared" si="4"/>
        <v>100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  <c r="L22" s="26" t="e">
        <f>_xlfn.XLOOKUP(G22,#REF!,#REF!)</f>
        <v>#REF!</v>
      </c>
      <c r="M22" s="26" t="e">
        <f>_xlfn.XLOOKUP(L22,#REF!,#REF!)</f>
        <v>#REF!</v>
      </c>
    </row>
    <row r="23" spans="1:13" x14ac:dyDescent="0.2">
      <c r="A23" s="27" t="str">
        <f t="shared" si="2"/>
        <v>SP-21-0226</v>
      </c>
      <c r="B23" s="29">
        <f t="shared" si="3"/>
        <v>4.0470899399399398</v>
      </c>
      <c r="C23" s="29">
        <f t="shared" si="4"/>
        <v>100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  <c r="L23" s="26" t="e">
        <f>_xlfn.XLOOKUP(G23,#REF!,#REF!)</f>
        <v>#REF!</v>
      </c>
      <c r="M23" s="26" t="e">
        <f>_xlfn.XLOOKUP(L23,#REF!,#REF!)</f>
        <v>#REF!</v>
      </c>
    </row>
    <row r="24" spans="1:13" x14ac:dyDescent="0.2">
      <c r="A24" s="27" t="str">
        <f t="shared" si="2"/>
        <v>SP-21-0226</v>
      </c>
      <c r="B24" s="29">
        <f t="shared" si="3"/>
        <v>4.0470899399399398</v>
      </c>
      <c r="C24" s="29">
        <f t="shared" si="4"/>
        <v>100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  <c r="L24" s="26" t="e">
        <f>_xlfn.XLOOKUP(G24,#REF!,#REF!)</f>
        <v>#REF!</v>
      </c>
      <c r="M24" s="26" t="e">
        <f>_xlfn.XLOOKUP(L24,#REF!,#REF!)</f>
        <v>#REF!</v>
      </c>
    </row>
    <row r="25" spans="1:13" x14ac:dyDescent="0.2">
      <c r="A25" s="27" t="str">
        <f t="shared" si="2"/>
        <v>SP-21-0226</v>
      </c>
      <c r="B25" s="29">
        <f t="shared" si="3"/>
        <v>4.0470899399399398</v>
      </c>
      <c r="C25" s="29">
        <f t="shared" si="4"/>
        <v>100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  <c r="L25" s="26" t="e">
        <f>_xlfn.XLOOKUP(G25,#REF!,#REF!)</f>
        <v>#REF!</v>
      </c>
      <c r="M25" s="26" t="e">
        <f>_xlfn.XLOOKUP(L25,#REF!,#REF!)</f>
        <v>#REF!</v>
      </c>
    </row>
    <row r="26" spans="1:13" x14ac:dyDescent="0.2">
      <c r="A26" s="27" t="str">
        <f t="shared" si="2"/>
        <v>SP-21-0226</v>
      </c>
      <c r="B26" s="29">
        <f t="shared" si="3"/>
        <v>4.0470899399399398</v>
      </c>
      <c r="C26" s="29">
        <f t="shared" si="4"/>
        <v>100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  <c r="L26" s="26" t="e">
        <f>_xlfn.XLOOKUP(G26,#REF!,#REF!)</f>
        <v>#REF!</v>
      </c>
      <c r="M26" s="26" t="e">
        <f>_xlfn.XLOOKUP(L26,#REF!,#REF!)</f>
        <v>#REF!</v>
      </c>
    </row>
    <row r="27" spans="1:13" x14ac:dyDescent="0.2">
      <c r="A27" s="27" t="str">
        <f t="shared" si="2"/>
        <v>SP-21-0226</v>
      </c>
      <c r="B27" s="29">
        <f t="shared" si="3"/>
        <v>4.0470899399399398</v>
      </c>
      <c r="C27" s="29">
        <f t="shared" si="4"/>
        <v>100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  <c r="L27" s="26" t="e">
        <f>_xlfn.XLOOKUP(G27,#REF!,#REF!)</f>
        <v>#REF!</v>
      </c>
      <c r="M27" s="26" t="e">
        <f>_xlfn.XLOOKUP(L27,#REF!,#REF!)</f>
        <v>#REF!</v>
      </c>
    </row>
    <row r="28" spans="1:13" x14ac:dyDescent="0.2">
      <c r="A28" s="27" t="str">
        <f t="shared" si="2"/>
        <v>SP-21-0226</v>
      </c>
      <c r="B28" s="29">
        <f t="shared" si="3"/>
        <v>4.0470899399399398</v>
      </c>
      <c r="C28" s="29">
        <f t="shared" si="4"/>
        <v>100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  <c r="L28" s="26" t="e">
        <f>_xlfn.XLOOKUP(G28,#REF!,#REF!)</f>
        <v>#REF!</v>
      </c>
      <c r="M28" s="26" t="e">
        <f>_xlfn.XLOOKUP(L28,#REF!,#REF!)</f>
        <v>#REF!</v>
      </c>
    </row>
    <row r="29" spans="1:13" x14ac:dyDescent="0.2">
      <c r="A29" s="27" t="str">
        <f t="shared" si="2"/>
        <v>SP-21-0226</v>
      </c>
      <c r="B29" s="29">
        <f t="shared" si="3"/>
        <v>4.0470899399399398</v>
      </c>
      <c r="C29" s="29">
        <f t="shared" si="4"/>
        <v>100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  <c r="L29" s="26" t="e">
        <f>_xlfn.XLOOKUP(G29,#REF!,#REF!)</f>
        <v>#REF!</v>
      </c>
      <c r="M29" s="26" t="e">
        <f>_xlfn.XLOOKUP(L29,#REF!,#REF!)</f>
        <v>#REF!</v>
      </c>
    </row>
    <row r="30" spans="1:13" x14ac:dyDescent="0.2">
      <c r="A30" s="27" t="str">
        <f t="shared" si="2"/>
        <v>SP-21-0226</v>
      </c>
      <c r="B30" s="29">
        <f t="shared" si="3"/>
        <v>4.0470899399399398</v>
      </c>
      <c r="C30" s="29">
        <f t="shared" si="4"/>
        <v>100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  <c r="L30" s="26" t="e">
        <f>_xlfn.XLOOKUP(G30,#REF!,#REF!)</f>
        <v>#REF!</v>
      </c>
      <c r="M30" s="26" t="e">
        <f>_xlfn.XLOOKUP(L30,#REF!,#REF!)</f>
        <v>#REF!</v>
      </c>
    </row>
    <row r="31" spans="1:13" x14ac:dyDescent="0.2">
      <c r="A31" s="27" t="str">
        <f t="shared" si="2"/>
        <v>SP-21-0226</v>
      </c>
      <c r="B31" s="29">
        <f t="shared" si="3"/>
        <v>4.0470899399399398</v>
      </c>
      <c r="C31" s="29">
        <f t="shared" si="4"/>
        <v>100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  <c r="L31" s="26" t="e">
        <f>_xlfn.XLOOKUP(G31,#REF!,#REF!)</f>
        <v>#REF!</v>
      </c>
      <c r="M31" s="26" t="e">
        <f>_xlfn.XLOOKUP(L31,#REF!,#REF!)</f>
        <v>#REF!</v>
      </c>
    </row>
    <row r="32" spans="1:13" x14ac:dyDescent="0.2">
      <c r="A32" s="27" t="str">
        <f t="shared" si="2"/>
        <v>SP-21-0226</v>
      </c>
      <c r="B32" s="29">
        <f t="shared" si="3"/>
        <v>4.0470899399399398</v>
      </c>
      <c r="C32" s="29">
        <f t="shared" si="4"/>
        <v>100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  <c r="L32" s="26" t="e">
        <f>_xlfn.XLOOKUP(G32,#REF!,#REF!)</f>
        <v>#REF!</v>
      </c>
      <c r="M32" s="26" t="e">
        <f>_xlfn.XLOOKUP(L32,#REF!,#REF!)</f>
        <v>#REF!</v>
      </c>
    </row>
    <row r="33" spans="1:13" x14ac:dyDescent="0.2">
      <c r="A33" s="27" t="str">
        <f t="shared" si="2"/>
        <v>SP-21-0226</v>
      </c>
      <c r="B33" s="29">
        <f t="shared" si="3"/>
        <v>4.0470899399399398</v>
      </c>
      <c r="C33" s="29">
        <f t="shared" si="4"/>
        <v>100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  <c r="L33" s="26" t="e">
        <f>_xlfn.XLOOKUP(G33,#REF!,#REF!)</f>
        <v>#REF!</v>
      </c>
      <c r="M33" s="26" t="e">
        <f>_xlfn.XLOOKUP(L33,#REF!,#REF!)</f>
        <v>#REF!</v>
      </c>
    </row>
    <row r="34" spans="1:13" x14ac:dyDescent="0.2">
      <c r="A34" s="27" t="str">
        <f t="shared" si="2"/>
        <v>SP-21-0226</v>
      </c>
      <c r="B34" s="29">
        <f t="shared" si="3"/>
        <v>4.0470899399399398</v>
      </c>
      <c r="C34" s="29">
        <f t="shared" si="4"/>
        <v>100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  <c r="L34" s="26" t="e">
        <f>_xlfn.XLOOKUP(G34,#REF!,#REF!)</f>
        <v>#REF!</v>
      </c>
      <c r="M34" s="26" t="e">
        <f>_xlfn.XLOOKUP(L34,#REF!,#REF!)</f>
        <v>#REF!</v>
      </c>
    </row>
    <row r="35" spans="1:13" x14ac:dyDescent="0.2">
      <c r="A35" s="27" t="str">
        <f t="shared" si="2"/>
        <v>SP-21-0226</v>
      </c>
      <c r="B35" s="29">
        <f t="shared" si="3"/>
        <v>4.0470899399399398</v>
      </c>
      <c r="C35" s="29">
        <f t="shared" si="4"/>
        <v>100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  <c r="L35" s="26" t="e">
        <f>_xlfn.XLOOKUP(G35,#REF!,#REF!)</f>
        <v>#REF!</v>
      </c>
      <c r="M35" s="26" t="e">
        <f>_xlfn.XLOOKUP(L35,#REF!,#REF!)</f>
        <v>#REF!</v>
      </c>
    </row>
    <row r="36" spans="1:13" x14ac:dyDescent="0.2">
      <c r="A36" s="27" t="str">
        <f t="shared" si="2"/>
        <v>SP-21-0226</v>
      </c>
      <c r="B36" s="29">
        <f t="shared" si="3"/>
        <v>4.0470899399399398</v>
      </c>
      <c r="C36" s="29">
        <f t="shared" si="4"/>
        <v>100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  <c r="L36" s="26" t="e">
        <f>_xlfn.XLOOKUP(G36,#REF!,#REF!)</f>
        <v>#REF!</v>
      </c>
      <c r="M36" s="26" t="e">
        <f>_xlfn.XLOOKUP(L36,#REF!,#REF!)</f>
        <v>#REF!</v>
      </c>
    </row>
    <row r="37" spans="1:13" x14ac:dyDescent="0.2">
      <c r="A37" s="27" t="str">
        <f t="shared" si="2"/>
        <v>SP-21-0226</v>
      </c>
      <c r="B37" s="29">
        <f t="shared" si="3"/>
        <v>4.0470899399399398</v>
      </c>
      <c r="C37" s="29">
        <f t="shared" si="4"/>
        <v>100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  <c r="L37" s="26" t="e">
        <f>_xlfn.XLOOKUP(G37,#REF!,#REF!)</f>
        <v>#REF!</v>
      </c>
      <c r="M37" s="26" t="e">
        <f>_xlfn.XLOOKUP(L37,#REF!,#REF!)</f>
        <v>#REF!</v>
      </c>
    </row>
    <row r="38" spans="1:13" x14ac:dyDescent="0.2">
      <c r="A38" s="27" t="str">
        <f t="shared" si="2"/>
        <v>SP-21-0226</v>
      </c>
      <c r="B38" s="29">
        <f t="shared" si="3"/>
        <v>4.0470899399399398</v>
      </c>
      <c r="C38" s="29">
        <f t="shared" si="4"/>
        <v>100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  <c r="L38" s="26" t="e">
        <f>_xlfn.XLOOKUP(G38,#REF!,#REF!)</f>
        <v>#REF!</v>
      </c>
      <c r="M38" s="26" t="e">
        <f>_xlfn.XLOOKUP(L38,#REF!,#REF!)</f>
        <v>#REF!</v>
      </c>
    </row>
    <row r="39" spans="1:13" x14ac:dyDescent="0.2">
      <c r="A39" s="27" t="str">
        <f t="shared" si="2"/>
        <v>SP-21-0226</v>
      </c>
      <c r="B39" s="29">
        <f t="shared" si="3"/>
        <v>4.0470899399399398</v>
      </c>
      <c r="C39" s="29">
        <f t="shared" si="4"/>
        <v>100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  <c r="L39" s="26" t="e">
        <f>_xlfn.XLOOKUP(G39,#REF!,#REF!)</f>
        <v>#REF!</v>
      </c>
      <c r="M39" s="26" t="e">
        <f>_xlfn.XLOOKUP(L39,#REF!,#REF!)</f>
        <v>#REF!</v>
      </c>
    </row>
    <row r="40" spans="1:13" x14ac:dyDescent="0.2">
      <c r="A40" s="27" t="str">
        <f t="shared" si="2"/>
        <v>SP-21-0226</v>
      </c>
      <c r="B40" s="29">
        <f t="shared" si="3"/>
        <v>4.0470899399399398</v>
      </c>
      <c r="C40" s="29">
        <f t="shared" si="4"/>
        <v>100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  <c r="L40" s="26" t="e">
        <f>_xlfn.XLOOKUP(G40,#REF!,#REF!)</f>
        <v>#REF!</v>
      </c>
      <c r="M40" s="26" t="e">
        <f>_xlfn.XLOOKUP(L40,#REF!,#REF!)</f>
        <v>#REF!</v>
      </c>
    </row>
    <row r="41" spans="1:13" s="35" customFormat="1" x14ac:dyDescent="0.2">
      <c r="A41" s="33" t="str">
        <f t="shared" si="2"/>
        <v>SP-21-0226</v>
      </c>
      <c r="B41" s="34">
        <f t="shared" si="3"/>
        <v>4.0470899399399398</v>
      </c>
      <c r="C41" s="34">
        <f t="shared" si="4"/>
        <v>100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  <c r="L41" s="26" t="e">
        <f>_xlfn.XLOOKUP(G41,#REF!,#REF!)</f>
        <v>#REF!</v>
      </c>
      <c r="M41" s="26" t="e">
        <f>_xlfn.XLOOKUP(L41,#REF!,#REF!)</f>
        <v>#REF!</v>
      </c>
    </row>
    <row r="42" spans="1:13" x14ac:dyDescent="0.2">
      <c r="A42" s="27" t="str">
        <f t="shared" si="2"/>
        <v>SP-21-0226</v>
      </c>
      <c r="B42" s="29">
        <f t="shared" si="3"/>
        <v>4.0470899399399398</v>
      </c>
      <c r="C42" s="29">
        <f t="shared" si="4"/>
        <v>100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  <c r="L42" s="26" t="e">
        <f>_xlfn.XLOOKUP(G42,#REF!,#REF!)</f>
        <v>#REF!</v>
      </c>
      <c r="M42" s="26" t="e">
        <f>_xlfn.XLOOKUP(L42,#REF!,#REF!)</f>
        <v>#REF!</v>
      </c>
    </row>
    <row r="43" spans="1:13" x14ac:dyDescent="0.2">
      <c r="A43" s="27" t="str">
        <f t="shared" si="2"/>
        <v>SP-21-0226</v>
      </c>
      <c r="B43" s="29">
        <f t="shared" si="3"/>
        <v>4.0470899399399398</v>
      </c>
      <c r="C43" s="29">
        <f t="shared" si="4"/>
        <v>100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  <c r="L43" s="26" t="e">
        <f>_xlfn.XLOOKUP(G43,#REF!,#REF!)</f>
        <v>#REF!</v>
      </c>
      <c r="M43" s="26" t="e">
        <f>_xlfn.XLOOKUP(L43,#REF!,#REF!)</f>
        <v>#REF!</v>
      </c>
    </row>
    <row r="44" spans="1:13" x14ac:dyDescent="0.2">
      <c r="A44" s="27" t="str">
        <f t="shared" si="2"/>
        <v>SP-21-0226</v>
      </c>
      <c r="B44" s="29">
        <f t="shared" si="3"/>
        <v>4.0470899399399398</v>
      </c>
      <c r="C44" s="29">
        <f t="shared" si="4"/>
        <v>100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  <c r="L44" s="26" t="e">
        <f>_xlfn.XLOOKUP(G44,#REF!,#REF!)</f>
        <v>#REF!</v>
      </c>
      <c r="M44" s="26" t="e">
        <f>_xlfn.XLOOKUP(L44,#REF!,#REF!)</f>
        <v>#REF!</v>
      </c>
    </row>
    <row r="45" spans="1:13" x14ac:dyDescent="0.2">
      <c r="A45" s="27" t="str">
        <f t="shared" si="2"/>
        <v>SP-21-0226</v>
      </c>
      <c r="B45" s="29">
        <f t="shared" si="3"/>
        <v>4.0470899399399398</v>
      </c>
      <c r="C45" s="29">
        <f t="shared" si="4"/>
        <v>100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  <c r="L45" s="26" t="e">
        <f>_xlfn.XLOOKUP(G45,#REF!,#REF!)</f>
        <v>#REF!</v>
      </c>
      <c r="M45" s="26" t="e">
        <f>_xlfn.XLOOKUP(L45,#REF!,#REF!)</f>
        <v>#REF!</v>
      </c>
    </row>
    <row r="46" spans="1:13" x14ac:dyDescent="0.2">
      <c r="A46" s="27" t="str">
        <f t="shared" si="2"/>
        <v>SP-21-0226</v>
      </c>
      <c r="B46" s="29">
        <f t="shared" si="3"/>
        <v>4.0470899399399398</v>
      </c>
      <c r="C46" s="29">
        <f t="shared" si="4"/>
        <v>100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  <c r="L46" s="26" t="e">
        <f>_xlfn.XLOOKUP(G46,#REF!,#REF!)</f>
        <v>#REF!</v>
      </c>
      <c r="M46" s="26" t="e">
        <f>_xlfn.XLOOKUP(L46,#REF!,#REF!)</f>
        <v>#REF!</v>
      </c>
    </row>
    <row r="47" spans="1:13" x14ac:dyDescent="0.2">
      <c r="A47" s="27" t="str">
        <f t="shared" si="2"/>
        <v>SP-21-0226</v>
      </c>
      <c r="B47" s="29">
        <f t="shared" si="3"/>
        <v>4.0470899399399398</v>
      </c>
      <c r="C47" s="29">
        <f t="shared" si="4"/>
        <v>100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  <c r="L47" s="26" t="e">
        <f>_xlfn.XLOOKUP(G47,#REF!,#REF!)</f>
        <v>#REF!</v>
      </c>
      <c r="M47" s="26" t="e">
        <f>_xlfn.XLOOKUP(L47,#REF!,#REF!)</f>
        <v>#REF!</v>
      </c>
    </row>
    <row r="48" spans="1:13" x14ac:dyDescent="0.2">
      <c r="A48" s="27" t="str">
        <f t="shared" si="2"/>
        <v>SP-21-0226</v>
      </c>
      <c r="B48" s="29">
        <f t="shared" si="3"/>
        <v>4.0470899399399398</v>
      </c>
      <c r="C48" s="29">
        <f t="shared" si="4"/>
        <v>100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  <c r="L48" s="26" t="e">
        <f>_xlfn.XLOOKUP(G48,#REF!,#REF!)</f>
        <v>#REF!</v>
      </c>
      <c r="M48" s="26" t="e">
        <f>_xlfn.XLOOKUP(L48,#REF!,#REF!)</f>
        <v>#REF!</v>
      </c>
    </row>
    <row r="49" spans="1:13" x14ac:dyDescent="0.2">
      <c r="A49" s="27" t="str">
        <f t="shared" si="2"/>
        <v>SP-21-0226</v>
      </c>
      <c r="B49" s="29">
        <f t="shared" si="3"/>
        <v>4.0470899399399398</v>
      </c>
      <c r="C49" s="29">
        <f t="shared" si="4"/>
        <v>100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  <c r="L49" s="26" t="e">
        <f>_xlfn.XLOOKUP(G49,#REF!,#REF!)</f>
        <v>#REF!</v>
      </c>
      <c r="M49" s="26" t="e">
        <f>_xlfn.XLOOKUP(L49,#REF!,#REF!)</f>
        <v>#REF!</v>
      </c>
    </row>
    <row r="50" spans="1:13" x14ac:dyDescent="0.2">
      <c r="A50" s="27" t="str">
        <f t="shared" si="2"/>
        <v>SP-21-0226</v>
      </c>
      <c r="B50" s="29">
        <f t="shared" si="3"/>
        <v>4.0470899399399398</v>
      </c>
      <c r="C50" s="29">
        <f t="shared" si="4"/>
        <v>100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  <c r="L50" s="26" t="e">
        <f>_xlfn.XLOOKUP(G50,#REF!,#REF!)</f>
        <v>#REF!</v>
      </c>
      <c r="M50" s="26" t="e">
        <f>_xlfn.XLOOKUP(L50,#REF!,#REF!)</f>
        <v>#REF!</v>
      </c>
    </row>
    <row r="51" spans="1:13" x14ac:dyDescent="0.2">
      <c r="A51" s="27" t="str">
        <f t="shared" si="2"/>
        <v>SP-21-0226</v>
      </c>
      <c r="B51" s="29">
        <f t="shared" si="3"/>
        <v>4.0470899399399398</v>
      </c>
      <c r="C51" s="29">
        <f t="shared" si="4"/>
        <v>100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  <c r="L51" s="26" t="e">
        <f>_xlfn.XLOOKUP(G51,#REF!,#REF!)</f>
        <v>#REF!</v>
      </c>
      <c r="M51" s="26" t="e">
        <f>_xlfn.XLOOKUP(L51,#REF!,#REF!)</f>
        <v>#REF!</v>
      </c>
    </row>
    <row r="52" spans="1:13" x14ac:dyDescent="0.2">
      <c r="A52" s="27" t="str">
        <f t="shared" si="2"/>
        <v>SP-21-0226</v>
      </c>
      <c r="B52" s="29">
        <f t="shared" si="3"/>
        <v>4.0470899399399398</v>
      </c>
      <c r="C52" s="29">
        <f t="shared" si="4"/>
        <v>100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  <c r="L52" s="26" t="e">
        <f>_xlfn.XLOOKUP(G52,#REF!,#REF!)</f>
        <v>#REF!</v>
      </c>
      <c r="M52" s="26" t="e">
        <f>_xlfn.XLOOKUP(L52,#REF!,#REF!)</f>
        <v>#REF!</v>
      </c>
    </row>
    <row r="53" spans="1:13" x14ac:dyDescent="0.2">
      <c r="A53" s="27" t="str">
        <f t="shared" si="2"/>
        <v>SP-21-0226</v>
      </c>
      <c r="B53" s="29">
        <f t="shared" si="3"/>
        <v>4.0470899399399398</v>
      </c>
      <c r="C53" s="29">
        <f t="shared" si="4"/>
        <v>100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  <c r="L53" s="26" t="e">
        <f>_xlfn.XLOOKUP(G53,#REF!,#REF!)</f>
        <v>#REF!</v>
      </c>
      <c r="M53" s="26" t="e">
        <f>_xlfn.XLOOKUP(L53,#REF!,#REF!)</f>
        <v>#REF!</v>
      </c>
    </row>
    <row r="54" spans="1:13" x14ac:dyDescent="0.2">
      <c r="A54" s="27" t="str">
        <f t="shared" si="2"/>
        <v>SP-21-0226</v>
      </c>
      <c r="B54" s="29">
        <f t="shared" si="3"/>
        <v>4.0470899399399398</v>
      </c>
      <c r="C54" s="29">
        <f t="shared" si="4"/>
        <v>100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  <c r="L54" s="26" t="e">
        <f>_xlfn.XLOOKUP(G54,#REF!,#REF!)</f>
        <v>#REF!</v>
      </c>
      <c r="M54" s="26" t="e">
        <f>_xlfn.XLOOKUP(L54,#REF!,#REF!)</f>
        <v>#REF!</v>
      </c>
    </row>
    <row r="55" spans="1:13" x14ac:dyDescent="0.2">
      <c r="A55" s="27" t="str">
        <f t="shared" si="2"/>
        <v>SP-21-0226</v>
      </c>
      <c r="B55" s="29">
        <f t="shared" si="3"/>
        <v>4.0470899399399398</v>
      </c>
      <c r="C55" s="29">
        <f t="shared" si="4"/>
        <v>100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  <c r="L55" s="26" t="e">
        <f>_xlfn.XLOOKUP(G55,#REF!,#REF!)</f>
        <v>#REF!</v>
      </c>
      <c r="M55" s="26" t="e">
        <f>_xlfn.XLOOKUP(L55,#REF!,#REF!)</f>
        <v>#REF!</v>
      </c>
    </row>
    <row r="56" spans="1:13" x14ac:dyDescent="0.2">
      <c r="A56" s="27" t="str">
        <f t="shared" si="2"/>
        <v>SP-21-0226</v>
      </c>
      <c r="B56" s="29">
        <f t="shared" si="3"/>
        <v>4.0470899399399398</v>
      </c>
      <c r="C56" s="29">
        <f t="shared" si="4"/>
        <v>100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  <c r="L56" s="26" t="e">
        <f>_xlfn.XLOOKUP(G56,#REF!,#REF!)</f>
        <v>#REF!</v>
      </c>
      <c r="M56" s="26" t="e">
        <f>_xlfn.XLOOKUP(L56,#REF!,#REF!)</f>
        <v>#REF!</v>
      </c>
    </row>
    <row r="57" spans="1:13" x14ac:dyDescent="0.2">
      <c r="A57" s="27" t="str">
        <f t="shared" si="2"/>
        <v>SP-21-0226</v>
      </c>
      <c r="B57" s="29">
        <f t="shared" si="3"/>
        <v>4.0470899399399398</v>
      </c>
      <c r="C57" s="29">
        <f t="shared" si="4"/>
        <v>100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  <c r="L57" s="26" t="e">
        <f>_xlfn.XLOOKUP(G57,#REF!,#REF!)</f>
        <v>#REF!</v>
      </c>
      <c r="M57" s="26" t="e">
        <f>_xlfn.XLOOKUP(L57,#REF!,#REF!)</f>
        <v>#REF!</v>
      </c>
    </row>
    <row r="58" spans="1:13" x14ac:dyDescent="0.2">
      <c r="A58" s="27" t="str">
        <f t="shared" si="2"/>
        <v>SP-21-0226</v>
      </c>
      <c r="B58" s="29">
        <f t="shared" si="3"/>
        <v>4.0470899399399398</v>
      </c>
      <c r="C58" s="29">
        <f t="shared" si="4"/>
        <v>100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  <c r="L58" s="26" t="e">
        <f>_xlfn.XLOOKUP(G58,#REF!,#REF!)</f>
        <v>#REF!</v>
      </c>
      <c r="M58" s="26" t="e">
        <f>_xlfn.XLOOKUP(L58,#REF!,#REF!)</f>
        <v>#REF!</v>
      </c>
    </row>
    <row r="59" spans="1:13" x14ac:dyDescent="0.2">
      <c r="A59" s="27" t="str">
        <f t="shared" si="2"/>
        <v>SP-21-0226</v>
      </c>
      <c r="B59" s="29">
        <f t="shared" si="3"/>
        <v>4.0470899399399398</v>
      </c>
      <c r="C59" s="29">
        <f t="shared" si="4"/>
        <v>100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  <c r="L59" s="26" t="e">
        <f>_xlfn.XLOOKUP(G59,#REF!,#REF!)</f>
        <v>#REF!</v>
      </c>
      <c r="M59" s="26" t="e">
        <f>_xlfn.XLOOKUP(L59,#REF!,#REF!)</f>
        <v>#REF!</v>
      </c>
    </row>
    <row r="60" spans="1:13" x14ac:dyDescent="0.2">
      <c r="A60" s="27" t="str">
        <f t="shared" si="2"/>
        <v>SP-21-0226</v>
      </c>
      <c r="B60" s="29">
        <f t="shared" si="3"/>
        <v>4.0470899399399398</v>
      </c>
      <c r="C60" s="29">
        <f t="shared" si="4"/>
        <v>100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  <c r="L60" s="26" t="e">
        <f>_xlfn.XLOOKUP(G60,#REF!,#REF!)</f>
        <v>#REF!</v>
      </c>
      <c r="M60" s="26" t="e">
        <f>_xlfn.XLOOKUP(L60,#REF!,#REF!)</f>
        <v>#REF!</v>
      </c>
    </row>
    <row r="61" spans="1:13" s="35" customFormat="1" x14ac:dyDescent="0.2">
      <c r="A61" s="33" t="str">
        <f t="shared" si="2"/>
        <v>SP-21-0226</v>
      </c>
      <c r="B61" s="34">
        <f t="shared" si="3"/>
        <v>4.0470899399399398</v>
      </c>
      <c r="C61" s="34">
        <f t="shared" si="4"/>
        <v>100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  <c r="L61" s="26" t="e">
        <f>_xlfn.XLOOKUP(G61,#REF!,#REF!)</f>
        <v>#REF!</v>
      </c>
      <c r="M61" s="26" t="e">
        <f>_xlfn.XLOOKUP(L61,#REF!,#REF!)</f>
        <v>#REF!</v>
      </c>
    </row>
    <row r="62" spans="1:13" x14ac:dyDescent="0.2">
      <c r="A62" s="27" t="str">
        <f t="shared" si="2"/>
        <v>SP-21-0226</v>
      </c>
      <c r="B62" s="29">
        <f t="shared" si="3"/>
        <v>4.0470899399399398</v>
      </c>
      <c r="C62" s="29">
        <f t="shared" si="4"/>
        <v>100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  <c r="L62" s="26" t="e">
        <f>_xlfn.XLOOKUP(G62,#REF!,#REF!)</f>
        <v>#REF!</v>
      </c>
      <c r="M62" s="26" t="e">
        <f>_xlfn.XLOOKUP(L62,#REF!,#REF!)</f>
        <v>#REF!</v>
      </c>
    </row>
    <row r="63" spans="1:13" x14ac:dyDescent="0.2">
      <c r="A63" s="27" t="str">
        <f t="shared" si="2"/>
        <v>SP-21-0226</v>
      </c>
      <c r="B63" s="29">
        <f t="shared" si="3"/>
        <v>4.0470899399399398</v>
      </c>
      <c r="C63" s="29">
        <f t="shared" si="4"/>
        <v>100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  <c r="L63" s="26" t="e">
        <f>_xlfn.XLOOKUP(G63,#REF!,#REF!)</f>
        <v>#REF!</v>
      </c>
      <c r="M63" s="26" t="e">
        <f>_xlfn.XLOOKUP(L63,#REF!,#REF!)</f>
        <v>#REF!</v>
      </c>
    </row>
    <row r="64" spans="1:13" x14ac:dyDescent="0.2">
      <c r="A64" s="27" t="str">
        <f t="shared" si="2"/>
        <v>SP-21-0226</v>
      </c>
      <c r="B64" s="29">
        <f t="shared" si="3"/>
        <v>4.0470899399399398</v>
      </c>
      <c r="C64" s="29">
        <f t="shared" si="4"/>
        <v>100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  <c r="L64" s="26" t="e">
        <f>_xlfn.XLOOKUP(G64,#REF!,#REF!)</f>
        <v>#REF!</v>
      </c>
      <c r="M64" s="26" t="e">
        <f>_xlfn.XLOOKUP(L64,#REF!,#REF!)</f>
        <v>#REF!</v>
      </c>
    </row>
    <row r="65" spans="1:13" x14ac:dyDescent="0.2">
      <c r="A65" s="27" t="str">
        <f t="shared" si="2"/>
        <v>SP-21-0226</v>
      </c>
      <c r="B65" s="29">
        <f t="shared" si="3"/>
        <v>4.0470899399399398</v>
      </c>
      <c r="C65" s="29">
        <f t="shared" si="4"/>
        <v>100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  <c r="L65" s="26" t="e">
        <f>_xlfn.XLOOKUP(G65,#REF!,#REF!)</f>
        <v>#REF!</v>
      </c>
      <c r="M65" s="26" t="e">
        <f>_xlfn.XLOOKUP(L65,#REF!,#REF!)</f>
        <v>#REF!</v>
      </c>
    </row>
    <row r="66" spans="1:13" x14ac:dyDescent="0.2">
      <c r="A66" s="27" t="str">
        <f t="shared" ref="A66:A81" si="8">$A$2</f>
        <v>SP-21-0226</v>
      </c>
      <c r="B66" s="29">
        <f t="shared" ref="B66:B81" si="9">$B$2</f>
        <v>4.0470899399399398</v>
      </c>
      <c r="C66" s="29">
        <f t="shared" ref="C66:C81" si="10">$C$2</f>
        <v>100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  <c r="L66" s="26" t="e">
        <f>_xlfn.XLOOKUP(G66,#REF!,#REF!)</f>
        <v>#REF!</v>
      </c>
      <c r="M66" s="26" t="e">
        <f>_xlfn.XLOOKUP(L66,#REF!,#REF!)</f>
        <v>#REF!</v>
      </c>
    </row>
    <row r="67" spans="1:13" x14ac:dyDescent="0.2">
      <c r="A67" s="27" t="str">
        <f t="shared" si="8"/>
        <v>SP-21-0226</v>
      </c>
      <c r="B67" s="29">
        <f t="shared" si="9"/>
        <v>4.0470899399399398</v>
      </c>
      <c r="C67" s="29">
        <f t="shared" si="10"/>
        <v>100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  <c r="L67" s="26" t="e">
        <f>_xlfn.XLOOKUP(G67,#REF!,#REF!)</f>
        <v>#REF!</v>
      </c>
      <c r="M67" s="26" t="e">
        <f>_xlfn.XLOOKUP(L67,#REF!,#REF!)</f>
        <v>#REF!</v>
      </c>
    </row>
    <row r="68" spans="1:13" x14ac:dyDescent="0.2">
      <c r="A68" s="27" t="str">
        <f t="shared" si="8"/>
        <v>SP-21-0226</v>
      </c>
      <c r="B68" s="29">
        <f t="shared" si="9"/>
        <v>4.0470899399399398</v>
      </c>
      <c r="C68" s="29">
        <f t="shared" si="10"/>
        <v>100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  <c r="L68" s="26" t="e">
        <f>_xlfn.XLOOKUP(G68,#REF!,#REF!)</f>
        <v>#REF!</v>
      </c>
      <c r="M68" s="26" t="e">
        <f>_xlfn.XLOOKUP(L68,#REF!,#REF!)</f>
        <v>#REF!</v>
      </c>
    </row>
    <row r="69" spans="1:13" x14ac:dyDescent="0.2">
      <c r="A69" s="27" t="str">
        <f t="shared" si="8"/>
        <v>SP-21-0226</v>
      </c>
      <c r="B69" s="29">
        <f t="shared" si="9"/>
        <v>4.0470899399399398</v>
      </c>
      <c r="C69" s="29">
        <f t="shared" si="10"/>
        <v>100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  <c r="L69" s="26" t="e">
        <f>_xlfn.XLOOKUP(G69,#REF!,#REF!)</f>
        <v>#REF!</v>
      </c>
      <c r="M69" s="26" t="e">
        <f>_xlfn.XLOOKUP(L69,#REF!,#REF!)</f>
        <v>#REF!</v>
      </c>
    </row>
    <row r="70" spans="1:13" x14ac:dyDescent="0.2">
      <c r="A70" s="27" t="str">
        <f t="shared" si="8"/>
        <v>SP-21-0226</v>
      </c>
      <c r="B70" s="29">
        <f t="shared" si="9"/>
        <v>4.0470899399399398</v>
      </c>
      <c r="C70" s="29">
        <f t="shared" si="10"/>
        <v>100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  <c r="L70" s="26" t="e">
        <f>_xlfn.XLOOKUP(G70,#REF!,#REF!)</f>
        <v>#REF!</v>
      </c>
      <c r="M70" s="26" t="e">
        <f>_xlfn.XLOOKUP(L70,#REF!,#REF!)</f>
        <v>#REF!</v>
      </c>
    </row>
    <row r="71" spans="1:13" x14ac:dyDescent="0.2">
      <c r="A71" s="27" t="str">
        <f t="shared" si="8"/>
        <v>SP-21-0226</v>
      </c>
      <c r="B71" s="29">
        <f t="shared" si="9"/>
        <v>4.0470899399399398</v>
      </c>
      <c r="C71" s="29">
        <f t="shared" si="10"/>
        <v>100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  <c r="L71" s="26" t="e">
        <f>_xlfn.XLOOKUP(G71,#REF!,#REF!)</f>
        <v>#REF!</v>
      </c>
      <c r="M71" s="26" t="e">
        <f>_xlfn.XLOOKUP(L71,#REF!,#REF!)</f>
        <v>#REF!</v>
      </c>
    </row>
    <row r="72" spans="1:13" x14ac:dyDescent="0.2">
      <c r="A72" s="27" t="str">
        <f t="shared" si="8"/>
        <v>SP-21-0226</v>
      </c>
      <c r="B72" s="29">
        <f t="shared" si="9"/>
        <v>4.0470899399399398</v>
      </c>
      <c r="C72" s="29">
        <f t="shared" si="10"/>
        <v>100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  <c r="L72" s="26" t="e">
        <f>_xlfn.XLOOKUP(G72,#REF!,#REF!)</f>
        <v>#REF!</v>
      </c>
      <c r="M72" s="26" t="e">
        <f>_xlfn.XLOOKUP(L72,#REF!,#REF!)</f>
        <v>#REF!</v>
      </c>
    </row>
    <row r="73" spans="1:13" x14ac:dyDescent="0.2">
      <c r="A73" s="27" t="str">
        <f t="shared" si="8"/>
        <v>SP-21-0226</v>
      </c>
      <c r="B73" s="29">
        <f t="shared" si="9"/>
        <v>4.0470899399399398</v>
      </c>
      <c r="C73" s="29">
        <f t="shared" si="10"/>
        <v>100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  <c r="L73" s="26" t="e">
        <f>_xlfn.XLOOKUP(G73,#REF!,#REF!)</f>
        <v>#REF!</v>
      </c>
      <c r="M73" s="26" t="e">
        <f>_xlfn.XLOOKUP(L73,#REF!,#REF!)</f>
        <v>#REF!</v>
      </c>
    </row>
    <row r="74" spans="1:13" x14ac:dyDescent="0.2">
      <c r="A74" s="27" t="str">
        <f t="shared" si="8"/>
        <v>SP-21-0226</v>
      </c>
      <c r="B74" s="29">
        <f t="shared" si="9"/>
        <v>4.0470899399399398</v>
      </c>
      <c r="C74" s="29">
        <f t="shared" si="10"/>
        <v>100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  <c r="L74" s="26" t="e">
        <f>_xlfn.XLOOKUP(G74,#REF!,#REF!)</f>
        <v>#REF!</v>
      </c>
      <c r="M74" s="26" t="e">
        <f>_xlfn.XLOOKUP(L74,#REF!,#REF!)</f>
        <v>#REF!</v>
      </c>
    </row>
    <row r="75" spans="1:13" x14ac:dyDescent="0.2">
      <c r="A75" s="27" t="str">
        <f t="shared" si="8"/>
        <v>SP-21-0226</v>
      </c>
      <c r="B75" s="29">
        <f t="shared" si="9"/>
        <v>4.0470899399399398</v>
      </c>
      <c r="C75" s="29">
        <f t="shared" si="10"/>
        <v>100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  <c r="L75" s="26" t="e">
        <f>_xlfn.XLOOKUP(G75,#REF!,#REF!)</f>
        <v>#REF!</v>
      </c>
      <c r="M75" s="26" t="e">
        <f>_xlfn.XLOOKUP(L75,#REF!,#REF!)</f>
        <v>#REF!</v>
      </c>
    </row>
    <row r="76" spans="1:13" x14ac:dyDescent="0.2">
      <c r="A76" s="27" t="str">
        <f t="shared" si="8"/>
        <v>SP-21-0226</v>
      </c>
      <c r="B76" s="29">
        <f t="shared" si="9"/>
        <v>4.0470899399399398</v>
      </c>
      <c r="C76" s="29">
        <f t="shared" si="10"/>
        <v>100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  <c r="L76" s="26" t="e">
        <f>_xlfn.XLOOKUP(G76,#REF!,#REF!)</f>
        <v>#REF!</v>
      </c>
      <c r="M76" s="26" t="e">
        <f>_xlfn.XLOOKUP(L76,#REF!,#REF!)</f>
        <v>#REF!</v>
      </c>
    </row>
    <row r="77" spans="1:13" x14ac:dyDescent="0.2">
      <c r="A77" s="27" t="str">
        <f t="shared" si="8"/>
        <v>SP-21-0226</v>
      </c>
      <c r="B77" s="29">
        <f t="shared" si="9"/>
        <v>4.0470899399399398</v>
      </c>
      <c r="C77" s="29">
        <f t="shared" si="10"/>
        <v>100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  <c r="L77" s="26" t="e">
        <f>_xlfn.XLOOKUP(G77,#REF!,#REF!)</f>
        <v>#REF!</v>
      </c>
      <c r="M77" s="26" t="e">
        <f>_xlfn.XLOOKUP(L77,#REF!,#REF!)</f>
        <v>#REF!</v>
      </c>
    </row>
    <row r="78" spans="1:13" x14ac:dyDescent="0.2">
      <c r="A78" s="27" t="str">
        <f t="shared" si="8"/>
        <v>SP-21-0226</v>
      </c>
      <c r="B78" s="29">
        <f t="shared" si="9"/>
        <v>4.0470899399399398</v>
      </c>
      <c r="C78" s="29">
        <f t="shared" si="10"/>
        <v>100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  <c r="L78" s="26" t="e">
        <f>_xlfn.XLOOKUP(G78,#REF!,#REF!)</f>
        <v>#REF!</v>
      </c>
      <c r="M78" s="26" t="e">
        <f>_xlfn.XLOOKUP(L78,#REF!,#REF!)</f>
        <v>#REF!</v>
      </c>
    </row>
    <row r="79" spans="1:13" x14ac:dyDescent="0.2">
      <c r="A79" s="27" t="str">
        <f t="shared" si="8"/>
        <v>SP-21-0226</v>
      </c>
      <c r="B79" s="29">
        <f t="shared" si="9"/>
        <v>4.0470899399399398</v>
      </c>
      <c r="C79" s="29">
        <f t="shared" si="10"/>
        <v>100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  <c r="L79" s="26" t="e">
        <f>_xlfn.XLOOKUP(G79,#REF!,#REF!)</f>
        <v>#REF!</v>
      </c>
      <c r="M79" s="26" t="e">
        <f>_xlfn.XLOOKUP(L79,#REF!,#REF!)</f>
        <v>#REF!</v>
      </c>
    </row>
    <row r="80" spans="1:13" x14ac:dyDescent="0.2">
      <c r="A80" s="27" t="str">
        <f t="shared" si="8"/>
        <v>SP-21-0226</v>
      </c>
      <c r="B80" s="29">
        <f t="shared" si="9"/>
        <v>4.0470899399399398</v>
      </c>
      <c r="C80" s="29">
        <f t="shared" si="10"/>
        <v>100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  <c r="L80" s="26" t="e">
        <f>_xlfn.XLOOKUP(G80,#REF!,#REF!)</f>
        <v>#REF!</v>
      </c>
      <c r="M80" s="26" t="e">
        <f>_xlfn.XLOOKUP(L80,#REF!,#REF!)</f>
        <v>#REF!</v>
      </c>
    </row>
    <row r="81" spans="1:13" x14ac:dyDescent="0.2">
      <c r="A81" s="27" t="str">
        <f t="shared" si="8"/>
        <v>SP-21-0226</v>
      </c>
      <c r="B81" s="29">
        <f t="shared" si="9"/>
        <v>4.0470899399399398</v>
      </c>
      <c r="C81" s="29">
        <f t="shared" si="10"/>
        <v>100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  <c r="L81" s="26" t="e">
        <f>_xlfn.XLOOKUP(G81,#REF!,#REF!)</f>
        <v>#REF!</v>
      </c>
      <c r="M81" s="26" t="e">
        <f>_xlfn.XLOOKUP(L81,#REF!,#REF!)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2022-02-27T21:40:11Z</dcterms:modified>
</cp:coreProperties>
</file>