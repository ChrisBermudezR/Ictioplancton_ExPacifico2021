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2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Datos_primarios_Expedicion_Pacifico\"/>
    </mc:Choice>
  </mc:AlternateContent>
  <bookViews>
    <workbookView xWindow="-120" yWindow="-120" windowWidth="20730" windowHeight="11160" tabRatio="728"/>
  </bookViews>
  <sheets>
    <sheet name="Densidad de Grupos" sheetId="2" r:id="rId1"/>
    <sheet name="SALPAS" sheetId="9" r:id="rId2"/>
    <sheet name="Cálculos_Densidad_De_Grupos" sheetId="4" r:id="rId3"/>
    <sheet name="Calculos_SALPAS" sheetId="12" r:id="rId4"/>
    <sheet name="Lista" sheetId="8" r:id="rId5"/>
  </sheets>
  <externalReferences>
    <externalReference r:id="rId6"/>
    <externalReference r:id="rId7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2" l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U6" i="9" l="1"/>
  <c r="H2" i="12" l="1"/>
  <c r="B8" i="12"/>
  <c r="G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E2" i="12"/>
  <c r="D2" i="12"/>
  <c r="C2" i="12"/>
  <c r="J13" i="9"/>
  <c r="B21" i="12" s="1"/>
  <c r="U9" i="9"/>
  <c r="A2" i="12" s="1"/>
  <c r="Y6" i="9"/>
  <c r="Y5" i="9"/>
  <c r="U5" i="9"/>
  <c r="H23" i="4"/>
  <c r="H24" i="4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H81" i="4"/>
  <c r="D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B2" i="12" l="1"/>
  <c r="J2" i="12" s="1"/>
  <c r="B7" i="12"/>
  <c r="B17" i="12"/>
  <c r="B6" i="12"/>
  <c r="B16" i="12"/>
  <c r="B5" i="12"/>
  <c r="B15" i="12"/>
  <c r="B14" i="12"/>
  <c r="B13" i="12"/>
  <c r="B9" i="12"/>
  <c r="F2" i="12"/>
  <c r="B20" i="12"/>
  <c r="B12" i="12"/>
  <c r="B4" i="12"/>
  <c r="B19" i="12"/>
  <c r="B11" i="12"/>
  <c r="B3" i="12"/>
  <c r="B18" i="12"/>
  <c r="B10" i="12"/>
  <c r="I2" i="12"/>
  <c r="L45" i="4"/>
  <c r="L14" i="12"/>
  <c r="L47" i="4"/>
  <c r="L62" i="4"/>
  <c r="L5" i="12"/>
  <c r="L63" i="4"/>
  <c r="L81" i="4"/>
  <c r="L79" i="4"/>
  <c r="L73" i="4"/>
  <c r="L6" i="12"/>
  <c r="L74" i="4"/>
  <c r="L65" i="4"/>
  <c r="L11" i="12"/>
  <c r="L44" i="4"/>
  <c r="L12" i="12"/>
  <c r="L67" i="4"/>
  <c r="L57" i="4"/>
  <c r="L9" i="12"/>
  <c r="L69" i="4"/>
  <c r="L71" i="4"/>
  <c r="L2" i="12"/>
  <c r="L72" i="4"/>
  <c r="L52" i="4"/>
  <c r="L21" i="12"/>
  <c r="L80" i="4"/>
  <c r="L66" i="4"/>
  <c r="L20" i="12"/>
  <c r="L77" i="4"/>
  <c r="L78" i="4"/>
  <c r="L3" i="12"/>
  <c r="L76" i="4"/>
  <c r="L43" i="4"/>
  <c r="L13" i="12"/>
  <c r="L46" i="4"/>
  <c r="L53" i="4"/>
  <c r="L75" i="4"/>
  <c r="L56" i="4"/>
  <c r="L19" i="12"/>
  <c r="L68" i="4"/>
  <c r="L7" i="12"/>
  <c r="L51" i="4"/>
  <c r="L22" i="12"/>
  <c r="L17" i="12"/>
  <c r="L59" i="4"/>
  <c r="L23" i="12"/>
  <c r="L60" i="4"/>
  <c r="L50" i="4"/>
  <c r="L42" i="4"/>
  <c r="L64" i="4"/>
  <c r="L49" i="4"/>
  <c r="L10" i="12"/>
  <c r="L70" i="4"/>
  <c r="L15" i="12"/>
  <c r="L58" i="4"/>
  <c r="L54" i="4"/>
  <c r="L16" i="12"/>
  <c r="L61" i="4"/>
  <c r="L8" i="12"/>
  <c r="L55" i="4"/>
  <c r="L18" i="12"/>
  <c r="L4" i="12"/>
  <c r="L48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M67" i="4"/>
  <c r="M48" i="4"/>
  <c r="L7" i="4"/>
  <c r="M80" i="4"/>
  <c r="L20" i="4"/>
  <c r="L6" i="4"/>
  <c r="L25" i="4"/>
  <c r="M62" i="4"/>
  <c r="M49" i="4"/>
  <c r="M52" i="4"/>
  <c r="M75" i="4"/>
  <c r="L16" i="4"/>
  <c r="M43" i="4"/>
  <c r="M20" i="12"/>
  <c r="M22" i="12"/>
  <c r="L5" i="4"/>
  <c r="M2" i="12"/>
  <c r="L40" i="4"/>
  <c r="M60" i="4"/>
  <c r="M74" i="4"/>
  <c r="M14" i="12"/>
  <c r="M19" i="12"/>
  <c r="M68" i="4"/>
  <c r="M61" i="4"/>
  <c r="L12" i="4"/>
  <c r="M18" i="12"/>
  <c r="M79" i="4"/>
  <c r="M81" i="4"/>
  <c r="M59" i="4"/>
  <c r="L3" i="4"/>
  <c r="L32" i="4"/>
  <c r="M13" i="12"/>
  <c r="M66" i="4"/>
  <c r="M23" i="12"/>
  <c r="L41" i="4"/>
  <c r="M76" i="4"/>
  <c r="L24" i="4"/>
  <c r="M9" i="12"/>
  <c r="M55" i="4"/>
  <c r="M54" i="4"/>
  <c r="L11" i="4"/>
  <c r="L9" i="4"/>
  <c r="M70" i="4"/>
  <c r="M21" i="12"/>
  <c r="L8" i="4"/>
  <c r="L23" i="4"/>
  <c r="L27" i="4"/>
  <c r="L19" i="4"/>
  <c r="M8" i="12"/>
  <c r="M64" i="4"/>
  <c r="L14" i="4"/>
  <c r="L17" i="4"/>
  <c r="M73" i="4"/>
  <c r="M72" i="4"/>
  <c r="M69" i="4"/>
  <c r="L10" i="4"/>
  <c r="L26" i="4"/>
  <c r="M65" i="4"/>
  <c r="M46" i="4"/>
  <c r="M3" i="12"/>
  <c r="M45" i="4"/>
  <c r="M44" i="4"/>
  <c r="M56" i="4"/>
  <c r="L15" i="4"/>
  <c r="M51" i="4"/>
  <c r="L31" i="4"/>
  <c r="M15" i="12"/>
  <c r="M6" i="12"/>
  <c r="M58" i="4"/>
  <c r="M78" i="4"/>
  <c r="M71" i="4"/>
  <c r="M7" i="12"/>
  <c r="M47" i="4"/>
  <c r="L2" i="4"/>
  <c r="L21" i="4"/>
  <c r="M4" i="12"/>
  <c r="M12" i="12"/>
  <c r="M42" i="4"/>
  <c r="M17" i="12"/>
  <c r="L33" i="4"/>
  <c r="L38" i="4"/>
  <c r="L13" i="4"/>
  <c r="L28" i="4"/>
  <c r="M11" i="12"/>
  <c r="M53" i="4"/>
  <c r="L34" i="4"/>
  <c r="L36" i="4"/>
  <c r="L35" i="4"/>
  <c r="M57" i="4"/>
  <c r="M10" i="12"/>
  <c r="L37" i="4"/>
  <c r="M63" i="4"/>
  <c r="M16" i="12"/>
  <c r="L4" i="4"/>
  <c r="L39" i="4"/>
  <c r="M5" i="12"/>
  <c r="M50" i="4"/>
  <c r="L18" i="4"/>
  <c r="L29" i="4"/>
  <c r="L22" i="4"/>
  <c r="M77" i="4"/>
  <c r="L30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C2" i="4"/>
  <c r="C81" i="4" s="1"/>
  <c r="B2" i="4"/>
  <c r="B81" i="4" s="1"/>
  <c r="A2" i="4"/>
  <c r="A81" i="4" s="1"/>
  <c r="M26" i="4"/>
  <c r="M25" i="4"/>
  <c r="M9" i="4"/>
  <c r="M15" i="4"/>
  <c r="M5" i="4"/>
  <c r="M35" i="4"/>
  <c r="M37" i="4"/>
  <c r="M17" i="4"/>
  <c r="M24" i="4"/>
  <c r="M36" i="4"/>
  <c r="M23" i="4"/>
  <c r="M33" i="4"/>
  <c r="M11" i="4"/>
  <c r="M10" i="4"/>
  <c r="M8" i="4"/>
  <c r="M13" i="4"/>
  <c r="M2" i="4"/>
  <c r="M38" i="4"/>
  <c r="M31" i="4"/>
  <c r="M39" i="4"/>
  <c r="M34" i="4"/>
  <c r="M30" i="4"/>
  <c r="M41" i="4"/>
  <c r="M19" i="4"/>
  <c r="M16" i="4"/>
  <c r="M14" i="4"/>
  <c r="M27" i="4"/>
  <c r="M22" i="4"/>
  <c r="M32" i="4"/>
  <c r="M6" i="4"/>
  <c r="M28" i="4"/>
  <c r="M7" i="4"/>
  <c r="M18" i="4"/>
  <c r="M12" i="4"/>
  <c r="M29" i="4"/>
  <c r="M40" i="4"/>
  <c r="M21" i="4"/>
  <c r="M20" i="4"/>
  <c r="M3" i="4"/>
  <c r="M4" i="4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<sst xmlns="http://schemas.openxmlformats.org/spreadsheetml/2006/main" count="129" uniqueCount="71">
  <si>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</si>
  <si>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</si>
  <si>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</si>
  <si>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</si>
  <si>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</si>
  <si>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</si>
  <si>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</si>
  <si>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</si>
  <si>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</si>
  <si>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</si>
  <si>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</si>
  <si>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</si>
  <si>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</si>
  <si>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</si>
  <si>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</si>
  <si>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</si>
  <si>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</si>
  <si>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</si>
  <si>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</si>
  <si>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</si>
  <si>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</si>
  <si>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</si>
  <si>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</si>
  <si>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</si>
  <si>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</si>
  <si>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</si>
  <si>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</si>
  <si>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</si>
  <si>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</si>
  <si>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</si>
  <si>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</si>
  <si>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</si>
  <si>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</si>
  <si>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</si>
  <si>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</si>
  <si>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</si>
  <si>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</si>
  <si>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</si>
  <si>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</si>
  <si>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</si>
  <si>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</si>
  <si>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</si>
  <si>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</si>
  <si>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</si>
  <si>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</si>
  <si>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</si>
  <si>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</si>
  <si>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</si>
  <si>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</si>
  <si>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</si>
  <si>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</si>
  <si>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</si>
  <si>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</si>
  <si>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</si>
  <si>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</si>
  <si>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</si>
  <si>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</si>
  <si>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</si>
  <si>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</si>
  <si>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</si>
  <si>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</si>
  <si>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</si>
  <si>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</si>
  <si>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Amphipoda (Hyperiidae)</t>
  </si>
  <si>
    <t>Salpidae</t>
  </si>
  <si>
    <t>Stomatopoda</t>
  </si>
  <si>
    <t>Euphausiacea</t>
  </si>
  <si>
    <t>Cladocera</t>
  </si>
  <si>
    <t>Laura C. Ortiz Mieles</t>
  </si>
  <si>
    <t>SP-21-0325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</si>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</sst>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;@"/>
    <numFmt numFmtId="165" formatCode="0.0000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165" fontId="2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19" fillId="0" borderId="9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xmlns="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xmlns="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xmlns="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xmlns="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xmlns="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xmlns="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xmlns="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xmlns="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xmlns="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xmlns="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xmlns="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xmlns="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xmlns="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xmlns="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xmlns="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xmlns="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xmlns="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xmlns="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xmlns="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xmlns="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xmlns="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xmlns="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xmlns="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xmlns="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xmlns="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xmlns="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xmlns="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xmlns="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xmlns="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xmlns="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xmlns="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xmlns="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xmlns="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xmlns="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xmlns="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xmlns="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xmlns="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xmlns="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xmlns="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xmlns="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xmlns="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xmlns="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xmlns="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xmlns="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xmlns="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xmlns="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xmlns="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xmlns="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xmlns="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xmlns="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xmlns="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xmlns="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xmlns="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xmlns="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xmlns="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xmlns="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xmlns="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xmlns="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xmlns="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xmlns="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xmlns="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xmlns="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xmlns="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xmlns="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xmlns="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xmlns="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xmlns="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xmlns="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xmlns="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xmlns="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xmlns="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xmlns="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xmlns="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xmlns="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xmlns="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xmlns="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xmlns="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xmlns="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xmlns="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xmlns="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xmlns="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xmlns="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xmlns="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xmlns="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xmlns="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xmlns="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xmlns="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xmlns="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xmlns="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xmlns="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xmlns="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xmlns="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xmlns="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xmlns="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xmlns="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xmlns="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xmlns="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xmlns="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xmlns="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xmlns="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xmlns="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xmlns="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xmlns="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xmlns="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xmlns="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xmlns="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xmlns="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xmlns="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xmlns="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xmlns="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xmlns="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xmlns="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xmlns="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xmlns="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xmlns="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xmlns="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xmlns="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xmlns="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xmlns="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xmlns="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xmlns="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xmlns="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xmlns="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xmlns="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xmlns="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xmlns="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xmlns="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xmlns="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xmlns="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xmlns="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xmlns="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xmlns="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xmlns="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xmlns="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xmlns="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xmlns="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xmlns="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xmlns="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xmlns="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xmlns="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xmlns="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xmlns="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xmlns="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xmlns="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xmlns="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xmlns="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xmlns="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xmlns="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xmlns="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xmlns="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xmlns="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xmlns="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xmlns="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xmlns="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xmlns="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xmlns="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xmlns="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xmlns="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xmlns="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xmlns="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xmlns="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xmlns="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xmlns="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xmlns="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xmlns="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xmlns="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xmlns="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xmlns="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xmlns="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xmlns="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xmlns="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xmlns="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xmlns="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xmlns="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xmlns="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xmlns="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xmlns="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xmlns="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xmlns="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xmlns="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xmlns="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xmlns="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xmlns="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xmlns="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xmlns="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xmlns="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xmlns="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xmlns="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xmlns="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xmlns="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xmlns="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xmlns="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xmlns="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xmlns="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xmlns="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xmlns="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xmlns="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xmlns="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xmlns="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xmlns="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xmlns="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xmlns="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xmlns="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xmlns="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xmlns="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xmlns="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xmlns="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12700</xdr:rowOff>
        </xdr:from>
        <xdr:to>
          <xdr:col>7</xdr:col>
          <xdr:colOff>12700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xmlns="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xmlns="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xmlns="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xmlns="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xmlns="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xmlns="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xmlns="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xmlns="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xmlns="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xmlns="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xmlns="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xmlns="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xmlns="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xmlns="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xmlns="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xmlns="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xmlns="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xmlns="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xmlns="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xmlns="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xmlns="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xmlns="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xmlns="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xmlns="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xmlns="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xmlns="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xmlns="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xmlns="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xmlns="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xmlns="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xmlns="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xmlns="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xmlns="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xmlns="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xmlns="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xmlns="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xmlns="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xmlns="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xmlns="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xmlns="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xmlns="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xmlns="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xmlns="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xmlns="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xmlns="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xmlns="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xmlns="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xmlns="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xmlns="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xmlns="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xmlns="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xmlns="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xmlns="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xmlns="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xmlns="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xmlns="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xmlns="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xmlns="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xmlns="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xmlns="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xmlns="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xmlns="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xmlns="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xmlns="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xmlns="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xmlns="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xmlns="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xmlns="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xmlns="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xmlns="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xmlns="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xmlns="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xmlns="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xmlns="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xmlns="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xmlns="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xmlns="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xmlns="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xmlns="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xmlns="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xmlns="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xmlns="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xmlns="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xmlns="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xmlns="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xmlns="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xmlns="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xmlns="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xmlns="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xmlns="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xmlns="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xmlns="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xmlns="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xmlns="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xmlns="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xmlns="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xmlns="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xmlns="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xmlns="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xmlns="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xmlns="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xmlns="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xmlns="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xmlns="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xmlns="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xmlns="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xmlns="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xmlns="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xmlns="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xmlns="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xmlns="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xmlns="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xmlns="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xmlns="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xmlns="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xmlns="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xmlns="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xmlns="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xmlns="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xmlns="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xmlns="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xmlns="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xmlns="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xmlns="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xmlns="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xmlns="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xmlns="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xmlns="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xmlns="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xmlns="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xmlns="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xmlns="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xmlns="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xmlns="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xmlns="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xmlns="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xmlns="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xmlns="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xmlns="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xmlns="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xmlns="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xmlns="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xmlns="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xmlns="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xmlns="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xmlns="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xmlns="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xmlns="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xmlns="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xmlns="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xmlns="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xmlns="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xmlns="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xmlns="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xmlns="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xmlns="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xmlns="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xmlns="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xmlns="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xmlns="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xmlns="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xmlns="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xmlns="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xmlns="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xmlns="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xmlns="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xmlns="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xmlns="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xmlns="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xmlns="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xmlns="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xmlns="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xmlns="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xmlns="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xmlns="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xmlns="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xmlns="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xmlns="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xmlns="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xmlns="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xmlns="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xmlns="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xmlns="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xmlns="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xmlns="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xmlns="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xmlns="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xmlns="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xmlns="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xmlns="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xmlns="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xmlns="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xmlns="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xmlns="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xmlns="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xmlns="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xmlns="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xmlns="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xmlns="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xmlns="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xmlns="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xmlns="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xmlns="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xmlns="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xmlns="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xmlns="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xmlns="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xmlns="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xmlns="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xmlns="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xmlns="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xmlns="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xmlns="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xmlns="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xmlns="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xmlns="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xmlns="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xmlns="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xmlns="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nidades%20compartidas\Zooplancton%20CCCP\LISTADO%20OFICIAL%20ZOOPLANKT\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o/Google%20Drive/CIOH-P/P%20Laura%20_Fabio/Listado%20zoo/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9.xml"/><Relationship Id="rId21" Type="http://schemas.openxmlformats.org/officeDocument/2006/relationships/ctrlProp" Target="../ctrlProps/ctrlProp293.xml"/><Relationship Id="rId42" Type="http://schemas.openxmlformats.org/officeDocument/2006/relationships/ctrlProp" Target="../ctrlProps/ctrlProp314.xml"/><Relationship Id="rId63" Type="http://schemas.openxmlformats.org/officeDocument/2006/relationships/ctrlProp" Target="../ctrlProps/ctrlProp335.xml"/><Relationship Id="rId84" Type="http://schemas.openxmlformats.org/officeDocument/2006/relationships/ctrlProp" Target="../ctrlProps/ctrlProp356.xml"/><Relationship Id="rId138" Type="http://schemas.openxmlformats.org/officeDocument/2006/relationships/ctrlProp" Target="../ctrlProps/ctrlProp410.xml"/><Relationship Id="rId159" Type="http://schemas.openxmlformats.org/officeDocument/2006/relationships/ctrlProp" Target="../ctrlProps/ctrlProp431.xml"/><Relationship Id="rId170" Type="http://schemas.openxmlformats.org/officeDocument/2006/relationships/ctrlProp" Target="../ctrlProps/ctrlProp442.xml"/><Relationship Id="rId191" Type="http://schemas.openxmlformats.org/officeDocument/2006/relationships/ctrlProp" Target="../ctrlProps/ctrlProp463.xml"/><Relationship Id="rId205" Type="http://schemas.openxmlformats.org/officeDocument/2006/relationships/ctrlProp" Target="../ctrlProps/ctrlProp477.xml"/><Relationship Id="rId107" Type="http://schemas.openxmlformats.org/officeDocument/2006/relationships/ctrlProp" Target="../ctrlProps/ctrlProp379.xml"/><Relationship Id="rId11" Type="http://schemas.openxmlformats.org/officeDocument/2006/relationships/ctrlProp" Target="../ctrlProps/ctrlProp283.xml"/><Relationship Id="rId32" Type="http://schemas.openxmlformats.org/officeDocument/2006/relationships/ctrlProp" Target="../ctrlProps/ctrlProp304.xml"/><Relationship Id="rId53" Type="http://schemas.openxmlformats.org/officeDocument/2006/relationships/ctrlProp" Target="../ctrlProps/ctrlProp325.xml"/><Relationship Id="rId74" Type="http://schemas.openxmlformats.org/officeDocument/2006/relationships/ctrlProp" Target="../ctrlProps/ctrlProp346.xml"/><Relationship Id="rId128" Type="http://schemas.openxmlformats.org/officeDocument/2006/relationships/ctrlProp" Target="../ctrlProps/ctrlProp400.xml"/><Relationship Id="rId149" Type="http://schemas.openxmlformats.org/officeDocument/2006/relationships/ctrlProp" Target="../ctrlProps/ctrlProp421.xml"/><Relationship Id="rId5" Type="http://schemas.openxmlformats.org/officeDocument/2006/relationships/ctrlProp" Target="../ctrlProps/ctrlProp277.xml"/><Relationship Id="rId95" Type="http://schemas.openxmlformats.org/officeDocument/2006/relationships/ctrlProp" Target="../ctrlProps/ctrlProp367.xml"/><Relationship Id="rId160" Type="http://schemas.openxmlformats.org/officeDocument/2006/relationships/ctrlProp" Target="../ctrlProps/ctrlProp432.xml"/><Relationship Id="rId181" Type="http://schemas.openxmlformats.org/officeDocument/2006/relationships/ctrlProp" Target="../ctrlProps/ctrlProp453.xml"/><Relationship Id="rId22" Type="http://schemas.openxmlformats.org/officeDocument/2006/relationships/ctrlProp" Target="../ctrlProps/ctrlProp294.xml"/><Relationship Id="rId43" Type="http://schemas.openxmlformats.org/officeDocument/2006/relationships/ctrlProp" Target="../ctrlProps/ctrlProp315.xml"/><Relationship Id="rId64" Type="http://schemas.openxmlformats.org/officeDocument/2006/relationships/ctrlProp" Target="../ctrlProps/ctrlProp336.xml"/><Relationship Id="rId118" Type="http://schemas.openxmlformats.org/officeDocument/2006/relationships/ctrlProp" Target="../ctrlProps/ctrlProp390.xml"/><Relationship Id="rId139" Type="http://schemas.openxmlformats.org/officeDocument/2006/relationships/ctrlProp" Target="../ctrlProps/ctrlProp411.xml"/><Relationship Id="rId85" Type="http://schemas.openxmlformats.org/officeDocument/2006/relationships/ctrlProp" Target="../ctrlProps/ctrlProp357.xml"/><Relationship Id="rId150" Type="http://schemas.openxmlformats.org/officeDocument/2006/relationships/ctrlProp" Target="../ctrlProps/ctrlProp422.xml"/><Relationship Id="rId171" Type="http://schemas.openxmlformats.org/officeDocument/2006/relationships/ctrlProp" Target="../ctrlProps/ctrlProp443.xml"/><Relationship Id="rId192" Type="http://schemas.openxmlformats.org/officeDocument/2006/relationships/ctrlProp" Target="../ctrlProps/ctrlProp464.xml"/><Relationship Id="rId206" Type="http://schemas.openxmlformats.org/officeDocument/2006/relationships/ctrlProp" Target="../ctrlProps/ctrlProp478.xml"/><Relationship Id="rId12" Type="http://schemas.openxmlformats.org/officeDocument/2006/relationships/ctrlProp" Target="../ctrlProps/ctrlProp284.xml"/><Relationship Id="rId33" Type="http://schemas.openxmlformats.org/officeDocument/2006/relationships/ctrlProp" Target="../ctrlProps/ctrlProp305.xml"/><Relationship Id="rId108" Type="http://schemas.openxmlformats.org/officeDocument/2006/relationships/ctrlProp" Target="../ctrlProps/ctrlProp380.xml"/><Relationship Id="rId129" Type="http://schemas.openxmlformats.org/officeDocument/2006/relationships/ctrlProp" Target="../ctrlProps/ctrlProp401.xml"/><Relationship Id="rId54" Type="http://schemas.openxmlformats.org/officeDocument/2006/relationships/ctrlProp" Target="../ctrlProps/ctrlProp326.xml"/><Relationship Id="rId75" Type="http://schemas.openxmlformats.org/officeDocument/2006/relationships/ctrlProp" Target="../ctrlProps/ctrlProp347.xml"/><Relationship Id="rId96" Type="http://schemas.openxmlformats.org/officeDocument/2006/relationships/ctrlProp" Target="../ctrlProps/ctrlProp368.xml"/><Relationship Id="rId140" Type="http://schemas.openxmlformats.org/officeDocument/2006/relationships/ctrlProp" Target="../ctrlProps/ctrlProp412.xml"/><Relationship Id="rId161" Type="http://schemas.openxmlformats.org/officeDocument/2006/relationships/ctrlProp" Target="../ctrlProps/ctrlProp433.xml"/><Relationship Id="rId182" Type="http://schemas.openxmlformats.org/officeDocument/2006/relationships/ctrlProp" Target="../ctrlProps/ctrlProp454.xml"/><Relationship Id="rId6" Type="http://schemas.openxmlformats.org/officeDocument/2006/relationships/ctrlProp" Target="../ctrlProps/ctrlProp278.xml"/><Relationship Id="rId23" Type="http://schemas.openxmlformats.org/officeDocument/2006/relationships/ctrlProp" Target="../ctrlProps/ctrlProp295.xml"/><Relationship Id="rId119" Type="http://schemas.openxmlformats.org/officeDocument/2006/relationships/ctrlProp" Target="../ctrlProps/ctrlProp391.xml"/><Relationship Id="rId44" Type="http://schemas.openxmlformats.org/officeDocument/2006/relationships/ctrlProp" Target="../ctrlProps/ctrlProp316.xml"/><Relationship Id="rId65" Type="http://schemas.openxmlformats.org/officeDocument/2006/relationships/ctrlProp" Target="../ctrlProps/ctrlProp337.xml"/><Relationship Id="rId86" Type="http://schemas.openxmlformats.org/officeDocument/2006/relationships/ctrlProp" Target="../ctrlProps/ctrlProp358.xml"/><Relationship Id="rId130" Type="http://schemas.openxmlformats.org/officeDocument/2006/relationships/ctrlProp" Target="../ctrlProps/ctrlProp402.xml"/><Relationship Id="rId151" Type="http://schemas.openxmlformats.org/officeDocument/2006/relationships/ctrlProp" Target="../ctrlProps/ctrlProp423.xml"/><Relationship Id="rId172" Type="http://schemas.openxmlformats.org/officeDocument/2006/relationships/ctrlProp" Target="../ctrlProps/ctrlProp444.xml"/><Relationship Id="rId193" Type="http://schemas.openxmlformats.org/officeDocument/2006/relationships/ctrlProp" Target="../ctrlProps/ctrlProp465.xml"/><Relationship Id="rId207" Type="http://schemas.openxmlformats.org/officeDocument/2006/relationships/ctrlProp" Target="../ctrlProps/ctrlProp479.xml"/><Relationship Id="rId13" Type="http://schemas.openxmlformats.org/officeDocument/2006/relationships/ctrlProp" Target="../ctrlProps/ctrlProp285.xml"/><Relationship Id="rId109" Type="http://schemas.openxmlformats.org/officeDocument/2006/relationships/ctrlProp" Target="../ctrlProps/ctrlProp381.xml"/><Relationship Id="rId34" Type="http://schemas.openxmlformats.org/officeDocument/2006/relationships/ctrlProp" Target="../ctrlProps/ctrlProp306.xml"/><Relationship Id="rId55" Type="http://schemas.openxmlformats.org/officeDocument/2006/relationships/ctrlProp" Target="../ctrlProps/ctrlProp327.xml"/><Relationship Id="rId76" Type="http://schemas.openxmlformats.org/officeDocument/2006/relationships/ctrlProp" Target="../ctrlProps/ctrlProp348.xml"/><Relationship Id="rId97" Type="http://schemas.openxmlformats.org/officeDocument/2006/relationships/ctrlProp" Target="../ctrlProps/ctrlProp369.xml"/><Relationship Id="rId120" Type="http://schemas.openxmlformats.org/officeDocument/2006/relationships/ctrlProp" Target="../ctrlProps/ctrlProp392.xml"/><Relationship Id="rId141" Type="http://schemas.openxmlformats.org/officeDocument/2006/relationships/ctrlProp" Target="../ctrlProps/ctrlProp413.xml"/><Relationship Id="rId7" Type="http://schemas.openxmlformats.org/officeDocument/2006/relationships/ctrlProp" Target="../ctrlProps/ctrlProp279.xml"/><Relationship Id="rId162" Type="http://schemas.openxmlformats.org/officeDocument/2006/relationships/ctrlProp" Target="../ctrlProps/ctrlProp434.xml"/><Relationship Id="rId183" Type="http://schemas.openxmlformats.org/officeDocument/2006/relationships/ctrlProp" Target="../ctrlProps/ctrlProp455.xml"/><Relationship Id="rId24" Type="http://schemas.openxmlformats.org/officeDocument/2006/relationships/ctrlProp" Target="../ctrlProps/ctrlProp296.xml"/><Relationship Id="rId45" Type="http://schemas.openxmlformats.org/officeDocument/2006/relationships/ctrlProp" Target="../ctrlProps/ctrlProp317.xml"/><Relationship Id="rId66" Type="http://schemas.openxmlformats.org/officeDocument/2006/relationships/ctrlProp" Target="../ctrlProps/ctrlProp338.xml"/><Relationship Id="rId87" Type="http://schemas.openxmlformats.org/officeDocument/2006/relationships/ctrlProp" Target="../ctrlProps/ctrlProp359.xml"/><Relationship Id="rId110" Type="http://schemas.openxmlformats.org/officeDocument/2006/relationships/ctrlProp" Target="../ctrlProps/ctrlProp382.xml"/><Relationship Id="rId131" Type="http://schemas.openxmlformats.org/officeDocument/2006/relationships/ctrlProp" Target="../ctrlProps/ctrlProp403.xml"/><Relationship Id="rId152" Type="http://schemas.openxmlformats.org/officeDocument/2006/relationships/ctrlProp" Target="../ctrlProps/ctrlProp424.xml"/><Relationship Id="rId173" Type="http://schemas.openxmlformats.org/officeDocument/2006/relationships/ctrlProp" Target="../ctrlProps/ctrlProp445.xml"/><Relationship Id="rId194" Type="http://schemas.openxmlformats.org/officeDocument/2006/relationships/ctrlProp" Target="../ctrlProps/ctrlProp466.xml"/><Relationship Id="rId208" Type="http://schemas.openxmlformats.org/officeDocument/2006/relationships/ctrlProp" Target="../ctrlProps/ctrlProp480.xml"/><Relationship Id="rId19" Type="http://schemas.openxmlformats.org/officeDocument/2006/relationships/ctrlProp" Target="../ctrlProps/ctrlProp291.xml"/><Relationship Id="rId14" Type="http://schemas.openxmlformats.org/officeDocument/2006/relationships/ctrlProp" Target="../ctrlProps/ctrlProp286.xml"/><Relationship Id="rId30" Type="http://schemas.openxmlformats.org/officeDocument/2006/relationships/ctrlProp" Target="../ctrlProps/ctrlProp302.xml"/><Relationship Id="rId35" Type="http://schemas.openxmlformats.org/officeDocument/2006/relationships/ctrlProp" Target="../ctrlProps/ctrlProp307.xml"/><Relationship Id="rId56" Type="http://schemas.openxmlformats.org/officeDocument/2006/relationships/ctrlProp" Target="../ctrlProps/ctrlProp328.xml"/><Relationship Id="rId77" Type="http://schemas.openxmlformats.org/officeDocument/2006/relationships/ctrlProp" Target="../ctrlProps/ctrlProp349.xml"/><Relationship Id="rId100" Type="http://schemas.openxmlformats.org/officeDocument/2006/relationships/ctrlProp" Target="../ctrlProps/ctrlProp372.xml"/><Relationship Id="rId105" Type="http://schemas.openxmlformats.org/officeDocument/2006/relationships/ctrlProp" Target="../ctrlProps/ctrlProp377.xml"/><Relationship Id="rId126" Type="http://schemas.openxmlformats.org/officeDocument/2006/relationships/ctrlProp" Target="../ctrlProps/ctrlProp398.xml"/><Relationship Id="rId147" Type="http://schemas.openxmlformats.org/officeDocument/2006/relationships/ctrlProp" Target="../ctrlProps/ctrlProp419.xml"/><Relationship Id="rId168" Type="http://schemas.openxmlformats.org/officeDocument/2006/relationships/ctrlProp" Target="../ctrlProps/ctrlProp440.xml"/><Relationship Id="rId8" Type="http://schemas.openxmlformats.org/officeDocument/2006/relationships/ctrlProp" Target="../ctrlProps/ctrlProp280.xml"/><Relationship Id="rId51" Type="http://schemas.openxmlformats.org/officeDocument/2006/relationships/ctrlProp" Target="../ctrlProps/ctrlProp323.xml"/><Relationship Id="rId72" Type="http://schemas.openxmlformats.org/officeDocument/2006/relationships/ctrlProp" Target="../ctrlProps/ctrlProp344.xml"/><Relationship Id="rId93" Type="http://schemas.openxmlformats.org/officeDocument/2006/relationships/ctrlProp" Target="../ctrlProps/ctrlProp365.xml"/><Relationship Id="rId98" Type="http://schemas.openxmlformats.org/officeDocument/2006/relationships/ctrlProp" Target="../ctrlProps/ctrlProp370.xml"/><Relationship Id="rId121" Type="http://schemas.openxmlformats.org/officeDocument/2006/relationships/ctrlProp" Target="../ctrlProps/ctrlProp393.xml"/><Relationship Id="rId142" Type="http://schemas.openxmlformats.org/officeDocument/2006/relationships/ctrlProp" Target="../ctrlProps/ctrlProp414.xml"/><Relationship Id="rId163" Type="http://schemas.openxmlformats.org/officeDocument/2006/relationships/ctrlProp" Target="../ctrlProps/ctrlProp435.xml"/><Relationship Id="rId184" Type="http://schemas.openxmlformats.org/officeDocument/2006/relationships/ctrlProp" Target="../ctrlProps/ctrlProp456.xml"/><Relationship Id="rId189" Type="http://schemas.openxmlformats.org/officeDocument/2006/relationships/ctrlProp" Target="../ctrlProps/ctrlProp46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86.xml"/><Relationship Id="rId25" Type="http://schemas.openxmlformats.org/officeDocument/2006/relationships/ctrlProp" Target="../ctrlProps/ctrlProp297.xml"/><Relationship Id="rId46" Type="http://schemas.openxmlformats.org/officeDocument/2006/relationships/ctrlProp" Target="../ctrlProps/ctrlProp318.xml"/><Relationship Id="rId67" Type="http://schemas.openxmlformats.org/officeDocument/2006/relationships/ctrlProp" Target="../ctrlProps/ctrlProp339.xml"/><Relationship Id="rId116" Type="http://schemas.openxmlformats.org/officeDocument/2006/relationships/ctrlProp" Target="../ctrlProps/ctrlProp388.xml"/><Relationship Id="rId137" Type="http://schemas.openxmlformats.org/officeDocument/2006/relationships/ctrlProp" Target="../ctrlProps/ctrlProp409.xml"/><Relationship Id="rId158" Type="http://schemas.openxmlformats.org/officeDocument/2006/relationships/ctrlProp" Target="../ctrlProps/ctrlProp430.xml"/><Relationship Id="rId20" Type="http://schemas.openxmlformats.org/officeDocument/2006/relationships/ctrlProp" Target="../ctrlProps/ctrlProp292.xml"/><Relationship Id="rId41" Type="http://schemas.openxmlformats.org/officeDocument/2006/relationships/ctrlProp" Target="../ctrlProps/ctrlProp313.xml"/><Relationship Id="rId62" Type="http://schemas.openxmlformats.org/officeDocument/2006/relationships/ctrlProp" Target="../ctrlProps/ctrlProp334.xml"/><Relationship Id="rId83" Type="http://schemas.openxmlformats.org/officeDocument/2006/relationships/ctrlProp" Target="../ctrlProps/ctrlProp355.xml"/><Relationship Id="rId88" Type="http://schemas.openxmlformats.org/officeDocument/2006/relationships/ctrlProp" Target="../ctrlProps/ctrlProp360.xml"/><Relationship Id="rId111" Type="http://schemas.openxmlformats.org/officeDocument/2006/relationships/ctrlProp" Target="../ctrlProps/ctrlProp383.xml"/><Relationship Id="rId132" Type="http://schemas.openxmlformats.org/officeDocument/2006/relationships/ctrlProp" Target="../ctrlProps/ctrlProp404.xml"/><Relationship Id="rId153" Type="http://schemas.openxmlformats.org/officeDocument/2006/relationships/ctrlProp" Target="../ctrlProps/ctrlProp425.xml"/><Relationship Id="rId174" Type="http://schemas.openxmlformats.org/officeDocument/2006/relationships/ctrlProp" Target="../ctrlProps/ctrlProp446.xml"/><Relationship Id="rId179" Type="http://schemas.openxmlformats.org/officeDocument/2006/relationships/ctrlProp" Target="../ctrlProps/ctrlProp451.xml"/><Relationship Id="rId195" Type="http://schemas.openxmlformats.org/officeDocument/2006/relationships/ctrlProp" Target="../ctrlProps/ctrlProp467.xml"/><Relationship Id="rId209" Type="http://schemas.openxmlformats.org/officeDocument/2006/relationships/ctrlProp" Target="../ctrlProps/ctrlProp481.xml"/><Relationship Id="rId190" Type="http://schemas.openxmlformats.org/officeDocument/2006/relationships/ctrlProp" Target="../ctrlProps/ctrlProp462.xml"/><Relationship Id="rId204" Type="http://schemas.openxmlformats.org/officeDocument/2006/relationships/ctrlProp" Target="../ctrlProps/ctrlProp476.xml"/><Relationship Id="rId15" Type="http://schemas.openxmlformats.org/officeDocument/2006/relationships/ctrlProp" Target="../ctrlProps/ctrlProp287.xml"/><Relationship Id="rId36" Type="http://schemas.openxmlformats.org/officeDocument/2006/relationships/ctrlProp" Target="../ctrlProps/ctrlProp308.xml"/><Relationship Id="rId57" Type="http://schemas.openxmlformats.org/officeDocument/2006/relationships/ctrlProp" Target="../ctrlProps/ctrlProp329.xml"/><Relationship Id="rId106" Type="http://schemas.openxmlformats.org/officeDocument/2006/relationships/ctrlProp" Target="../ctrlProps/ctrlProp378.xml"/><Relationship Id="rId127" Type="http://schemas.openxmlformats.org/officeDocument/2006/relationships/ctrlProp" Target="../ctrlProps/ctrlProp399.xml"/><Relationship Id="rId10" Type="http://schemas.openxmlformats.org/officeDocument/2006/relationships/ctrlProp" Target="../ctrlProps/ctrlProp282.xml"/><Relationship Id="rId31" Type="http://schemas.openxmlformats.org/officeDocument/2006/relationships/ctrlProp" Target="../ctrlProps/ctrlProp303.xml"/><Relationship Id="rId52" Type="http://schemas.openxmlformats.org/officeDocument/2006/relationships/ctrlProp" Target="../ctrlProps/ctrlProp324.xml"/><Relationship Id="rId73" Type="http://schemas.openxmlformats.org/officeDocument/2006/relationships/ctrlProp" Target="../ctrlProps/ctrlProp345.xml"/><Relationship Id="rId78" Type="http://schemas.openxmlformats.org/officeDocument/2006/relationships/ctrlProp" Target="../ctrlProps/ctrlProp350.xml"/><Relationship Id="rId94" Type="http://schemas.openxmlformats.org/officeDocument/2006/relationships/ctrlProp" Target="../ctrlProps/ctrlProp366.xml"/><Relationship Id="rId99" Type="http://schemas.openxmlformats.org/officeDocument/2006/relationships/ctrlProp" Target="../ctrlProps/ctrlProp371.xml"/><Relationship Id="rId101" Type="http://schemas.openxmlformats.org/officeDocument/2006/relationships/ctrlProp" Target="../ctrlProps/ctrlProp373.xml"/><Relationship Id="rId122" Type="http://schemas.openxmlformats.org/officeDocument/2006/relationships/ctrlProp" Target="../ctrlProps/ctrlProp394.xml"/><Relationship Id="rId143" Type="http://schemas.openxmlformats.org/officeDocument/2006/relationships/ctrlProp" Target="../ctrlProps/ctrlProp415.xml"/><Relationship Id="rId148" Type="http://schemas.openxmlformats.org/officeDocument/2006/relationships/ctrlProp" Target="../ctrlProps/ctrlProp420.xml"/><Relationship Id="rId164" Type="http://schemas.openxmlformats.org/officeDocument/2006/relationships/ctrlProp" Target="../ctrlProps/ctrlProp436.xml"/><Relationship Id="rId169" Type="http://schemas.openxmlformats.org/officeDocument/2006/relationships/ctrlProp" Target="../ctrlProps/ctrlProp441.xml"/><Relationship Id="rId185" Type="http://schemas.openxmlformats.org/officeDocument/2006/relationships/ctrlProp" Target="../ctrlProps/ctrlProp457.xml"/><Relationship Id="rId4" Type="http://schemas.openxmlformats.org/officeDocument/2006/relationships/ctrlProp" Target="../ctrlProps/ctrlProp276.xml"/><Relationship Id="rId9" Type="http://schemas.openxmlformats.org/officeDocument/2006/relationships/ctrlProp" Target="../ctrlProps/ctrlProp281.xml"/><Relationship Id="rId180" Type="http://schemas.openxmlformats.org/officeDocument/2006/relationships/ctrlProp" Target="../ctrlProps/ctrlProp452.xml"/><Relationship Id="rId210" Type="http://schemas.openxmlformats.org/officeDocument/2006/relationships/ctrlProp" Target="../ctrlProps/ctrlProp482.xml"/><Relationship Id="rId215" Type="http://schemas.openxmlformats.org/officeDocument/2006/relationships/ctrlProp" Target="../ctrlProps/ctrlProp487.xml"/><Relationship Id="rId26" Type="http://schemas.openxmlformats.org/officeDocument/2006/relationships/ctrlProp" Target="../ctrlProps/ctrlProp298.xml"/><Relationship Id="rId47" Type="http://schemas.openxmlformats.org/officeDocument/2006/relationships/ctrlProp" Target="../ctrlProps/ctrlProp319.xml"/><Relationship Id="rId68" Type="http://schemas.openxmlformats.org/officeDocument/2006/relationships/ctrlProp" Target="../ctrlProps/ctrlProp340.xml"/><Relationship Id="rId89" Type="http://schemas.openxmlformats.org/officeDocument/2006/relationships/ctrlProp" Target="../ctrlProps/ctrlProp361.xml"/><Relationship Id="rId112" Type="http://schemas.openxmlformats.org/officeDocument/2006/relationships/ctrlProp" Target="../ctrlProps/ctrlProp384.xml"/><Relationship Id="rId133" Type="http://schemas.openxmlformats.org/officeDocument/2006/relationships/ctrlProp" Target="../ctrlProps/ctrlProp405.xml"/><Relationship Id="rId154" Type="http://schemas.openxmlformats.org/officeDocument/2006/relationships/ctrlProp" Target="../ctrlProps/ctrlProp426.xml"/><Relationship Id="rId175" Type="http://schemas.openxmlformats.org/officeDocument/2006/relationships/ctrlProp" Target="../ctrlProps/ctrlProp447.xml"/><Relationship Id="rId196" Type="http://schemas.openxmlformats.org/officeDocument/2006/relationships/ctrlProp" Target="../ctrlProps/ctrlProp468.xml"/><Relationship Id="rId200" Type="http://schemas.openxmlformats.org/officeDocument/2006/relationships/ctrlProp" Target="../ctrlProps/ctrlProp472.xml"/><Relationship Id="rId16" Type="http://schemas.openxmlformats.org/officeDocument/2006/relationships/ctrlProp" Target="../ctrlProps/ctrlProp288.xml"/><Relationship Id="rId37" Type="http://schemas.openxmlformats.org/officeDocument/2006/relationships/ctrlProp" Target="../ctrlProps/ctrlProp309.xml"/><Relationship Id="rId58" Type="http://schemas.openxmlformats.org/officeDocument/2006/relationships/ctrlProp" Target="../ctrlProps/ctrlProp330.xml"/><Relationship Id="rId79" Type="http://schemas.openxmlformats.org/officeDocument/2006/relationships/ctrlProp" Target="../ctrlProps/ctrlProp351.xml"/><Relationship Id="rId102" Type="http://schemas.openxmlformats.org/officeDocument/2006/relationships/ctrlProp" Target="../ctrlProps/ctrlProp374.xml"/><Relationship Id="rId123" Type="http://schemas.openxmlformats.org/officeDocument/2006/relationships/ctrlProp" Target="../ctrlProps/ctrlProp395.xml"/><Relationship Id="rId144" Type="http://schemas.openxmlformats.org/officeDocument/2006/relationships/ctrlProp" Target="../ctrlProps/ctrlProp416.xml"/><Relationship Id="rId90" Type="http://schemas.openxmlformats.org/officeDocument/2006/relationships/ctrlProp" Target="../ctrlProps/ctrlProp362.xml"/><Relationship Id="rId165" Type="http://schemas.openxmlformats.org/officeDocument/2006/relationships/ctrlProp" Target="../ctrlProps/ctrlProp437.xml"/><Relationship Id="rId186" Type="http://schemas.openxmlformats.org/officeDocument/2006/relationships/ctrlProp" Target="../ctrlProps/ctrlProp458.xml"/><Relationship Id="rId211" Type="http://schemas.openxmlformats.org/officeDocument/2006/relationships/ctrlProp" Target="../ctrlProps/ctrlProp483.xml"/><Relationship Id="rId27" Type="http://schemas.openxmlformats.org/officeDocument/2006/relationships/ctrlProp" Target="../ctrlProps/ctrlProp299.xml"/><Relationship Id="rId48" Type="http://schemas.openxmlformats.org/officeDocument/2006/relationships/ctrlProp" Target="../ctrlProps/ctrlProp320.xml"/><Relationship Id="rId69" Type="http://schemas.openxmlformats.org/officeDocument/2006/relationships/ctrlProp" Target="../ctrlProps/ctrlProp341.xml"/><Relationship Id="rId113" Type="http://schemas.openxmlformats.org/officeDocument/2006/relationships/ctrlProp" Target="../ctrlProps/ctrlProp385.xml"/><Relationship Id="rId134" Type="http://schemas.openxmlformats.org/officeDocument/2006/relationships/ctrlProp" Target="../ctrlProps/ctrlProp406.xml"/><Relationship Id="rId80" Type="http://schemas.openxmlformats.org/officeDocument/2006/relationships/ctrlProp" Target="../ctrlProps/ctrlProp352.xml"/><Relationship Id="rId155" Type="http://schemas.openxmlformats.org/officeDocument/2006/relationships/ctrlProp" Target="../ctrlProps/ctrlProp427.xml"/><Relationship Id="rId176" Type="http://schemas.openxmlformats.org/officeDocument/2006/relationships/ctrlProp" Target="../ctrlProps/ctrlProp448.xml"/><Relationship Id="rId197" Type="http://schemas.openxmlformats.org/officeDocument/2006/relationships/ctrlProp" Target="../ctrlProps/ctrlProp469.xml"/><Relationship Id="rId201" Type="http://schemas.openxmlformats.org/officeDocument/2006/relationships/ctrlProp" Target="../ctrlProps/ctrlProp473.xml"/><Relationship Id="rId17" Type="http://schemas.openxmlformats.org/officeDocument/2006/relationships/ctrlProp" Target="../ctrlProps/ctrlProp289.xml"/><Relationship Id="rId38" Type="http://schemas.openxmlformats.org/officeDocument/2006/relationships/ctrlProp" Target="../ctrlProps/ctrlProp310.xml"/><Relationship Id="rId59" Type="http://schemas.openxmlformats.org/officeDocument/2006/relationships/ctrlProp" Target="../ctrlProps/ctrlProp331.xml"/><Relationship Id="rId103" Type="http://schemas.openxmlformats.org/officeDocument/2006/relationships/ctrlProp" Target="../ctrlProps/ctrlProp375.xml"/><Relationship Id="rId124" Type="http://schemas.openxmlformats.org/officeDocument/2006/relationships/ctrlProp" Target="../ctrlProps/ctrlProp396.xml"/><Relationship Id="rId70" Type="http://schemas.openxmlformats.org/officeDocument/2006/relationships/ctrlProp" Target="../ctrlProps/ctrlProp342.xml"/><Relationship Id="rId91" Type="http://schemas.openxmlformats.org/officeDocument/2006/relationships/ctrlProp" Target="../ctrlProps/ctrlProp363.xml"/><Relationship Id="rId145" Type="http://schemas.openxmlformats.org/officeDocument/2006/relationships/ctrlProp" Target="../ctrlProps/ctrlProp417.xml"/><Relationship Id="rId166" Type="http://schemas.openxmlformats.org/officeDocument/2006/relationships/ctrlProp" Target="../ctrlProps/ctrlProp438.xml"/><Relationship Id="rId187" Type="http://schemas.openxmlformats.org/officeDocument/2006/relationships/ctrlProp" Target="../ctrlProps/ctrlProp45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84.xml"/><Relationship Id="rId28" Type="http://schemas.openxmlformats.org/officeDocument/2006/relationships/ctrlProp" Target="../ctrlProps/ctrlProp300.xml"/><Relationship Id="rId49" Type="http://schemas.openxmlformats.org/officeDocument/2006/relationships/ctrlProp" Target="../ctrlProps/ctrlProp321.xml"/><Relationship Id="rId114" Type="http://schemas.openxmlformats.org/officeDocument/2006/relationships/ctrlProp" Target="../ctrlProps/ctrlProp386.xml"/><Relationship Id="rId60" Type="http://schemas.openxmlformats.org/officeDocument/2006/relationships/ctrlProp" Target="../ctrlProps/ctrlProp332.xml"/><Relationship Id="rId81" Type="http://schemas.openxmlformats.org/officeDocument/2006/relationships/ctrlProp" Target="../ctrlProps/ctrlProp353.xml"/><Relationship Id="rId135" Type="http://schemas.openxmlformats.org/officeDocument/2006/relationships/ctrlProp" Target="../ctrlProps/ctrlProp407.xml"/><Relationship Id="rId156" Type="http://schemas.openxmlformats.org/officeDocument/2006/relationships/ctrlProp" Target="../ctrlProps/ctrlProp428.xml"/><Relationship Id="rId177" Type="http://schemas.openxmlformats.org/officeDocument/2006/relationships/ctrlProp" Target="../ctrlProps/ctrlProp449.xml"/><Relationship Id="rId198" Type="http://schemas.openxmlformats.org/officeDocument/2006/relationships/ctrlProp" Target="../ctrlProps/ctrlProp470.xml"/><Relationship Id="rId202" Type="http://schemas.openxmlformats.org/officeDocument/2006/relationships/ctrlProp" Target="../ctrlProps/ctrlProp474.xml"/><Relationship Id="rId18" Type="http://schemas.openxmlformats.org/officeDocument/2006/relationships/ctrlProp" Target="../ctrlProps/ctrlProp290.xml"/><Relationship Id="rId39" Type="http://schemas.openxmlformats.org/officeDocument/2006/relationships/ctrlProp" Target="../ctrlProps/ctrlProp311.xml"/><Relationship Id="rId50" Type="http://schemas.openxmlformats.org/officeDocument/2006/relationships/ctrlProp" Target="../ctrlProps/ctrlProp322.xml"/><Relationship Id="rId104" Type="http://schemas.openxmlformats.org/officeDocument/2006/relationships/ctrlProp" Target="../ctrlProps/ctrlProp376.xml"/><Relationship Id="rId125" Type="http://schemas.openxmlformats.org/officeDocument/2006/relationships/ctrlProp" Target="../ctrlProps/ctrlProp397.xml"/><Relationship Id="rId146" Type="http://schemas.openxmlformats.org/officeDocument/2006/relationships/ctrlProp" Target="../ctrlProps/ctrlProp418.xml"/><Relationship Id="rId167" Type="http://schemas.openxmlformats.org/officeDocument/2006/relationships/ctrlProp" Target="../ctrlProps/ctrlProp439.xml"/><Relationship Id="rId188" Type="http://schemas.openxmlformats.org/officeDocument/2006/relationships/ctrlProp" Target="../ctrlProps/ctrlProp460.xml"/><Relationship Id="rId71" Type="http://schemas.openxmlformats.org/officeDocument/2006/relationships/ctrlProp" Target="../ctrlProps/ctrlProp343.xml"/><Relationship Id="rId92" Type="http://schemas.openxmlformats.org/officeDocument/2006/relationships/ctrlProp" Target="../ctrlProps/ctrlProp364.xml"/><Relationship Id="rId213" Type="http://schemas.openxmlformats.org/officeDocument/2006/relationships/ctrlProp" Target="../ctrlProps/ctrlProp48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01.xml"/><Relationship Id="rId40" Type="http://schemas.openxmlformats.org/officeDocument/2006/relationships/ctrlProp" Target="../ctrlProps/ctrlProp312.xml"/><Relationship Id="rId115" Type="http://schemas.openxmlformats.org/officeDocument/2006/relationships/ctrlProp" Target="../ctrlProps/ctrlProp387.xml"/><Relationship Id="rId136" Type="http://schemas.openxmlformats.org/officeDocument/2006/relationships/ctrlProp" Target="../ctrlProps/ctrlProp408.xml"/><Relationship Id="rId157" Type="http://schemas.openxmlformats.org/officeDocument/2006/relationships/ctrlProp" Target="../ctrlProps/ctrlProp429.xml"/><Relationship Id="rId178" Type="http://schemas.openxmlformats.org/officeDocument/2006/relationships/ctrlProp" Target="../ctrlProps/ctrlProp450.xml"/><Relationship Id="rId61" Type="http://schemas.openxmlformats.org/officeDocument/2006/relationships/ctrlProp" Target="../ctrlProps/ctrlProp333.xml"/><Relationship Id="rId82" Type="http://schemas.openxmlformats.org/officeDocument/2006/relationships/ctrlProp" Target="../ctrlProps/ctrlProp354.xml"/><Relationship Id="rId199" Type="http://schemas.openxmlformats.org/officeDocument/2006/relationships/ctrlProp" Target="../ctrlProps/ctrlProp471.xml"/><Relationship Id="rId203" Type="http://schemas.openxmlformats.org/officeDocument/2006/relationships/ctrlProp" Target="../ctrlProps/ctrlProp4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zoomScaleNormal="100" zoomScaleSheetLayoutView="100" workbookViewId="0">
      <selection activeCell="B3" sqref="B3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82"/>
      <c r="B1" s="6"/>
      <c r="I1" s="88" t="s">
        <v>33</v>
      </c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3"/>
    </row>
    <row r="2" spans="1:29" ht="37.5" customHeight="1" x14ac:dyDescent="0.25">
      <c r="A2" s="82"/>
      <c r="B2" s="6"/>
      <c r="I2" s="83" t="s">
        <v>32</v>
      </c>
      <c r="J2" s="84"/>
      <c r="K2" s="84"/>
      <c r="L2" s="84"/>
      <c r="M2" s="84"/>
      <c r="N2" s="84"/>
      <c r="O2" s="8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87" t="s">
        <v>1</v>
      </c>
      <c r="B4" s="87"/>
      <c r="C4" s="87"/>
      <c r="D4" s="87"/>
      <c r="E4" s="87"/>
      <c r="F4" s="90"/>
      <c r="G4" s="85" t="s">
        <v>70</v>
      </c>
      <c r="H4" s="85"/>
      <c r="I4" s="85"/>
      <c r="J4" s="85"/>
      <c r="K4" s="85"/>
      <c r="L4" s="85"/>
      <c r="M4" s="85"/>
      <c r="N4" s="86" t="s">
        <v>11</v>
      </c>
      <c r="O4" s="86"/>
      <c r="P4" s="86"/>
      <c r="Q4" s="86"/>
      <c r="R4" s="86"/>
      <c r="S4" s="86"/>
      <c r="T4" s="86"/>
      <c r="U4" s="101" t="s">
        <v>68</v>
      </c>
      <c r="V4" s="102"/>
      <c r="W4" s="102"/>
      <c r="X4" s="102"/>
      <c r="Y4" s="102"/>
      <c r="Z4" s="102"/>
      <c r="AA4" s="102"/>
      <c r="AB4" s="103"/>
      <c r="AC4" s="3"/>
    </row>
    <row r="5" spans="1:29" ht="24" customHeight="1" x14ac:dyDescent="0.25">
      <c r="A5" s="87" t="s">
        <v>5</v>
      </c>
      <c r="B5" s="87"/>
      <c r="C5" s="87"/>
      <c r="D5" s="87"/>
      <c r="E5" s="87"/>
      <c r="F5" s="90"/>
      <c r="G5" s="71" t="s">
        <v>38</v>
      </c>
      <c r="H5" s="71"/>
      <c r="I5" s="71"/>
      <c r="J5" s="71"/>
      <c r="K5" s="71"/>
      <c r="L5" s="71"/>
      <c r="M5" s="71"/>
      <c r="N5" s="87" t="s">
        <v>9</v>
      </c>
      <c r="O5" s="87"/>
      <c r="P5" s="87"/>
      <c r="Q5" s="87"/>
      <c r="R5" s="87"/>
      <c r="S5" s="87"/>
      <c r="T5" s="87"/>
      <c r="U5" s="93">
        <v>44532</v>
      </c>
      <c r="V5" s="94"/>
      <c r="W5" s="95"/>
      <c r="X5" s="24" t="s">
        <v>30</v>
      </c>
      <c r="Y5" s="96">
        <v>0.3923611111111111</v>
      </c>
      <c r="Z5" s="97"/>
      <c r="AA5" s="97"/>
      <c r="AB5" s="97"/>
    </row>
    <row r="6" spans="1:29" ht="24" customHeight="1" x14ac:dyDescent="0.25">
      <c r="A6" s="91" t="s">
        <v>7</v>
      </c>
      <c r="B6" s="91"/>
      <c r="C6" s="91"/>
      <c r="D6" s="91"/>
      <c r="E6" s="91"/>
      <c r="F6" s="92"/>
      <c r="G6" s="71" t="s">
        <v>41</v>
      </c>
      <c r="H6" s="71"/>
      <c r="I6" s="71"/>
      <c r="J6" s="71"/>
      <c r="K6" s="71"/>
      <c r="L6" s="71"/>
      <c r="M6" s="71"/>
      <c r="N6" s="98" t="s">
        <v>0</v>
      </c>
      <c r="O6" s="98"/>
      <c r="P6" s="98"/>
      <c r="Q6" s="98"/>
      <c r="R6" s="98"/>
      <c r="S6" s="98"/>
      <c r="T6" s="98"/>
      <c r="U6" s="93">
        <v>44532</v>
      </c>
      <c r="V6" s="94"/>
      <c r="W6" s="95"/>
      <c r="X6" s="24" t="s">
        <v>30</v>
      </c>
      <c r="Y6" s="96">
        <v>0.44722222222222219</v>
      </c>
      <c r="Z6" s="97"/>
      <c r="AA6" s="97"/>
      <c r="AB6" s="97"/>
    </row>
    <row r="7" spans="1:29" ht="24" customHeight="1" x14ac:dyDescent="0.25">
      <c r="A7" s="87" t="s">
        <v>10</v>
      </c>
      <c r="B7" s="87"/>
      <c r="C7" s="87"/>
      <c r="D7" s="87"/>
      <c r="E7" s="87"/>
      <c r="F7" s="90"/>
      <c r="G7" s="71" t="s">
        <v>42</v>
      </c>
      <c r="H7" s="71"/>
      <c r="I7" s="71"/>
      <c r="J7" s="71"/>
      <c r="K7" s="71"/>
      <c r="L7" s="71"/>
      <c r="M7" s="71"/>
      <c r="N7" s="104" t="s">
        <v>35</v>
      </c>
      <c r="O7" s="104"/>
      <c r="P7" s="104"/>
      <c r="Q7" s="104"/>
      <c r="R7" s="104"/>
      <c r="S7" s="104"/>
      <c r="T7" s="104"/>
      <c r="U7" s="72" t="s">
        <v>40</v>
      </c>
      <c r="V7" s="72"/>
      <c r="W7" s="72"/>
      <c r="X7" s="72"/>
      <c r="Y7" s="72"/>
      <c r="Z7" s="72"/>
      <c r="AA7" s="72"/>
      <c r="AB7" s="72"/>
    </row>
    <row r="8" spans="1:29" ht="24" customHeight="1" x14ac:dyDescent="0.25">
      <c r="A8" s="91" t="s">
        <v>2</v>
      </c>
      <c r="B8" s="91"/>
      <c r="C8" s="91"/>
      <c r="D8" s="91"/>
      <c r="E8" s="91"/>
      <c r="F8" s="92"/>
      <c r="G8" s="71">
        <v>20065667</v>
      </c>
      <c r="H8" s="71"/>
      <c r="I8" s="71"/>
      <c r="J8" s="71"/>
      <c r="K8" s="71"/>
      <c r="L8" s="71"/>
      <c r="M8" s="71"/>
      <c r="N8" s="104" t="s">
        <v>4</v>
      </c>
      <c r="O8" s="104"/>
      <c r="P8" s="104"/>
      <c r="Q8" s="104"/>
      <c r="R8" s="104"/>
      <c r="S8" s="104"/>
      <c r="T8" s="104"/>
      <c r="U8" s="105" t="s">
        <v>39</v>
      </c>
      <c r="V8" s="105"/>
      <c r="W8" s="105"/>
      <c r="X8" s="105"/>
      <c r="Y8" s="105"/>
      <c r="Z8" s="105"/>
      <c r="AA8" s="105"/>
      <c r="AB8" s="105"/>
    </row>
    <row r="9" spans="1:29" ht="24" customHeight="1" x14ac:dyDescent="0.25">
      <c r="A9" s="91" t="s">
        <v>6</v>
      </c>
      <c r="B9" s="91"/>
      <c r="C9" s="91"/>
      <c r="D9" s="91"/>
      <c r="E9" s="91"/>
      <c r="F9" s="92"/>
      <c r="G9" s="99" t="s">
        <v>43</v>
      </c>
      <c r="H9" s="99"/>
      <c r="I9" s="99"/>
      <c r="J9" s="99"/>
      <c r="K9" s="99"/>
      <c r="L9" s="99"/>
      <c r="M9" s="99"/>
      <c r="N9" s="104" t="s">
        <v>31</v>
      </c>
      <c r="O9" s="104"/>
      <c r="P9" s="104"/>
      <c r="Q9" s="104"/>
      <c r="R9" s="104"/>
      <c r="S9" s="104"/>
      <c r="T9" s="104"/>
      <c r="U9" s="100" t="s">
        <v>69</v>
      </c>
      <c r="V9" s="100"/>
      <c r="W9" s="100"/>
      <c r="X9" s="100"/>
      <c r="Y9" s="100"/>
      <c r="Z9" s="100"/>
      <c r="AA9" s="100"/>
      <c r="AB9" s="100"/>
    </row>
    <row r="10" spans="1:29" ht="6" customHeight="1" x14ac:dyDescent="0.25">
      <c r="U10" s="8"/>
      <c r="V10" s="8"/>
      <c r="W10" s="8"/>
    </row>
    <row r="11" spans="1:29" ht="23.25" customHeight="1" x14ac:dyDescent="0.25">
      <c r="A11" s="106" t="s">
        <v>8</v>
      </c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9"/>
      <c r="N11" s="104" t="s">
        <v>12</v>
      </c>
      <c r="O11" s="104"/>
      <c r="P11" s="104"/>
      <c r="Q11" s="104"/>
      <c r="R11" s="104"/>
      <c r="S11" s="71"/>
      <c r="T11" s="71"/>
      <c r="U11" s="104" t="s">
        <v>13</v>
      </c>
      <c r="V11" s="104"/>
      <c r="W11" s="104"/>
      <c r="X11" s="104"/>
      <c r="Y11" s="104"/>
      <c r="Z11" s="104"/>
      <c r="AA11" s="101"/>
      <c r="AB11" s="103"/>
    </row>
    <row r="12" spans="1:29" ht="6" customHeight="1" x14ac:dyDescent="0.3"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</row>
    <row r="13" spans="1:29" ht="36" customHeight="1" x14ac:dyDescent="0.25">
      <c r="A13" s="46" t="s">
        <v>36</v>
      </c>
      <c r="B13" s="76"/>
      <c r="C13" s="76"/>
      <c r="D13" s="76"/>
      <c r="E13" s="76"/>
      <c r="F13" s="25" t="s">
        <v>37</v>
      </c>
      <c r="G13" s="66" t="s">
        <v>14</v>
      </c>
      <c r="H13" s="66"/>
      <c r="I13" s="66"/>
      <c r="J13" s="81">
        <v>3.9362830445830448</v>
      </c>
      <c r="K13" s="81"/>
      <c r="L13" s="66" t="s">
        <v>15</v>
      </c>
      <c r="M13" s="66"/>
      <c r="N13" s="66"/>
      <c r="O13" s="101">
        <v>80</v>
      </c>
      <c r="P13" s="102"/>
      <c r="Q13" s="103"/>
      <c r="R13" s="66" t="s">
        <v>16</v>
      </c>
      <c r="S13" s="66"/>
      <c r="T13" s="66"/>
      <c r="U13" s="71">
        <v>5</v>
      </c>
      <c r="V13" s="71"/>
      <c r="W13" s="66" t="s">
        <v>17</v>
      </c>
      <c r="X13" s="66"/>
      <c r="Y13" s="66"/>
      <c r="Z13" s="66"/>
      <c r="AA13" s="71">
        <v>1</v>
      </c>
      <c r="AB13" s="71"/>
    </row>
    <row r="14" spans="1:29" ht="27" customHeight="1" x14ac:dyDescent="0.25">
      <c r="A14" s="76" t="s">
        <v>3</v>
      </c>
      <c r="B14" s="76"/>
      <c r="C14" s="76"/>
      <c r="D14" s="76"/>
      <c r="E14" s="76"/>
      <c r="F14" s="25"/>
      <c r="G14" s="66" t="s">
        <v>18</v>
      </c>
      <c r="H14" s="66"/>
      <c r="I14" s="66"/>
      <c r="J14" s="66"/>
      <c r="K14" s="66"/>
      <c r="L14" s="66"/>
      <c r="M14" s="73"/>
      <c r="N14" s="74"/>
      <c r="O14" s="74"/>
      <c r="P14" s="74"/>
      <c r="Q14" s="75"/>
      <c r="R14" s="66" t="s">
        <v>19</v>
      </c>
      <c r="S14" s="66"/>
      <c r="T14" s="66"/>
      <c r="U14" s="66"/>
      <c r="V14" s="66"/>
      <c r="W14" s="67" t="s">
        <v>56</v>
      </c>
      <c r="X14" s="67"/>
      <c r="Y14" s="67"/>
      <c r="Z14" s="67"/>
      <c r="AA14" s="67"/>
      <c r="AB14" s="67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8" t="s">
        <v>20</v>
      </c>
      <c r="B17" s="79"/>
      <c r="C17" s="79"/>
      <c r="D17" s="79"/>
      <c r="E17" s="79"/>
      <c r="F17" s="80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5">
      <c r="A18" s="39" t="s">
        <v>59</v>
      </c>
      <c r="B18" s="40"/>
      <c r="C18" s="40"/>
      <c r="D18" s="40"/>
      <c r="E18" s="40"/>
      <c r="F18" s="41"/>
      <c r="G18" s="16">
        <v>-5</v>
      </c>
      <c r="H18" s="16">
        <v>568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5">
      <c r="A19" s="39" t="s">
        <v>65</v>
      </c>
      <c r="B19" s="40"/>
      <c r="C19" s="40"/>
      <c r="D19" s="40"/>
      <c r="E19" s="40"/>
      <c r="F19" s="41"/>
      <c r="G19" s="16"/>
      <c r="H19" s="16">
        <v>17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5">
      <c r="A20" s="39" t="s">
        <v>58</v>
      </c>
      <c r="B20" s="40"/>
      <c r="C20" s="40"/>
      <c r="D20" s="40"/>
      <c r="E20" s="40"/>
      <c r="F20" s="41"/>
      <c r="G20" s="16"/>
      <c r="H20" s="32">
        <v>55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5">
      <c r="A21" s="39" t="s">
        <v>60</v>
      </c>
      <c r="B21" s="40"/>
      <c r="C21" s="40"/>
      <c r="D21" s="40"/>
      <c r="E21" s="40"/>
      <c r="F21" s="41"/>
      <c r="G21" s="16"/>
      <c r="H21" s="16">
        <v>30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5">
      <c r="A22" s="39" t="s">
        <v>63</v>
      </c>
      <c r="B22" s="40"/>
      <c r="C22" s="40"/>
      <c r="D22" s="40"/>
      <c r="E22" s="40"/>
      <c r="F22" s="41"/>
      <c r="G22" s="32" t="s">
        <v>57</v>
      </c>
      <c r="H22" s="16">
        <v>11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5">
      <c r="A23" s="39" t="s">
        <v>61</v>
      </c>
      <c r="B23" s="40"/>
      <c r="C23" s="40"/>
      <c r="D23" s="40"/>
      <c r="E23" s="40"/>
      <c r="F23" s="41"/>
      <c r="G23" s="16"/>
      <c r="H23" s="16">
        <v>30</v>
      </c>
      <c r="I23" s="16"/>
      <c r="J23" s="51"/>
      <c r="K23" s="52"/>
      <c r="L23" s="53"/>
      <c r="M23" s="16"/>
      <c r="N23" s="16">
        <v>0</v>
      </c>
      <c r="O23" s="16"/>
      <c r="P23" s="64"/>
      <c r="Q23" s="64"/>
      <c r="R23" s="64"/>
      <c r="S23" s="6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5">
      <c r="A24" s="39" t="s">
        <v>62</v>
      </c>
      <c r="B24" s="40"/>
      <c r="C24" s="40"/>
      <c r="D24" s="40"/>
      <c r="E24" s="40"/>
      <c r="F24" s="41"/>
      <c r="G24" s="16"/>
      <c r="H24" s="16">
        <v>357</v>
      </c>
      <c r="I24" s="16"/>
      <c r="J24" s="51"/>
      <c r="K24" s="52"/>
      <c r="L24" s="53"/>
      <c r="M24" s="16"/>
      <c r="N24" s="16">
        <v>0</v>
      </c>
      <c r="O24" s="16"/>
      <c r="P24" s="64"/>
      <c r="Q24" s="64"/>
      <c r="R24" s="64"/>
      <c r="S24" s="6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5">
      <c r="A25" s="39" t="s">
        <v>66</v>
      </c>
      <c r="B25" s="40"/>
      <c r="C25" s="40"/>
      <c r="D25" s="40"/>
      <c r="E25" s="40"/>
      <c r="F25" s="41"/>
      <c r="G25" s="16"/>
      <c r="H25" s="16">
        <v>14</v>
      </c>
      <c r="I25" s="16"/>
      <c r="J25" s="68"/>
      <c r="K25" s="69"/>
      <c r="L25" s="70"/>
      <c r="M25" s="16"/>
      <c r="N25" s="16">
        <v>0</v>
      </c>
      <c r="O25" s="16"/>
      <c r="P25" s="64"/>
      <c r="Q25" s="64"/>
      <c r="R25" s="64"/>
      <c r="S25" s="6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5">
      <c r="A26" s="39" t="s">
        <v>67</v>
      </c>
      <c r="B26" s="40"/>
      <c r="C26" s="40"/>
      <c r="D26" s="40"/>
      <c r="E26" s="40"/>
      <c r="F26" s="41"/>
      <c r="G26" s="16"/>
      <c r="H26" s="16">
        <v>1</v>
      </c>
      <c r="I26" s="16"/>
      <c r="J26" s="68"/>
      <c r="K26" s="69"/>
      <c r="L26" s="70"/>
      <c r="M26" s="16"/>
      <c r="N26" s="16">
        <v>0</v>
      </c>
      <c r="O26" s="16"/>
      <c r="P26" s="64"/>
      <c r="Q26" s="64"/>
      <c r="R26" s="64"/>
      <c r="S26" s="6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5">
      <c r="A27" s="39"/>
      <c r="B27" s="40"/>
      <c r="C27" s="40"/>
      <c r="D27" s="40"/>
      <c r="E27" s="40"/>
      <c r="F27" s="41"/>
      <c r="G27" s="16"/>
      <c r="H27" s="16">
        <v>0</v>
      </c>
      <c r="I27" s="16"/>
      <c r="J27" s="51"/>
      <c r="K27" s="52"/>
      <c r="L27" s="53"/>
      <c r="M27" s="16"/>
      <c r="N27" s="16">
        <v>0</v>
      </c>
      <c r="O27" s="16"/>
      <c r="P27" s="64"/>
      <c r="Q27" s="64"/>
      <c r="R27" s="64"/>
      <c r="S27" s="6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5">
      <c r="A28" s="39"/>
      <c r="B28" s="40"/>
      <c r="C28" s="40"/>
      <c r="D28" s="40"/>
      <c r="E28" s="40"/>
      <c r="F28" s="41"/>
      <c r="G28" s="16"/>
      <c r="H28" s="16">
        <v>0</v>
      </c>
      <c r="I28" s="16"/>
      <c r="J28" s="51"/>
      <c r="K28" s="52"/>
      <c r="L28" s="53"/>
      <c r="M28" s="16"/>
      <c r="N28" s="16">
        <v>0</v>
      </c>
      <c r="O28" s="16"/>
      <c r="P28" s="64"/>
      <c r="Q28" s="64"/>
      <c r="R28" s="64"/>
      <c r="S28" s="6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5">
      <c r="A29" s="39"/>
      <c r="B29" s="40"/>
      <c r="C29" s="40"/>
      <c r="D29" s="40"/>
      <c r="E29" s="40"/>
      <c r="F29" s="41"/>
      <c r="G29" s="16"/>
      <c r="H29" s="16">
        <v>0</v>
      </c>
      <c r="I29" s="16"/>
      <c r="J29" s="51"/>
      <c r="K29" s="52"/>
      <c r="L29" s="53"/>
      <c r="M29" s="16"/>
      <c r="N29" s="16">
        <v>0</v>
      </c>
      <c r="O29" s="16"/>
      <c r="P29" s="64"/>
      <c r="Q29" s="64"/>
      <c r="R29" s="64"/>
      <c r="S29" s="6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5">
      <c r="A30" s="39"/>
      <c r="B30" s="40"/>
      <c r="C30" s="40"/>
      <c r="D30" s="40"/>
      <c r="E30" s="40"/>
      <c r="F30" s="41"/>
      <c r="G30" s="16"/>
      <c r="H30" s="16">
        <v>0</v>
      </c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5">
      <c r="A31" s="65"/>
      <c r="B31" s="65"/>
      <c r="C31" s="65"/>
      <c r="D31" s="65"/>
      <c r="E31" s="65"/>
      <c r="F31" s="65"/>
      <c r="G31" s="16"/>
      <c r="H31" s="16">
        <v>0</v>
      </c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5">
      <c r="A32" s="65"/>
      <c r="B32" s="65"/>
      <c r="C32" s="65"/>
      <c r="D32" s="65"/>
      <c r="E32" s="65"/>
      <c r="F32" s="65"/>
      <c r="G32" s="16"/>
      <c r="H32" s="16">
        <v>0</v>
      </c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5">
      <c r="A33" s="39"/>
      <c r="B33" s="40"/>
      <c r="C33" s="40"/>
      <c r="D33" s="40"/>
      <c r="E33" s="40"/>
      <c r="F33" s="41"/>
      <c r="G33" s="16"/>
      <c r="H33" s="16">
        <v>0</v>
      </c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5">
      <c r="A34" s="39"/>
      <c r="B34" s="40"/>
      <c r="C34" s="40"/>
      <c r="D34" s="40"/>
      <c r="E34" s="40"/>
      <c r="F34" s="41"/>
      <c r="G34" s="16"/>
      <c r="H34" s="16">
        <v>0</v>
      </c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5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5">
      <c r="A36" s="39"/>
      <c r="B36" s="40"/>
      <c r="C36" s="40"/>
      <c r="D36" s="40"/>
      <c r="E36" s="40"/>
      <c r="F36" s="41"/>
      <c r="G36" s="16"/>
      <c r="H36" s="16">
        <v>0</v>
      </c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5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5">
      <c r="A40" s="58">
        <v>0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60"/>
      <c r="W40" s="42"/>
      <c r="X40" s="43"/>
      <c r="Y40" s="43"/>
      <c r="Z40" s="43"/>
      <c r="AA40" s="43"/>
      <c r="AB40" s="44"/>
    </row>
    <row r="41" spans="1:28" ht="26.25" customHeight="1" x14ac:dyDescent="0.25">
      <c r="A41" s="61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3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5">
      <c r="A42" s="61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3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27</xdr:row>
                    <xdr:rowOff>12700</xdr:rowOff>
                  </from>
                  <to>
                    <xdr:col>7</xdr:col>
                    <xdr:colOff>12700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C42"/>
  <sheetViews>
    <sheetView showGridLines="0" view="pageBreakPreview" zoomScaleNormal="100" zoomScaleSheetLayoutView="110" workbookViewId="0">
      <selection activeCell="A5" sqref="A5:F5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82"/>
      <c r="B1" s="37"/>
      <c r="I1" s="88" t="s">
        <v>33</v>
      </c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3"/>
    </row>
    <row r="2" spans="1:29" ht="37.5" customHeight="1" x14ac:dyDescent="0.25">
      <c r="A2" s="82"/>
      <c r="B2" s="37"/>
      <c r="I2" s="83" t="s">
        <v>32</v>
      </c>
      <c r="J2" s="84"/>
      <c r="K2" s="84"/>
      <c r="L2" s="84"/>
      <c r="M2" s="84"/>
      <c r="N2" s="84"/>
      <c r="O2" s="8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87" t="s">
        <v>1</v>
      </c>
      <c r="B4" s="87"/>
      <c r="C4" s="87"/>
      <c r="D4" s="87"/>
      <c r="E4" s="87"/>
      <c r="F4" s="90"/>
      <c r="G4" s="85" t="s">
        <v>55</v>
      </c>
      <c r="H4" s="85"/>
      <c r="I4" s="85"/>
      <c r="J4" s="85"/>
      <c r="K4" s="85"/>
      <c r="L4" s="85"/>
      <c r="M4" s="85"/>
      <c r="N4" s="86" t="s">
        <v>11</v>
      </c>
      <c r="O4" s="86"/>
      <c r="P4" s="86"/>
      <c r="Q4" s="86"/>
      <c r="R4" s="86"/>
      <c r="S4" s="86"/>
      <c r="T4" s="86"/>
      <c r="U4" s="101" t="s">
        <v>68</v>
      </c>
      <c r="V4" s="102"/>
      <c r="W4" s="102"/>
      <c r="X4" s="102"/>
      <c r="Y4" s="102"/>
      <c r="Z4" s="102"/>
      <c r="AA4" s="102"/>
      <c r="AB4" s="103"/>
      <c r="AC4" s="3"/>
    </row>
    <row r="5" spans="1:29" ht="24" customHeight="1" x14ac:dyDescent="0.25">
      <c r="A5" s="87" t="s">
        <v>5</v>
      </c>
      <c r="B5" s="87"/>
      <c r="C5" s="87"/>
      <c r="D5" s="87"/>
      <c r="E5" s="87"/>
      <c r="F5" s="90"/>
      <c r="G5" s="71" t="s">
        <v>38</v>
      </c>
      <c r="H5" s="71"/>
      <c r="I5" s="71"/>
      <c r="J5" s="71"/>
      <c r="K5" s="71"/>
      <c r="L5" s="71"/>
      <c r="M5" s="71"/>
      <c r="N5" s="87" t="s">
        <v>9</v>
      </c>
      <c r="O5" s="87"/>
      <c r="P5" s="87"/>
      <c r="Q5" s="87"/>
      <c r="R5" s="87"/>
      <c r="S5" s="87"/>
      <c r="T5" s="87"/>
      <c r="U5" s="93">
        <f>'Densidad de Grupos'!U5</f>
        <v>44532</v>
      </c>
      <c r="V5" s="94"/>
      <c r="W5" s="95"/>
      <c r="X5" s="24" t="s">
        <v>30</v>
      </c>
      <c r="Y5" s="96">
        <f>'Densidad de Grupos'!Y5</f>
        <v>0.3923611111111111</v>
      </c>
      <c r="Z5" s="97"/>
      <c r="AA5" s="97"/>
      <c r="AB5" s="97"/>
    </row>
    <row r="6" spans="1:29" ht="24" customHeight="1" x14ac:dyDescent="0.25">
      <c r="A6" s="91" t="s">
        <v>7</v>
      </c>
      <c r="B6" s="91"/>
      <c r="C6" s="91"/>
      <c r="D6" s="91"/>
      <c r="E6" s="91"/>
      <c r="F6" s="92"/>
      <c r="G6" s="71" t="s">
        <v>41</v>
      </c>
      <c r="H6" s="71"/>
      <c r="I6" s="71"/>
      <c r="J6" s="71"/>
      <c r="K6" s="71"/>
      <c r="L6" s="71"/>
      <c r="M6" s="71"/>
      <c r="N6" s="98" t="s">
        <v>0</v>
      </c>
      <c r="O6" s="98"/>
      <c r="P6" s="98"/>
      <c r="Q6" s="98"/>
      <c r="R6" s="98"/>
      <c r="S6" s="98"/>
      <c r="T6" s="98"/>
      <c r="U6" s="93">
        <f>'Densidad de Grupos'!U6</f>
        <v>44532</v>
      </c>
      <c r="V6" s="94"/>
      <c r="W6" s="95"/>
      <c r="X6" s="24" t="s">
        <v>30</v>
      </c>
      <c r="Y6" s="96">
        <f>'Densidad de Grupos'!Y6</f>
        <v>0.44722222222222219</v>
      </c>
      <c r="Z6" s="97"/>
      <c r="AA6" s="97"/>
      <c r="AB6" s="97"/>
    </row>
    <row r="7" spans="1:29" ht="24" customHeight="1" x14ac:dyDescent="0.25">
      <c r="A7" s="87" t="s">
        <v>10</v>
      </c>
      <c r="B7" s="87"/>
      <c r="C7" s="87"/>
      <c r="D7" s="87"/>
      <c r="E7" s="87"/>
      <c r="F7" s="90"/>
      <c r="G7" s="71" t="s">
        <v>42</v>
      </c>
      <c r="H7" s="71"/>
      <c r="I7" s="71"/>
      <c r="J7" s="71"/>
      <c r="K7" s="71"/>
      <c r="L7" s="71"/>
      <c r="M7" s="71"/>
      <c r="N7" s="104" t="s">
        <v>35</v>
      </c>
      <c r="O7" s="104"/>
      <c r="P7" s="104"/>
      <c r="Q7" s="104"/>
      <c r="R7" s="104"/>
      <c r="S7" s="104"/>
      <c r="T7" s="104"/>
      <c r="U7" s="72" t="s">
        <v>40</v>
      </c>
      <c r="V7" s="72"/>
      <c r="W7" s="72"/>
      <c r="X7" s="72"/>
      <c r="Y7" s="72"/>
      <c r="Z7" s="72"/>
      <c r="AA7" s="72"/>
      <c r="AB7" s="72"/>
    </row>
    <row r="8" spans="1:29" ht="24" customHeight="1" x14ac:dyDescent="0.25">
      <c r="A8" s="91" t="s">
        <v>2</v>
      </c>
      <c r="B8" s="91"/>
      <c r="C8" s="91"/>
      <c r="D8" s="91"/>
      <c r="E8" s="91"/>
      <c r="F8" s="92"/>
      <c r="G8" s="71">
        <v>20065667</v>
      </c>
      <c r="H8" s="71"/>
      <c r="I8" s="71"/>
      <c r="J8" s="71"/>
      <c r="K8" s="71"/>
      <c r="L8" s="71"/>
      <c r="M8" s="71"/>
      <c r="N8" s="104" t="s">
        <v>4</v>
      </c>
      <c r="O8" s="104"/>
      <c r="P8" s="104"/>
      <c r="Q8" s="104"/>
      <c r="R8" s="104"/>
      <c r="S8" s="104"/>
      <c r="T8" s="104"/>
      <c r="U8" s="105" t="s">
        <v>39</v>
      </c>
      <c r="V8" s="105"/>
      <c r="W8" s="105"/>
      <c r="X8" s="105"/>
      <c r="Y8" s="105"/>
      <c r="Z8" s="105"/>
      <c r="AA8" s="105"/>
      <c r="AB8" s="105"/>
    </row>
    <row r="9" spans="1:29" ht="24" customHeight="1" x14ac:dyDescent="0.25">
      <c r="A9" s="91" t="s">
        <v>6</v>
      </c>
      <c r="B9" s="91"/>
      <c r="C9" s="91"/>
      <c r="D9" s="91"/>
      <c r="E9" s="91"/>
      <c r="F9" s="92"/>
      <c r="G9" s="99" t="s">
        <v>43</v>
      </c>
      <c r="H9" s="99"/>
      <c r="I9" s="99"/>
      <c r="J9" s="99"/>
      <c r="K9" s="99"/>
      <c r="L9" s="99"/>
      <c r="M9" s="99"/>
      <c r="N9" s="104" t="s">
        <v>31</v>
      </c>
      <c r="O9" s="104"/>
      <c r="P9" s="104"/>
      <c r="Q9" s="104"/>
      <c r="R9" s="104"/>
      <c r="S9" s="104"/>
      <c r="T9" s="104"/>
      <c r="U9" s="100" t="str">
        <f>'Densidad de Grupos'!U9</f>
        <v>SP-21-0325</v>
      </c>
      <c r="V9" s="100"/>
      <c r="W9" s="100"/>
      <c r="X9" s="100"/>
      <c r="Y9" s="100"/>
      <c r="Z9" s="100"/>
      <c r="AA9" s="100"/>
      <c r="AB9" s="100"/>
    </row>
    <row r="10" spans="1:29" ht="6" customHeight="1" x14ac:dyDescent="0.25">
      <c r="U10" s="8"/>
      <c r="V10" s="8"/>
      <c r="W10" s="8"/>
    </row>
    <row r="11" spans="1:29" ht="23.25" customHeight="1" x14ac:dyDescent="0.25">
      <c r="A11" s="106" t="s">
        <v>8</v>
      </c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9"/>
      <c r="N11" s="104" t="s">
        <v>12</v>
      </c>
      <c r="O11" s="104"/>
      <c r="P11" s="104"/>
      <c r="Q11" s="104"/>
      <c r="R11" s="104"/>
      <c r="S11" s="71"/>
      <c r="T11" s="71"/>
      <c r="U11" s="104" t="s">
        <v>13</v>
      </c>
      <c r="V11" s="104"/>
      <c r="W11" s="104"/>
      <c r="X11" s="104"/>
      <c r="Y11" s="104"/>
      <c r="Z11" s="104"/>
      <c r="AA11" s="101"/>
      <c r="AB11" s="103"/>
    </row>
    <row r="12" spans="1:29" ht="6" customHeight="1" x14ac:dyDescent="0.3"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</row>
    <row r="13" spans="1:29" ht="36" customHeight="1" x14ac:dyDescent="0.25">
      <c r="A13" s="46" t="s">
        <v>36</v>
      </c>
      <c r="B13" s="76"/>
      <c r="C13" s="76"/>
      <c r="D13" s="76"/>
      <c r="E13" s="76"/>
      <c r="F13" s="38" t="s">
        <v>37</v>
      </c>
      <c r="G13" s="66" t="s">
        <v>14</v>
      </c>
      <c r="H13" s="66"/>
      <c r="I13" s="66"/>
      <c r="J13" s="81">
        <f>'Densidad de Grupos'!J13</f>
        <v>3.9362830445830448</v>
      </c>
      <c r="K13" s="81"/>
      <c r="L13" s="66" t="s">
        <v>15</v>
      </c>
      <c r="M13" s="66"/>
      <c r="N13" s="66"/>
      <c r="O13" s="101" t="s">
        <v>44</v>
      </c>
      <c r="P13" s="102"/>
      <c r="Q13" s="103"/>
      <c r="R13" s="66" t="s">
        <v>16</v>
      </c>
      <c r="S13" s="66"/>
      <c r="T13" s="66"/>
      <c r="U13" s="71" t="s">
        <v>44</v>
      </c>
      <c r="V13" s="71"/>
      <c r="W13" s="66" t="s">
        <v>17</v>
      </c>
      <c r="X13" s="66"/>
      <c r="Y13" s="66"/>
      <c r="Z13" s="66"/>
      <c r="AA13" s="71" t="s">
        <v>44</v>
      </c>
      <c r="AB13" s="71"/>
    </row>
    <row r="14" spans="1:29" ht="27" customHeight="1" x14ac:dyDescent="0.25">
      <c r="A14" s="76" t="s">
        <v>3</v>
      </c>
      <c r="B14" s="76"/>
      <c r="C14" s="76"/>
      <c r="D14" s="76"/>
      <c r="E14" s="76"/>
      <c r="F14" s="38"/>
      <c r="G14" s="66" t="s">
        <v>18</v>
      </c>
      <c r="H14" s="66"/>
      <c r="I14" s="66"/>
      <c r="J14" s="66"/>
      <c r="K14" s="66"/>
      <c r="L14" s="66"/>
      <c r="M14" s="73"/>
      <c r="N14" s="74"/>
      <c r="O14" s="74"/>
      <c r="P14" s="74"/>
      <c r="Q14" s="75"/>
      <c r="R14" s="66" t="s">
        <v>19</v>
      </c>
      <c r="S14" s="66"/>
      <c r="T14" s="66"/>
      <c r="U14" s="66"/>
      <c r="V14" s="66"/>
      <c r="W14" s="67"/>
      <c r="X14" s="67"/>
      <c r="Y14" s="67"/>
      <c r="Z14" s="67"/>
      <c r="AA14" s="67"/>
      <c r="AB14" s="67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8" t="s">
        <v>20</v>
      </c>
      <c r="B17" s="79"/>
      <c r="C17" s="79"/>
      <c r="D17" s="79"/>
      <c r="E17" s="79"/>
      <c r="F17" s="80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5">
      <c r="A18" s="65" t="s">
        <v>64</v>
      </c>
      <c r="B18" s="65"/>
      <c r="C18" s="65"/>
      <c r="D18" s="65"/>
      <c r="E18" s="65"/>
      <c r="F18" s="65"/>
      <c r="G18" s="16">
        <v>-5</v>
      </c>
      <c r="H18" s="16">
        <v>1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5">
      <c r="A19" s="65"/>
      <c r="B19" s="65"/>
      <c r="C19" s="65"/>
      <c r="D19" s="65"/>
      <c r="E19" s="65"/>
      <c r="F19" s="65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5">
      <c r="A20" s="65"/>
      <c r="B20" s="65"/>
      <c r="C20" s="65"/>
      <c r="D20" s="65"/>
      <c r="E20" s="65"/>
      <c r="F20" s="65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5">
      <c r="A21" s="65"/>
      <c r="B21" s="65"/>
      <c r="C21" s="65"/>
      <c r="D21" s="65"/>
      <c r="E21" s="65"/>
      <c r="F21" s="65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5">
      <c r="A22" s="65"/>
      <c r="B22" s="65"/>
      <c r="C22" s="65"/>
      <c r="D22" s="65"/>
      <c r="E22" s="65"/>
      <c r="F22" s="65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5">
      <c r="A23" s="65"/>
      <c r="B23" s="65"/>
      <c r="C23" s="65"/>
      <c r="D23" s="65"/>
      <c r="E23" s="65"/>
      <c r="F23" s="65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5">
      <c r="A24" s="65"/>
      <c r="B24" s="65"/>
      <c r="C24" s="65"/>
      <c r="D24" s="65"/>
      <c r="E24" s="65"/>
      <c r="F24" s="65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5">
      <c r="A25" s="65"/>
      <c r="B25" s="65"/>
      <c r="C25" s="65"/>
      <c r="D25" s="65"/>
      <c r="E25" s="65"/>
      <c r="F25" s="65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5">
      <c r="A26" s="65"/>
      <c r="B26" s="65"/>
      <c r="C26" s="65"/>
      <c r="D26" s="65"/>
      <c r="E26" s="65"/>
      <c r="F26" s="65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5">
      <c r="A27" s="65"/>
      <c r="B27" s="65"/>
      <c r="C27" s="65"/>
      <c r="D27" s="65"/>
      <c r="E27" s="65"/>
      <c r="F27" s="65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5">
      <c r="A28" s="65"/>
      <c r="B28" s="65"/>
      <c r="C28" s="65"/>
      <c r="D28" s="65"/>
      <c r="E28" s="65"/>
      <c r="F28" s="65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5">
      <c r="A29" s="65"/>
      <c r="B29" s="65"/>
      <c r="C29" s="65"/>
      <c r="D29" s="65"/>
      <c r="E29" s="65"/>
      <c r="F29" s="65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5">
      <c r="A30" s="65"/>
      <c r="B30" s="65"/>
      <c r="C30" s="65"/>
      <c r="D30" s="65"/>
      <c r="E30" s="65"/>
      <c r="F30" s="65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5">
      <c r="A31" s="65"/>
      <c r="B31" s="65"/>
      <c r="C31" s="65"/>
      <c r="D31" s="65"/>
      <c r="E31" s="65"/>
      <c r="F31" s="65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5">
      <c r="A32" s="65"/>
      <c r="B32" s="65"/>
      <c r="C32" s="65"/>
      <c r="D32" s="65"/>
      <c r="E32" s="65"/>
      <c r="F32" s="65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5">
      <c r="A33" s="65"/>
      <c r="B33" s="65"/>
      <c r="C33" s="65"/>
      <c r="D33" s="65"/>
      <c r="E33" s="65"/>
      <c r="F33" s="65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5">
      <c r="A34" s="65"/>
      <c r="B34" s="65"/>
      <c r="C34" s="65"/>
      <c r="D34" s="65"/>
      <c r="E34" s="65"/>
      <c r="F34" s="65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5">
      <c r="A35" s="65"/>
      <c r="B35" s="65"/>
      <c r="C35" s="65"/>
      <c r="D35" s="65"/>
      <c r="E35" s="65"/>
      <c r="F35" s="65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5">
      <c r="A36" s="65"/>
      <c r="B36" s="65"/>
      <c r="C36" s="65"/>
      <c r="D36" s="65"/>
      <c r="E36" s="65"/>
      <c r="F36" s="65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5">
      <c r="A37" s="65"/>
      <c r="B37" s="65"/>
      <c r="C37" s="65"/>
      <c r="D37" s="65"/>
      <c r="E37" s="65"/>
      <c r="F37" s="65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5">
      <c r="A40" s="108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60"/>
      <c r="W40" s="42"/>
      <c r="X40" s="43"/>
      <c r="Y40" s="43"/>
      <c r="Z40" s="43"/>
      <c r="AA40" s="43"/>
      <c r="AB40" s="44"/>
    </row>
    <row r="41" spans="1:28" ht="26.25" customHeight="1" x14ac:dyDescent="0.25">
      <c r="A41" s="61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3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5">
      <c r="A42" s="61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3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1"/>
  <sheetViews>
    <sheetView zoomScale="101"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9.81640625" style="26" bestFit="1" customWidth="1"/>
    <col min="6" max="6" width="22.7265625" style="26" bestFit="1" customWidth="1"/>
    <col min="7" max="7" width="24.7265625" style="26" customWidth="1"/>
    <col min="8" max="8" width="21.7265625" style="26" bestFit="1" customWidth="1"/>
    <col min="9" max="9" width="7.453125" style="26" bestFit="1" customWidth="1"/>
    <col min="10" max="10" width="11.453125" style="26"/>
    <col min="11" max="11" width="7.1796875" style="26" customWidth="1"/>
    <col min="12" max="12" width="29.54296875" style="26" customWidth="1"/>
    <col min="13" max="16384" width="11.453125" style="26"/>
  </cols>
  <sheetData>
    <row r="1" spans="1:13" s="30" customFormat="1" ht="13" x14ac:dyDescent="0.25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3" x14ac:dyDescent="0.25">
      <c r="A2" s="27" t="str">
        <f>'Densidad de Grupos'!U9</f>
        <v>SP-21-0325</v>
      </c>
      <c r="B2" s="29">
        <f>'Densidad de Grupos'!J13</f>
        <v>3.9362830445830448</v>
      </c>
      <c r="C2" s="29">
        <f>'Densidad de Grupos'!O13</f>
        <v>80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(Brachyura Zoea)</v>
      </c>
      <c r="H2" s="26">
        <f>'Densidad de Grupos'!H18</f>
        <v>568</v>
      </c>
      <c r="I2" s="28">
        <f>((H2*C2)/(F2*B2))*2</f>
        <v>4617.5541225403203</v>
      </c>
      <c r="J2" s="28">
        <f>I2*1000</f>
        <v>4617554.1225403203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A3" s="27" t="str">
        <f>$A$2</f>
        <v>SP-21-0325</v>
      </c>
      <c r="B3" s="29">
        <f>$B$2</f>
        <v>3.9362830445830448</v>
      </c>
      <c r="C3" s="29">
        <f>$C$2</f>
        <v>80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Stomatopoda</v>
      </c>
      <c r="H3" s="26">
        <f>'Densidad de Grupos'!H19</f>
        <v>17</v>
      </c>
      <c r="I3" s="28">
        <f t="shared" ref="I3:I65" si="0">((H3*C3)/(F3*B3))*2</f>
        <v>138.20144380842507</v>
      </c>
      <c r="J3" s="28">
        <f t="shared" ref="J3:J65" si="1">I3*1000</f>
        <v>138201.44380842507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A4" s="27" t="str">
        <f t="shared" ref="A4:A65" si="2">$A$2</f>
        <v>SP-21-0325</v>
      </c>
      <c r="B4" s="29">
        <f t="shared" ref="B4:B65" si="3">$B$2</f>
        <v>3.9362830445830448</v>
      </c>
      <c r="C4" s="29">
        <f t="shared" ref="C4:C65" si="4">$C$2</f>
        <v>80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(Anomura Zoea)</v>
      </c>
      <c r="H4" s="26">
        <f>'Densidad de Grupos'!H20</f>
        <v>55</v>
      </c>
      <c r="I4" s="31">
        <f t="shared" si="0"/>
        <v>447.12231820372818</v>
      </c>
      <c r="J4" s="28">
        <f t="shared" si="1"/>
        <v>447122.31820372818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A5" s="27" t="str">
        <f t="shared" si="2"/>
        <v>SP-21-0325</v>
      </c>
      <c r="B5" s="29">
        <f t="shared" si="3"/>
        <v>3.9362830445830448</v>
      </c>
      <c r="C5" s="29">
        <f t="shared" si="4"/>
        <v>80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30</v>
      </c>
      <c r="I5" s="28">
        <f t="shared" si="0"/>
        <v>243.88490083839719</v>
      </c>
      <c r="J5" s="28">
        <f t="shared" si="1"/>
        <v>243884.90083839718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A6" s="27" t="str">
        <f t="shared" si="2"/>
        <v>SP-21-0325</v>
      </c>
      <c r="B6" s="29">
        <f t="shared" si="3"/>
        <v>3.9362830445830448</v>
      </c>
      <c r="C6" s="29">
        <f t="shared" si="4"/>
        <v>80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11</v>
      </c>
      <c r="I6" s="31">
        <f t="shared" si="0"/>
        <v>89.424463640745628</v>
      </c>
      <c r="J6" s="28">
        <f t="shared" si="1"/>
        <v>89424.463640745627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A7" s="27" t="str">
        <f t="shared" si="2"/>
        <v>SP-21-0325</v>
      </c>
      <c r="B7" s="29">
        <f t="shared" si="3"/>
        <v>3.9362830445830448</v>
      </c>
      <c r="C7" s="29">
        <f t="shared" si="4"/>
        <v>80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Pez (Huevo)</v>
      </c>
      <c r="H7" s="26">
        <f>'Densidad de Grupos'!H23</f>
        <v>30</v>
      </c>
      <c r="I7" s="31">
        <f t="shared" si="0"/>
        <v>243.88490083839719</v>
      </c>
      <c r="J7" s="28">
        <f t="shared" si="1"/>
        <v>243884.90083839718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A8" s="27" t="str">
        <f t="shared" si="2"/>
        <v>SP-21-0325</v>
      </c>
      <c r="B8" s="29">
        <f t="shared" si="3"/>
        <v>3.9362830445830448</v>
      </c>
      <c r="C8" s="29">
        <f t="shared" si="4"/>
        <v>80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Copepoda (Cyclopoida)</v>
      </c>
      <c r="H8" s="26">
        <f>'Densidad de Grupos'!H24</f>
        <v>357</v>
      </c>
      <c r="I8" s="31">
        <f t="shared" si="0"/>
        <v>2902.2303199769262</v>
      </c>
      <c r="J8" s="28">
        <f t="shared" si="1"/>
        <v>2902230.3199769263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A9" s="27" t="str">
        <f t="shared" si="2"/>
        <v>SP-21-0325</v>
      </c>
      <c r="B9" s="29">
        <f t="shared" si="3"/>
        <v>3.9362830445830448</v>
      </c>
      <c r="C9" s="29">
        <f t="shared" si="4"/>
        <v>80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Euphausiacea</v>
      </c>
      <c r="H9" s="26">
        <f>'Densidad de Grupos'!H25</f>
        <v>14</v>
      </c>
      <c r="I9" s="31">
        <f t="shared" si="0"/>
        <v>113.81295372458536</v>
      </c>
      <c r="J9" s="28">
        <f t="shared" si="1"/>
        <v>113812.95372458536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A10" s="27" t="str">
        <f t="shared" si="2"/>
        <v>SP-21-0325</v>
      </c>
      <c r="B10" s="29">
        <f t="shared" si="3"/>
        <v>3.9362830445830448</v>
      </c>
      <c r="C10" s="29">
        <f t="shared" si="4"/>
        <v>80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Cladocera</v>
      </c>
      <c r="H10" s="26">
        <f>'Densidad de Grupos'!H26</f>
        <v>1</v>
      </c>
      <c r="I10" s="31">
        <f t="shared" si="0"/>
        <v>8.1294966946132394</v>
      </c>
      <c r="J10" s="28">
        <f t="shared" si="1"/>
        <v>8129.496694613239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A11" s="27" t="str">
        <f t="shared" si="2"/>
        <v>SP-21-0325</v>
      </c>
      <c r="B11" s="29">
        <f t="shared" si="3"/>
        <v>3.9362830445830448</v>
      </c>
      <c r="C11" s="29">
        <f t="shared" si="4"/>
        <v>80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A12" s="27" t="str">
        <f t="shared" si="2"/>
        <v>SP-21-0325</v>
      </c>
      <c r="B12" s="29">
        <f t="shared" si="3"/>
        <v>3.9362830445830448</v>
      </c>
      <c r="C12" s="29">
        <f t="shared" si="4"/>
        <v>80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A13" s="27" t="str">
        <f t="shared" si="2"/>
        <v>SP-21-0325</v>
      </c>
      <c r="B13" s="29">
        <f t="shared" si="3"/>
        <v>3.9362830445830448</v>
      </c>
      <c r="C13" s="29">
        <f t="shared" si="4"/>
        <v>80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A14" s="27" t="str">
        <f t="shared" si="2"/>
        <v>SP-21-0325</v>
      </c>
      <c r="B14" s="29">
        <f t="shared" si="3"/>
        <v>3.9362830445830448</v>
      </c>
      <c r="C14" s="29">
        <f t="shared" si="4"/>
        <v>80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A15" s="27" t="str">
        <f t="shared" si="2"/>
        <v>SP-21-0325</v>
      </c>
      <c r="B15" s="29">
        <f t="shared" si="3"/>
        <v>3.9362830445830448</v>
      </c>
      <c r="C15" s="29">
        <f t="shared" si="4"/>
        <v>80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A16" s="27" t="str">
        <f t="shared" si="2"/>
        <v>SP-21-0325</v>
      </c>
      <c r="B16" s="29">
        <f t="shared" si="3"/>
        <v>3.9362830445830448</v>
      </c>
      <c r="C16" s="29">
        <f t="shared" si="4"/>
        <v>80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1:13" x14ac:dyDescent="0.25">
      <c r="A17" s="27" t="str">
        <f t="shared" si="2"/>
        <v>SP-21-0325</v>
      </c>
      <c r="B17" s="29">
        <f t="shared" si="3"/>
        <v>3.9362830445830448</v>
      </c>
      <c r="C17" s="29">
        <f t="shared" si="4"/>
        <v>80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1:13" x14ac:dyDescent="0.25">
      <c r="A18" s="27" t="str">
        <f t="shared" si="2"/>
        <v>SP-21-0325</v>
      </c>
      <c r="B18" s="29">
        <f t="shared" si="3"/>
        <v>3.9362830445830448</v>
      </c>
      <c r="C18" s="29">
        <f t="shared" si="4"/>
        <v>80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1:13" x14ac:dyDescent="0.25">
      <c r="A19" s="27" t="str">
        <f t="shared" si="2"/>
        <v>SP-21-0325</v>
      </c>
      <c r="B19" s="29">
        <f t="shared" si="3"/>
        <v>3.9362830445830448</v>
      </c>
      <c r="C19" s="29">
        <f t="shared" si="4"/>
        <v>80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1:13" x14ac:dyDescent="0.25">
      <c r="A20" s="27" t="str">
        <f t="shared" si="2"/>
        <v>SP-21-0325</v>
      </c>
      <c r="B20" s="29">
        <f t="shared" si="3"/>
        <v>3.9362830445830448</v>
      </c>
      <c r="C20" s="29">
        <f t="shared" si="4"/>
        <v>80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1:13" s="35" customFormat="1" x14ac:dyDescent="0.25">
      <c r="A21" s="33" t="str">
        <f t="shared" si="2"/>
        <v>SP-21-0325</v>
      </c>
      <c r="B21" s="34">
        <f t="shared" si="3"/>
        <v>3.9362830445830448</v>
      </c>
      <c r="C21" s="34">
        <f t="shared" si="4"/>
        <v>80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  <c r="L21" s="35" t="e">
        <f ca="1">_xlfn.XLOOKUP(G21,Lista!A:A,Lista!B:B)</f>
        <v>#NAME?</v>
      </c>
      <c r="M21" s="35" t="e">
        <f ca="1">_xlfn.XLOOKUP(L21,Lista!B:B,Lista!C:C)</f>
        <v>#NAME?</v>
      </c>
    </row>
    <row r="22" spans="1:13" x14ac:dyDescent="0.25">
      <c r="A22" s="27" t="str">
        <f t="shared" si="2"/>
        <v>SP-21-0325</v>
      </c>
      <c r="B22" s="29">
        <f t="shared" si="3"/>
        <v>3.9362830445830448</v>
      </c>
      <c r="C22" s="29">
        <f t="shared" si="4"/>
        <v>80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1:13" x14ac:dyDescent="0.25">
      <c r="A23" s="27" t="str">
        <f t="shared" si="2"/>
        <v>SP-21-0325</v>
      </c>
      <c r="B23" s="29">
        <f t="shared" si="3"/>
        <v>3.9362830445830448</v>
      </c>
      <c r="C23" s="29">
        <f t="shared" si="4"/>
        <v>80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  <c r="L23" s="26" t="e">
        <f ca="1">_xlfn.XLOOKUP(G23,Lista!A:A,Lista!B:B)</f>
        <v>#NAME?</v>
      </c>
      <c r="M23" s="26" t="e">
        <f ca="1">_xlfn.XLOOKUP(L23,Lista!B:B,Lista!C:C)</f>
        <v>#NAME?</v>
      </c>
    </row>
    <row r="24" spans="1:13" x14ac:dyDescent="0.25">
      <c r="A24" s="27" t="str">
        <f t="shared" si="2"/>
        <v>SP-21-0325</v>
      </c>
      <c r="B24" s="29">
        <f t="shared" si="3"/>
        <v>3.9362830445830448</v>
      </c>
      <c r="C24" s="29">
        <f t="shared" si="4"/>
        <v>80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  <c r="L24" s="26" t="e">
        <f ca="1">_xlfn.XLOOKUP(G24,Lista!A:A,Lista!B:B)</f>
        <v>#NAME?</v>
      </c>
      <c r="M24" s="26" t="e">
        <f ca="1">_xlfn.XLOOKUP(L24,Lista!B:B,Lista!C:C)</f>
        <v>#NAME?</v>
      </c>
    </row>
    <row r="25" spans="1:13" x14ac:dyDescent="0.25">
      <c r="A25" s="27" t="str">
        <f t="shared" si="2"/>
        <v>SP-21-0325</v>
      </c>
      <c r="B25" s="29">
        <f t="shared" si="3"/>
        <v>3.9362830445830448</v>
      </c>
      <c r="C25" s="29">
        <f t="shared" si="4"/>
        <v>80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  <c r="L25" s="26" t="e">
        <f ca="1">_xlfn.XLOOKUP(G25,Lista!A:A,Lista!B:B)</f>
        <v>#NAME?</v>
      </c>
      <c r="M25" s="26" t="e">
        <f ca="1">_xlfn.XLOOKUP(L25,Lista!B:B,Lista!C:C)</f>
        <v>#NAME?</v>
      </c>
    </row>
    <row r="26" spans="1:13" x14ac:dyDescent="0.25">
      <c r="A26" s="27" t="str">
        <f t="shared" si="2"/>
        <v>SP-21-0325</v>
      </c>
      <c r="B26" s="29">
        <f t="shared" si="3"/>
        <v>3.9362830445830448</v>
      </c>
      <c r="C26" s="29">
        <f t="shared" si="4"/>
        <v>80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  <c r="L26" s="26" t="e">
        <f ca="1">_xlfn.XLOOKUP(G26,Lista!A:A,Lista!B:B)</f>
        <v>#NAME?</v>
      </c>
      <c r="M26" s="26" t="e">
        <f ca="1">_xlfn.XLOOKUP(L26,Lista!B:B,Lista!C:C)</f>
        <v>#NAME?</v>
      </c>
    </row>
    <row r="27" spans="1:13" x14ac:dyDescent="0.25">
      <c r="A27" s="27" t="str">
        <f t="shared" si="2"/>
        <v>SP-21-0325</v>
      </c>
      <c r="B27" s="29">
        <f t="shared" si="3"/>
        <v>3.9362830445830448</v>
      </c>
      <c r="C27" s="29">
        <f t="shared" si="4"/>
        <v>80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  <c r="L27" s="26" t="e">
        <f ca="1">_xlfn.XLOOKUP(G27,Lista!A:A,Lista!B:B)</f>
        <v>#NAME?</v>
      </c>
      <c r="M27" s="26" t="e">
        <f ca="1">_xlfn.XLOOKUP(L27,Lista!B:B,Lista!C:C)</f>
        <v>#NAME?</v>
      </c>
    </row>
    <row r="28" spans="1:13" x14ac:dyDescent="0.25">
      <c r="A28" s="27" t="str">
        <f t="shared" si="2"/>
        <v>SP-21-0325</v>
      </c>
      <c r="B28" s="29">
        <f t="shared" si="3"/>
        <v>3.9362830445830448</v>
      </c>
      <c r="C28" s="29">
        <f t="shared" si="4"/>
        <v>80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  <c r="L28" s="26" t="e">
        <f ca="1">_xlfn.XLOOKUP(G28,Lista!A:A,Lista!B:B)</f>
        <v>#NAME?</v>
      </c>
      <c r="M28" s="26" t="e">
        <f ca="1">_xlfn.XLOOKUP(L28,Lista!B:B,Lista!C:C)</f>
        <v>#NAME?</v>
      </c>
    </row>
    <row r="29" spans="1:13" x14ac:dyDescent="0.25">
      <c r="A29" s="27" t="str">
        <f t="shared" si="2"/>
        <v>SP-21-0325</v>
      </c>
      <c r="B29" s="29">
        <f t="shared" si="3"/>
        <v>3.9362830445830448</v>
      </c>
      <c r="C29" s="29">
        <f t="shared" si="4"/>
        <v>80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  <c r="L29" s="26" t="e">
        <f ca="1">_xlfn.XLOOKUP(G29,Lista!A:A,Lista!B:B)</f>
        <v>#NAME?</v>
      </c>
      <c r="M29" s="26" t="e">
        <f ca="1">_xlfn.XLOOKUP(L29,Lista!B:B,Lista!C:C)</f>
        <v>#NAME?</v>
      </c>
    </row>
    <row r="30" spans="1:13" x14ac:dyDescent="0.25">
      <c r="A30" s="27" t="str">
        <f t="shared" si="2"/>
        <v>SP-21-0325</v>
      </c>
      <c r="B30" s="29">
        <f t="shared" si="3"/>
        <v>3.9362830445830448</v>
      </c>
      <c r="C30" s="29">
        <f t="shared" si="4"/>
        <v>80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  <c r="L30" s="26" t="e">
        <f ca="1">_xlfn.XLOOKUP(G30,Lista!A:A,Lista!B:B)</f>
        <v>#NAME?</v>
      </c>
      <c r="M30" s="26" t="e">
        <f ca="1">_xlfn.XLOOKUP(L30,Lista!B:B,Lista!C:C)</f>
        <v>#NAME?</v>
      </c>
    </row>
    <row r="31" spans="1:13" x14ac:dyDescent="0.25">
      <c r="A31" s="27" t="str">
        <f t="shared" si="2"/>
        <v>SP-21-0325</v>
      </c>
      <c r="B31" s="29">
        <f t="shared" si="3"/>
        <v>3.9362830445830448</v>
      </c>
      <c r="C31" s="29">
        <f t="shared" si="4"/>
        <v>80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  <c r="L31" s="26" t="e">
        <f ca="1">_xlfn.XLOOKUP(G31,Lista!A:A,Lista!B:B)</f>
        <v>#NAME?</v>
      </c>
      <c r="M31" s="26" t="e">
        <f ca="1">_xlfn.XLOOKUP(L31,Lista!B:B,Lista!C:C)</f>
        <v>#NAME?</v>
      </c>
    </row>
    <row r="32" spans="1:13" x14ac:dyDescent="0.25">
      <c r="A32" s="27" t="str">
        <f t="shared" si="2"/>
        <v>SP-21-0325</v>
      </c>
      <c r="B32" s="29">
        <f t="shared" si="3"/>
        <v>3.9362830445830448</v>
      </c>
      <c r="C32" s="29">
        <f t="shared" si="4"/>
        <v>80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  <c r="L32" s="26" t="e">
        <f ca="1">_xlfn.XLOOKUP(G32,Lista!A:A,Lista!B:B)</f>
        <v>#NAME?</v>
      </c>
      <c r="M32" s="26" t="e">
        <f ca="1">_xlfn.XLOOKUP(L32,Lista!B:B,Lista!C:C)</f>
        <v>#NAME?</v>
      </c>
    </row>
    <row r="33" spans="1:13" x14ac:dyDescent="0.25">
      <c r="A33" s="27" t="str">
        <f t="shared" si="2"/>
        <v>SP-21-0325</v>
      </c>
      <c r="B33" s="29">
        <f t="shared" si="3"/>
        <v>3.9362830445830448</v>
      </c>
      <c r="C33" s="29">
        <f t="shared" si="4"/>
        <v>80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  <c r="L33" s="26" t="e">
        <f ca="1">_xlfn.XLOOKUP(G33,Lista!A:A,Lista!B:B)</f>
        <v>#NAME?</v>
      </c>
      <c r="M33" s="26" t="e">
        <f ca="1">_xlfn.XLOOKUP(L33,Lista!B:B,Lista!C:C)</f>
        <v>#NAME?</v>
      </c>
    </row>
    <row r="34" spans="1:13" x14ac:dyDescent="0.25">
      <c r="A34" s="27" t="str">
        <f t="shared" si="2"/>
        <v>SP-21-0325</v>
      </c>
      <c r="B34" s="29">
        <f t="shared" si="3"/>
        <v>3.9362830445830448</v>
      </c>
      <c r="C34" s="29">
        <f t="shared" si="4"/>
        <v>80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  <c r="L34" s="26" t="e">
        <f ca="1">_xlfn.XLOOKUP(G34,Lista!A:A,Lista!B:B)</f>
        <v>#NAME?</v>
      </c>
      <c r="M34" s="26" t="e">
        <f ca="1">_xlfn.XLOOKUP(L34,Lista!B:B,Lista!C:C)</f>
        <v>#NAME?</v>
      </c>
    </row>
    <row r="35" spans="1:13" x14ac:dyDescent="0.25">
      <c r="A35" s="27" t="str">
        <f t="shared" si="2"/>
        <v>SP-21-0325</v>
      </c>
      <c r="B35" s="29">
        <f t="shared" si="3"/>
        <v>3.9362830445830448</v>
      </c>
      <c r="C35" s="29">
        <f t="shared" si="4"/>
        <v>80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  <c r="L35" s="26" t="e">
        <f ca="1">_xlfn.XLOOKUP(G35,Lista!A:A,Lista!B:B)</f>
        <v>#NAME?</v>
      </c>
      <c r="M35" s="26" t="e">
        <f ca="1">_xlfn.XLOOKUP(L35,Lista!B:B,Lista!C:C)</f>
        <v>#NAME?</v>
      </c>
    </row>
    <row r="36" spans="1:13" x14ac:dyDescent="0.25">
      <c r="A36" s="27" t="str">
        <f t="shared" si="2"/>
        <v>SP-21-0325</v>
      </c>
      <c r="B36" s="29">
        <f t="shared" si="3"/>
        <v>3.9362830445830448</v>
      </c>
      <c r="C36" s="29">
        <f t="shared" si="4"/>
        <v>80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  <c r="L36" s="26" t="e">
        <f ca="1">_xlfn.XLOOKUP(G36,Lista!A:A,Lista!B:B)</f>
        <v>#NAME?</v>
      </c>
      <c r="M36" s="26" t="e">
        <f ca="1">_xlfn.XLOOKUP(L36,Lista!B:B,Lista!C:C)</f>
        <v>#NAME?</v>
      </c>
    </row>
    <row r="37" spans="1:13" x14ac:dyDescent="0.25">
      <c r="A37" s="27" t="str">
        <f t="shared" si="2"/>
        <v>SP-21-0325</v>
      </c>
      <c r="B37" s="29">
        <f t="shared" si="3"/>
        <v>3.9362830445830448</v>
      </c>
      <c r="C37" s="29">
        <f t="shared" si="4"/>
        <v>80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  <c r="L37" s="26" t="e">
        <f ca="1">_xlfn.XLOOKUP(G37,Lista!A:A,Lista!B:B)</f>
        <v>#NAME?</v>
      </c>
      <c r="M37" s="26" t="e">
        <f ca="1">_xlfn.XLOOKUP(L37,Lista!B:B,Lista!C:C)</f>
        <v>#NAME?</v>
      </c>
    </row>
    <row r="38" spans="1:13" x14ac:dyDescent="0.25">
      <c r="A38" s="27" t="str">
        <f t="shared" si="2"/>
        <v>SP-21-0325</v>
      </c>
      <c r="B38" s="29">
        <f t="shared" si="3"/>
        <v>3.9362830445830448</v>
      </c>
      <c r="C38" s="29">
        <f t="shared" si="4"/>
        <v>80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  <c r="L38" s="26" t="e">
        <f ca="1">_xlfn.XLOOKUP(G38,Lista!A:A,Lista!B:B)</f>
        <v>#NAME?</v>
      </c>
      <c r="M38" s="26" t="e">
        <f ca="1">_xlfn.XLOOKUP(L38,Lista!B:B,Lista!C:C)</f>
        <v>#NAME?</v>
      </c>
    </row>
    <row r="39" spans="1:13" x14ac:dyDescent="0.25">
      <c r="A39" s="27" t="str">
        <f t="shared" si="2"/>
        <v>SP-21-0325</v>
      </c>
      <c r="B39" s="29">
        <f t="shared" si="3"/>
        <v>3.9362830445830448</v>
      </c>
      <c r="C39" s="29">
        <f t="shared" si="4"/>
        <v>80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  <c r="L39" s="26" t="e">
        <f ca="1">_xlfn.XLOOKUP(G39,Lista!A:A,Lista!B:B)</f>
        <v>#NAME?</v>
      </c>
      <c r="M39" s="26" t="e">
        <f ca="1">_xlfn.XLOOKUP(L39,Lista!B:B,Lista!C:C)</f>
        <v>#NAME?</v>
      </c>
    </row>
    <row r="40" spans="1:13" x14ac:dyDescent="0.25">
      <c r="A40" s="27" t="str">
        <f t="shared" si="2"/>
        <v>SP-21-0325</v>
      </c>
      <c r="B40" s="29">
        <f t="shared" si="3"/>
        <v>3.9362830445830448</v>
      </c>
      <c r="C40" s="29">
        <f t="shared" si="4"/>
        <v>80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  <c r="L40" s="26" t="e">
        <f ca="1">_xlfn.XLOOKUP(G40,Lista!A:A,Lista!B:B)</f>
        <v>#NAME?</v>
      </c>
      <c r="M40" s="26" t="e">
        <f ca="1">_xlfn.XLOOKUP(L40,Lista!B:B,Lista!C:C)</f>
        <v>#NAME?</v>
      </c>
    </row>
    <row r="41" spans="1:13" s="35" customFormat="1" x14ac:dyDescent="0.25">
      <c r="A41" s="33" t="str">
        <f t="shared" si="2"/>
        <v>SP-21-0325</v>
      </c>
      <c r="B41" s="34">
        <f t="shared" si="3"/>
        <v>3.9362830445830448</v>
      </c>
      <c r="C41" s="34">
        <f t="shared" si="4"/>
        <v>80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  <c r="L41" s="26" t="e">
        <f ca="1">_xlfn.XLOOKUP(G41,Lista!A:A,Lista!B:B)</f>
        <v>#NAME?</v>
      </c>
      <c r="M41" s="26" t="e">
        <f ca="1">_xlfn.XLOOKUP(L41,Lista!B:B,Lista!C:C)</f>
        <v>#NAME?</v>
      </c>
    </row>
    <row r="42" spans="1:13" x14ac:dyDescent="0.25">
      <c r="A42" s="27" t="str">
        <f t="shared" si="2"/>
        <v>SP-21-0325</v>
      </c>
      <c r="B42" s="29">
        <f t="shared" si="3"/>
        <v>3.9362830445830448</v>
      </c>
      <c r="C42" s="29">
        <f t="shared" si="4"/>
        <v>80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  <c r="L42" s="26" t="e">
        <f ca="1">_xlfn.XLOOKUP(G42,Lista!A:A,Lista!B:B)</f>
        <v>#NAME?</v>
      </c>
      <c r="M42" s="26" t="e">
        <f ca="1">_xlfn.XLOOKUP(L42,Lista!B:B,Lista!C:C)</f>
        <v>#NAME?</v>
      </c>
    </row>
    <row r="43" spans="1:13" x14ac:dyDescent="0.25">
      <c r="A43" s="27" t="str">
        <f t="shared" si="2"/>
        <v>SP-21-0325</v>
      </c>
      <c r="B43" s="29">
        <f t="shared" si="3"/>
        <v>3.9362830445830448</v>
      </c>
      <c r="C43" s="29">
        <f t="shared" si="4"/>
        <v>80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  <c r="L43" s="26" t="e">
        <f ca="1">_xlfn.XLOOKUP(G43,Lista!A:A,Lista!B:B)</f>
        <v>#NAME?</v>
      </c>
      <c r="M43" s="26" t="e">
        <f ca="1">_xlfn.XLOOKUP(L43,Lista!B:B,Lista!C:C)</f>
        <v>#NAME?</v>
      </c>
    </row>
    <row r="44" spans="1:13" x14ac:dyDescent="0.25">
      <c r="A44" s="27" t="str">
        <f t="shared" si="2"/>
        <v>SP-21-0325</v>
      </c>
      <c r="B44" s="29">
        <f t="shared" si="3"/>
        <v>3.9362830445830448</v>
      </c>
      <c r="C44" s="29">
        <f t="shared" si="4"/>
        <v>80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  <c r="L44" s="26" t="e">
        <f ca="1">_xlfn.XLOOKUP(G44,Lista!A:A,Lista!B:B)</f>
        <v>#NAME?</v>
      </c>
      <c r="M44" s="26" t="e">
        <f ca="1">_xlfn.XLOOKUP(L44,Lista!B:B,Lista!C:C)</f>
        <v>#NAME?</v>
      </c>
    </row>
    <row r="45" spans="1:13" x14ac:dyDescent="0.25">
      <c r="A45" s="27" t="str">
        <f t="shared" si="2"/>
        <v>SP-21-0325</v>
      </c>
      <c r="B45" s="29">
        <f t="shared" si="3"/>
        <v>3.9362830445830448</v>
      </c>
      <c r="C45" s="29">
        <f t="shared" si="4"/>
        <v>80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  <c r="L45" s="26" t="e">
        <f ca="1">_xlfn.XLOOKUP(G45,Lista!A:A,Lista!B:B)</f>
        <v>#NAME?</v>
      </c>
      <c r="M45" s="26" t="e">
        <f ca="1">_xlfn.XLOOKUP(L45,Lista!B:B,Lista!C:C)</f>
        <v>#NAME?</v>
      </c>
    </row>
    <row r="46" spans="1:13" x14ac:dyDescent="0.25">
      <c r="A46" s="27" t="str">
        <f t="shared" si="2"/>
        <v>SP-21-0325</v>
      </c>
      <c r="B46" s="29">
        <f t="shared" si="3"/>
        <v>3.9362830445830448</v>
      </c>
      <c r="C46" s="29">
        <f t="shared" si="4"/>
        <v>80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  <c r="L46" s="26" t="e">
        <f ca="1">_xlfn.XLOOKUP(G46,Lista!A:A,Lista!B:B)</f>
        <v>#NAME?</v>
      </c>
      <c r="M46" s="26" t="e">
        <f ca="1">_xlfn.XLOOKUP(L46,Lista!B:B,Lista!C:C)</f>
        <v>#NAME?</v>
      </c>
    </row>
    <row r="47" spans="1:13" x14ac:dyDescent="0.25">
      <c r="A47" s="27" t="str">
        <f t="shared" si="2"/>
        <v>SP-21-0325</v>
      </c>
      <c r="B47" s="29">
        <f t="shared" si="3"/>
        <v>3.9362830445830448</v>
      </c>
      <c r="C47" s="29">
        <f t="shared" si="4"/>
        <v>80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  <c r="L47" s="26" t="e">
        <f ca="1">_xlfn.XLOOKUP(G47,Lista!A:A,Lista!B:B)</f>
        <v>#NAME?</v>
      </c>
      <c r="M47" s="26" t="e">
        <f ca="1">_xlfn.XLOOKUP(L47,Lista!B:B,Lista!C:C)</f>
        <v>#NAME?</v>
      </c>
    </row>
    <row r="48" spans="1:13" x14ac:dyDescent="0.25">
      <c r="A48" s="27" t="str">
        <f t="shared" si="2"/>
        <v>SP-21-0325</v>
      </c>
      <c r="B48" s="29">
        <f t="shared" si="3"/>
        <v>3.9362830445830448</v>
      </c>
      <c r="C48" s="29">
        <f t="shared" si="4"/>
        <v>80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  <c r="L48" s="26" t="e">
        <f ca="1">_xlfn.XLOOKUP(G48,Lista!A:A,Lista!B:B)</f>
        <v>#NAME?</v>
      </c>
      <c r="M48" s="26" t="e">
        <f ca="1">_xlfn.XLOOKUP(L48,Lista!B:B,Lista!C:C)</f>
        <v>#NAME?</v>
      </c>
    </row>
    <row r="49" spans="1:13" x14ac:dyDescent="0.25">
      <c r="A49" s="27" t="str">
        <f t="shared" si="2"/>
        <v>SP-21-0325</v>
      </c>
      <c r="B49" s="29">
        <f t="shared" si="3"/>
        <v>3.9362830445830448</v>
      </c>
      <c r="C49" s="29">
        <f t="shared" si="4"/>
        <v>80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  <c r="L49" s="26" t="e">
        <f ca="1">_xlfn.XLOOKUP(G49,Lista!A:A,Lista!B:B)</f>
        <v>#NAME?</v>
      </c>
      <c r="M49" s="26" t="e">
        <f ca="1">_xlfn.XLOOKUP(L49,Lista!B:B,Lista!C:C)</f>
        <v>#NAME?</v>
      </c>
    </row>
    <row r="50" spans="1:13" x14ac:dyDescent="0.25">
      <c r="A50" s="27" t="str">
        <f t="shared" si="2"/>
        <v>SP-21-0325</v>
      </c>
      <c r="B50" s="29">
        <f t="shared" si="3"/>
        <v>3.9362830445830448</v>
      </c>
      <c r="C50" s="29">
        <f t="shared" si="4"/>
        <v>80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  <c r="L50" s="26" t="e">
        <f ca="1">_xlfn.XLOOKUP(G50,Lista!A:A,Lista!B:B)</f>
        <v>#NAME?</v>
      </c>
      <c r="M50" s="26" t="e">
        <f ca="1">_xlfn.XLOOKUP(L50,Lista!B:B,Lista!C:C)</f>
        <v>#NAME?</v>
      </c>
    </row>
    <row r="51" spans="1:13" x14ac:dyDescent="0.25">
      <c r="A51" s="27" t="str">
        <f t="shared" si="2"/>
        <v>SP-21-0325</v>
      </c>
      <c r="B51" s="29">
        <f t="shared" si="3"/>
        <v>3.9362830445830448</v>
      </c>
      <c r="C51" s="29">
        <f t="shared" si="4"/>
        <v>80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  <c r="L51" s="26" t="e">
        <f ca="1">_xlfn.XLOOKUP(G51,Lista!A:A,Lista!B:B)</f>
        <v>#NAME?</v>
      </c>
      <c r="M51" s="26" t="e">
        <f ca="1">_xlfn.XLOOKUP(L51,Lista!B:B,Lista!C:C)</f>
        <v>#NAME?</v>
      </c>
    </row>
    <row r="52" spans="1:13" x14ac:dyDescent="0.25">
      <c r="A52" s="27" t="str">
        <f t="shared" si="2"/>
        <v>SP-21-0325</v>
      </c>
      <c r="B52" s="29">
        <f t="shared" si="3"/>
        <v>3.9362830445830448</v>
      </c>
      <c r="C52" s="29">
        <f t="shared" si="4"/>
        <v>80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  <c r="L52" s="26" t="e">
        <f ca="1">_xlfn.XLOOKUP(G52,Lista!A:A,Lista!B:B)</f>
        <v>#NAME?</v>
      </c>
      <c r="M52" s="26" t="e">
        <f ca="1">_xlfn.XLOOKUP(L52,Lista!B:B,Lista!C:C)</f>
        <v>#NAME?</v>
      </c>
    </row>
    <row r="53" spans="1:13" x14ac:dyDescent="0.25">
      <c r="A53" s="27" t="str">
        <f t="shared" si="2"/>
        <v>SP-21-0325</v>
      </c>
      <c r="B53" s="29">
        <f t="shared" si="3"/>
        <v>3.9362830445830448</v>
      </c>
      <c r="C53" s="29">
        <f t="shared" si="4"/>
        <v>80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  <c r="L53" s="26" t="e">
        <f ca="1">_xlfn.XLOOKUP(G53,Lista!A:A,Lista!B:B)</f>
        <v>#NAME?</v>
      </c>
      <c r="M53" s="26" t="e">
        <f ca="1">_xlfn.XLOOKUP(L53,Lista!B:B,Lista!C:C)</f>
        <v>#NAME?</v>
      </c>
    </row>
    <row r="54" spans="1:13" x14ac:dyDescent="0.25">
      <c r="A54" s="27" t="str">
        <f t="shared" si="2"/>
        <v>SP-21-0325</v>
      </c>
      <c r="B54" s="29">
        <f t="shared" si="3"/>
        <v>3.9362830445830448</v>
      </c>
      <c r="C54" s="29">
        <f t="shared" si="4"/>
        <v>80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  <c r="L54" s="26" t="e">
        <f ca="1">_xlfn.XLOOKUP(G54,Lista!A:A,Lista!B:B)</f>
        <v>#NAME?</v>
      </c>
      <c r="M54" s="26" t="e">
        <f ca="1">_xlfn.XLOOKUP(L54,Lista!B:B,Lista!C:C)</f>
        <v>#NAME?</v>
      </c>
    </row>
    <row r="55" spans="1:13" x14ac:dyDescent="0.25">
      <c r="A55" s="27" t="str">
        <f t="shared" si="2"/>
        <v>SP-21-0325</v>
      </c>
      <c r="B55" s="29">
        <f t="shared" si="3"/>
        <v>3.9362830445830448</v>
      </c>
      <c r="C55" s="29">
        <f t="shared" si="4"/>
        <v>80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  <c r="L55" s="26" t="e">
        <f ca="1">_xlfn.XLOOKUP(G55,Lista!A:A,Lista!B:B)</f>
        <v>#NAME?</v>
      </c>
      <c r="M55" s="26" t="e">
        <f ca="1">_xlfn.XLOOKUP(L55,Lista!B:B,Lista!C:C)</f>
        <v>#NAME?</v>
      </c>
    </row>
    <row r="56" spans="1:13" x14ac:dyDescent="0.25">
      <c r="A56" s="27" t="str">
        <f t="shared" si="2"/>
        <v>SP-21-0325</v>
      </c>
      <c r="B56" s="29">
        <f t="shared" si="3"/>
        <v>3.9362830445830448</v>
      </c>
      <c r="C56" s="29">
        <f t="shared" si="4"/>
        <v>80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  <c r="L56" s="26" t="e">
        <f ca="1">_xlfn.XLOOKUP(G56,Lista!A:A,Lista!B:B)</f>
        <v>#NAME?</v>
      </c>
      <c r="M56" s="26" t="e">
        <f ca="1">_xlfn.XLOOKUP(L56,Lista!B:B,Lista!C:C)</f>
        <v>#NAME?</v>
      </c>
    </row>
    <row r="57" spans="1:13" x14ac:dyDescent="0.25">
      <c r="A57" s="27" t="str">
        <f t="shared" si="2"/>
        <v>SP-21-0325</v>
      </c>
      <c r="B57" s="29">
        <f t="shared" si="3"/>
        <v>3.9362830445830448</v>
      </c>
      <c r="C57" s="29">
        <f t="shared" si="4"/>
        <v>80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  <c r="L57" s="26" t="e">
        <f ca="1">_xlfn.XLOOKUP(G57,Lista!A:A,Lista!B:B)</f>
        <v>#NAME?</v>
      </c>
      <c r="M57" s="26" t="e">
        <f ca="1">_xlfn.XLOOKUP(L57,Lista!B:B,Lista!C:C)</f>
        <v>#NAME?</v>
      </c>
    </row>
    <row r="58" spans="1:13" x14ac:dyDescent="0.25">
      <c r="A58" s="27" t="str">
        <f t="shared" si="2"/>
        <v>SP-21-0325</v>
      </c>
      <c r="B58" s="29">
        <f t="shared" si="3"/>
        <v>3.9362830445830448</v>
      </c>
      <c r="C58" s="29">
        <f t="shared" si="4"/>
        <v>80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  <c r="L58" s="26" t="e">
        <f ca="1">_xlfn.XLOOKUP(G58,Lista!A:A,Lista!B:B)</f>
        <v>#NAME?</v>
      </c>
      <c r="M58" s="26" t="e">
        <f ca="1">_xlfn.XLOOKUP(L58,Lista!B:B,Lista!C:C)</f>
        <v>#NAME?</v>
      </c>
    </row>
    <row r="59" spans="1:13" x14ac:dyDescent="0.25">
      <c r="A59" s="27" t="str">
        <f t="shared" si="2"/>
        <v>SP-21-0325</v>
      </c>
      <c r="B59" s="29">
        <f t="shared" si="3"/>
        <v>3.9362830445830448</v>
      </c>
      <c r="C59" s="29">
        <f t="shared" si="4"/>
        <v>80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  <c r="L59" s="26" t="e">
        <f ca="1">_xlfn.XLOOKUP(G59,Lista!A:A,Lista!B:B)</f>
        <v>#NAME?</v>
      </c>
      <c r="M59" s="26" t="e">
        <f ca="1">_xlfn.XLOOKUP(L59,Lista!B:B,Lista!C:C)</f>
        <v>#NAME?</v>
      </c>
    </row>
    <row r="60" spans="1:13" x14ac:dyDescent="0.25">
      <c r="A60" s="27" t="str">
        <f t="shared" si="2"/>
        <v>SP-21-0325</v>
      </c>
      <c r="B60" s="29">
        <f t="shared" si="3"/>
        <v>3.9362830445830448</v>
      </c>
      <c r="C60" s="29">
        <f t="shared" si="4"/>
        <v>80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  <c r="L60" s="26" t="e">
        <f ca="1">_xlfn.XLOOKUP(G60,Lista!A:A,Lista!B:B)</f>
        <v>#NAME?</v>
      </c>
      <c r="M60" s="26" t="e">
        <f ca="1">_xlfn.XLOOKUP(L60,Lista!B:B,Lista!C:C)</f>
        <v>#NAME?</v>
      </c>
    </row>
    <row r="61" spans="1:13" s="35" customFormat="1" x14ac:dyDescent="0.25">
      <c r="A61" s="33" t="str">
        <f t="shared" si="2"/>
        <v>SP-21-0325</v>
      </c>
      <c r="B61" s="34">
        <f t="shared" si="3"/>
        <v>3.9362830445830448</v>
      </c>
      <c r="C61" s="34">
        <f t="shared" si="4"/>
        <v>80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  <c r="L61" s="26" t="e">
        <f ca="1">_xlfn.XLOOKUP(G61,Lista!A:A,Lista!B:B)</f>
        <v>#NAME?</v>
      </c>
      <c r="M61" s="26" t="e">
        <f ca="1">_xlfn.XLOOKUP(L61,Lista!B:B,Lista!C:C)</f>
        <v>#NAME?</v>
      </c>
    </row>
    <row r="62" spans="1:13" x14ac:dyDescent="0.25">
      <c r="A62" s="27" t="str">
        <f t="shared" si="2"/>
        <v>SP-21-0325</v>
      </c>
      <c r="B62" s="29">
        <f t="shared" si="3"/>
        <v>3.9362830445830448</v>
      </c>
      <c r="C62" s="29">
        <f t="shared" si="4"/>
        <v>80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  <c r="L62" s="26" t="e">
        <f ca="1">_xlfn.XLOOKUP(G62,Lista!A:A,Lista!B:B)</f>
        <v>#NAME?</v>
      </c>
      <c r="M62" s="26" t="e">
        <f ca="1">_xlfn.XLOOKUP(L62,Lista!B:B,Lista!C:C)</f>
        <v>#NAME?</v>
      </c>
    </row>
    <row r="63" spans="1:13" x14ac:dyDescent="0.25">
      <c r="A63" s="27" t="str">
        <f t="shared" si="2"/>
        <v>SP-21-0325</v>
      </c>
      <c r="B63" s="29">
        <f t="shared" si="3"/>
        <v>3.9362830445830448</v>
      </c>
      <c r="C63" s="29">
        <f t="shared" si="4"/>
        <v>80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  <c r="L63" s="26" t="e">
        <f ca="1">_xlfn.XLOOKUP(G63,Lista!A:A,Lista!B:B)</f>
        <v>#NAME?</v>
      </c>
      <c r="M63" s="26" t="e">
        <f ca="1">_xlfn.XLOOKUP(L63,Lista!B:B,Lista!C:C)</f>
        <v>#NAME?</v>
      </c>
    </row>
    <row r="64" spans="1:13" x14ac:dyDescent="0.25">
      <c r="A64" s="27" t="str">
        <f t="shared" si="2"/>
        <v>SP-21-0325</v>
      </c>
      <c r="B64" s="29">
        <f t="shared" si="3"/>
        <v>3.9362830445830448</v>
      </c>
      <c r="C64" s="29">
        <f t="shared" si="4"/>
        <v>80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  <c r="L64" s="26" t="e">
        <f ca="1">_xlfn.XLOOKUP(G64,Lista!A:A,Lista!B:B)</f>
        <v>#NAME?</v>
      </c>
      <c r="M64" s="26" t="e">
        <f ca="1">_xlfn.XLOOKUP(L64,Lista!B:B,Lista!C:C)</f>
        <v>#NAME?</v>
      </c>
    </row>
    <row r="65" spans="1:13" x14ac:dyDescent="0.25">
      <c r="A65" s="27" t="str">
        <f t="shared" si="2"/>
        <v>SP-21-0325</v>
      </c>
      <c r="B65" s="29">
        <f t="shared" si="3"/>
        <v>3.9362830445830448</v>
      </c>
      <c r="C65" s="29">
        <f t="shared" si="4"/>
        <v>80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  <c r="L65" s="26" t="e">
        <f ca="1">_xlfn.XLOOKUP(G65,Lista!A:A,Lista!B:B)</f>
        <v>#NAME?</v>
      </c>
      <c r="M65" s="26" t="e">
        <f ca="1">_xlfn.XLOOKUP(L65,Lista!B:B,Lista!C:C)</f>
        <v>#NAME?</v>
      </c>
    </row>
    <row r="66" spans="1:13" x14ac:dyDescent="0.25">
      <c r="A66" s="27" t="str">
        <f t="shared" ref="A66:A81" si="8">$A$2</f>
        <v>SP-21-0325</v>
      </c>
      <c r="B66" s="29">
        <f t="shared" ref="B66:B81" si="9">$B$2</f>
        <v>3.9362830445830448</v>
      </c>
      <c r="C66" s="29">
        <f t="shared" ref="C66:C81" si="10">$C$2</f>
        <v>80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  <c r="L66" s="26" t="e">
        <f ca="1">_xlfn.XLOOKUP(G66,Lista!A:A,Lista!B:B)</f>
        <v>#NAME?</v>
      </c>
      <c r="M66" s="26" t="e">
        <f ca="1">_xlfn.XLOOKUP(L66,Lista!B:B,Lista!C:C)</f>
        <v>#NAME?</v>
      </c>
    </row>
    <row r="67" spans="1:13" x14ac:dyDescent="0.25">
      <c r="A67" s="27" t="str">
        <f t="shared" si="8"/>
        <v>SP-21-0325</v>
      </c>
      <c r="B67" s="29">
        <f t="shared" si="9"/>
        <v>3.9362830445830448</v>
      </c>
      <c r="C67" s="29">
        <f t="shared" si="10"/>
        <v>80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  <c r="L67" s="26" t="e">
        <f ca="1">_xlfn.XLOOKUP(G67,Lista!A:A,Lista!B:B)</f>
        <v>#NAME?</v>
      </c>
      <c r="M67" s="26" t="e">
        <f ca="1">_xlfn.XLOOKUP(L67,Lista!B:B,Lista!C:C)</f>
        <v>#NAME?</v>
      </c>
    </row>
    <row r="68" spans="1:13" x14ac:dyDescent="0.25">
      <c r="A68" s="27" t="str">
        <f t="shared" si="8"/>
        <v>SP-21-0325</v>
      </c>
      <c r="B68" s="29">
        <f t="shared" si="9"/>
        <v>3.9362830445830448</v>
      </c>
      <c r="C68" s="29">
        <f t="shared" si="10"/>
        <v>80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  <c r="L68" s="26" t="e">
        <f ca="1">_xlfn.XLOOKUP(G68,Lista!A:A,Lista!B:B)</f>
        <v>#NAME?</v>
      </c>
      <c r="M68" s="26" t="e">
        <f ca="1">_xlfn.XLOOKUP(L68,Lista!B:B,Lista!C:C)</f>
        <v>#NAME?</v>
      </c>
    </row>
    <row r="69" spans="1:13" x14ac:dyDescent="0.25">
      <c r="A69" s="27" t="str">
        <f t="shared" si="8"/>
        <v>SP-21-0325</v>
      </c>
      <c r="B69" s="29">
        <f t="shared" si="9"/>
        <v>3.9362830445830448</v>
      </c>
      <c r="C69" s="29">
        <f t="shared" si="10"/>
        <v>80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  <c r="L69" s="26" t="e">
        <f ca="1">_xlfn.XLOOKUP(G69,Lista!A:A,Lista!B:B)</f>
        <v>#NAME?</v>
      </c>
      <c r="M69" s="26" t="e">
        <f ca="1">_xlfn.XLOOKUP(L69,Lista!B:B,Lista!C:C)</f>
        <v>#NAME?</v>
      </c>
    </row>
    <row r="70" spans="1:13" x14ac:dyDescent="0.25">
      <c r="A70" s="27" t="str">
        <f t="shared" si="8"/>
        <v>SP-21-0325</v>
      </c>
      <c r="B70" s="29">
        <f t="shared" si="9"/>
        <v>3.9362830445830448</v>
      </c>
      <c r="C70" s="29">
        <f t="shared" si="10"/>
        <v>80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  <c r="L70" s="26" t="e">
        <f ca="1">_xlfn.XLOOKUP(G70,Lista!A:A,Lista!B:B)</f>
        <v>#NAME?</v>
      </c>
      <c r="M70" s="26" t="e">
        <f ca="1">_xlfn.XLOOKUP(L70,Lista!B:B,Lista!C:C)</f>
        <v>#NAME?</v>
      </c>
    </row>
    <row r="71" spans="1:13" x14ac:dyDescent="0.25">
      <c r="A71" s="27" t="str">
        <f t="shared" si="8"/>
        <v>SP-21-0325</v>
      </c>
      <c r="B71" s="29">
        <f t="shared" si="9"/>
        <v>3.9362830445830448</v>
      </c>
      <c r="C71" s="29">
        <f t="shared" si="10"/>
        <v>80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  <c r="L71" s="26" t="e">
        <f ca="1">_xlfn.XLOOKUP(G71,Lista!A:A,Lista!B:B)</f>
        <v>#NAME?</v>
      </c>
      <c r="M71" s="26" t="e">
        <f ca="1">_xlfn.XLOOKUP(L71,Lista!B:B,Lista!C:C)</f>
        <v>#NAME?</v>
      </c>
    </row>
    <row r="72" spans="1:13" x14ac:dyDescent="0.25">
      <c r="A72" s="27" t="str">
        <f t="shared" si="8"/>
        <v>SP-21-0325</v>
      </c>
      <c r="B72" s="29">
        <f t="shared" si="9"/>
        <v>3.9362830445830448</v>
      </c>
      <c r="C72" s="29">
        <f t="shared" si="10"/>
        <v>80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  <c r="L72" s="26" t="e">
        <f ca="1">_xlfn.XLOOKUP(G72,Lista!A:A,Lista!B:B)</f>
        <v>#NAME?</v>
      </c>
      <c r="M72" s="26" t="e">
        <f ca="1">_xlfn.XLOOKUP(L72,Lista!B:B,Lista!C:C)</f>
        <v>#NAME?</v>
      </c>
    </row>
    <row r="73" spans="1:13" x14ac:dyDescent="0.25">
      <c r="A73" s="27" t="str">
        <f t="shared" si="8"/>
        <v>SP-21-0325</v>
      </c>
      <c r="B73" s="29">
        <f t="shared" si="9"/>
        <v>3.9362830445830448</v>
      </c>
      <c r="C73" s="29">
        <f t="shared" si="10"/>
        <v>80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  <c r="L73" s="26" t="e">
        <f ca="1">_xlfn.XLOOKUP(G73,Lista!A:A,Lista!B:B)</f>
        <v>#NAME?</v>
      </c>
      <c r="M73" s="26" t="e">
        <f ca="1">_xlfn.XLOOKUP(L73,Lista!B:B,Lista!C:C)</f>
        <v>#NAME?</v>
      </c>
    </row>
    <row r="74" spans="1:13" x14ac:dyDescent="0.25">
      <c r="A74" s="27" t="str">
        <f t="shared" si="8"/>
        <v>SP-21-0325</v>
      </c>
      <c r="B74" s="29">
        <f t="shared" si="9"/>
        <v>3.9362830445830448</v>
      </c>
      <c r="C74" s="29">
        <f t="shared" si="10"/>
        <v>80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  <c r="L74" s="26" t="e">
        <f ca="1">_xlfn.XLOOKUP(G74,Lista!A:A,Lista!B:B)</f>
        <v>#NAME?</v>
      </c>
      <c r="M74" s="26" t="e">
        <f ca="1">_xlfn.XLOOKUP(L74,Lista!B:B,Lista!C:C)</f>
        <v>#NAME?</v>
      </c>
    </row>
    <row r="75" spans="1:13" x14ac:dyDescent="0.25">
      <c r="A75" s="27" t="str">
        <f t="shared" si="8"/>
        <v>SP-21-0325</v>
      </c>
      <c r="B75" s="29">
        <f t="shared" si="9"/>
        <v>3.9362830445830448</v>
      </c>
      <c r="C75" s="29">
        <f t="shared" si="10"/>
        <v>80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  <c r="L75" s="26" t="e">
        <f ca="1">_xlfn.XLOOKUP(G75,Lista!A:A,Lista!B:B)</f>
        <v>#NAME?</v>
      </c>
      <c r="M75" s="26" t="e">
        <f ca="1">_xlfn.XLOOKUP(L75,Lista!B:B,Lista!C:C)</f>
        <v>#NAME?</v>
      </c>
    </row>
    <row r="76" spans="1:13" x14ac:dyDescent="0.25">
      <c r="A76" s="27" t="str">
        <f t="shared" si="8"/>
        <v>SP-21-0325</v>
      </c>
      <c r="B76" s="29">
        <f t="shared" si="9"/>
        <v>3.9362830445830448</v>
      </c>
      <c r="C76" s="29">
        <f t="shared" si="10"/>
        <v>80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  <c r="L76" s="26" t="e">
        <f ca="1">_xlfn.XLOOKUP(G76,Lista!A:A,Lista!B:B)</f>
        <v>#NAME?</v>
      </c>
      <c r="M76" s="26" t="e">
        <f ca="1">_xlfn.XLOOKUP(L76,Lista!B:B,Lista!C:C)</f>
        <v>#NAME?</v>
      </c>
    </row>
    <row r="77" spans="1:13" x14ac:dyDescent="0.25">
      <c r="A77" s="27" t="str">
        <f t="shared" si="8"/>
        <v>SP-21-0325</v>
      </c>
      <c r="B77" s="29">
        <f t="shared" si="9"/>
        <v>3.9362830445830448</v>
      </c>
      <c r="C77" s="29">
        <f t="shared" si="10"/>
        <v>80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  <c r="L77" s="26" t="e">
        <f ca="1">_xlfn.XLOOKUP(G77,Lista!A:A,Lista!B:B)</f>
        <v>#NAME?</v>
      </c>
      <c r="M77" s="26" t="e">
        <f ca="1">_xlfn.XLOOKUP(L77,Lista!B:B,Lista!C:C)</f>
        <v>#NAME?</v>
      </c>
    </row>
    <row r="78" spans="1:13" x14ac:dyDescent="0.25">
      <c r="A78" s="27" t="str">
        <f t="shared" si="8"/>
        <v>SP-21-0325</v>
      </c>
      <c r="B78" s="29">
        <f t="shared" si="9"/>
        <v>3.9362830445830448</v>
      </c>
      <c r="C78" s="29">
        <f t="shared" si="10"/>
        <v>80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  <c r="L78" s="26" t="e">
        <f ca="1">_xlfn.XLOOKUP(G78,Lista!A:A,Lista!B:B)</f>
        <v>#NAME?</v>
      </c>
      <c r="M78" s="26" t="e">
        <f ca="1">_xlfn.XLOOKUP(L78,Lista!B:B,Lista!C:C)</f>
        <v>#NAME?</v>
      </c>
    </row>
    <row r="79" spans="1:13" x14ac:dyDescent="0.25">
      <c r="A79" s="27" t="str">
        <f t="shared" si="8"/>
        <v>SP-21-0325</v>
      </c>
      <c r="B79" s="29">
        <f t="shared" si="9"/>
        <v>3.9362830445830448</v>
      </c>
      <c r="C79" s="29">
        <f t="shared" si="10"/>
        <v>80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  <c r="L79" s="26" t="e">
        <f ca="1">_xlfn.XLOOKUP(G79,Lista!A:A,Lista!B:B)</f>
        <v>#NAME?</v>
      </c>
      <c r="M79" s="26" t="e">
        <f ca="1">_xlfn.XLOOKUP(L79,Lista!B:B,Lista!C:C)</f>
        <v>#NAME?</v>
      </c>
    </row>
    <row r="80" spans="1:13" x14ac:dyDescent="0.25">
      <c r="A80" s="27" t="str">
        <f t="shared" si="8"/>
        <v>SP-21-0325</v>
      </c>
      <c r="B80" s="29">
        <f t="shared" si="9"/>
        <v>3.9362830445830448</v>
      </c>
      <c r="C80" s="29">
        <f t="shared" si="10"/>
        <v>80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  <c r="L80" s="26" t="e">
        <f ca="1">_xlfn.XLOOKUP(G80,Lista!A:A,Lista!B:B)</f>
        <v>#NAME?</v>
      </c>
      <c r="M80" s="26" t="e">
        <f ca="1">_xlfn.XLOOKUP(L80,Lista!B:B,Lista!C:C)</f>
        <v>#NAME?</v>
      </c>
    </row>
    <row r="81" spans="1:13" x14ac:dyDescent="0.25">
      <c r="A81" s="27" t="str">
        <f t="shared" si="8"/>
        <v>SP-21-0325</v>
      </c>
      <c r="B81" s="29">
        <f t="shared" si="9"/>
        <v>3.9362830445830448</v>
      </c>
      <c r="C81" s="29">
        <f t="shared" si="10"/>
        <v>80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  <c r="L81" s="26" t="e">
        <f ca="1">_xlfn.XLOOKUP(G81,Lista!A:A,Lista!B:B)</f>
        <v>#NAME?</v>
      </c>
      <c r="M81" s="26" t="e">
        <f ca="1">_xlfn.XLOOKUP(L81,Lista!B:B,Lista!C:C)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3"/>
  <sheetViews>
    <sheetView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8.1796875" style="26" bestFit="1" customWidth="1"/>
    <col min="6" max="6" width="22.7265625" style="26" bestFit="1" customWidth="1"/>
    <col min="7" max="7" width="14.453125" style="26" bestFit="1" customWidth="1"/>
    <col min="8" max="8" width="21.7265625" style="26" bestFit="1" customWidth="1"/>
    <col min="9" max="9" width="7.1796875" style="26" bestFit="1" customWidth="1"/>
    <col min="10" max="10" width="11.1796875" style="26" bestFit="1" customWidth="1"/>
    <col min="11" max="16384" width="11.453125" style="26"/>
  </cols>
  <sheetData>
    <row r="1" spans="1:13" s="30" customFormat="1" ht="13" x14ac:dyDescent="0.25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3" x14ac:dyDescent="0.25">
      <c r="A2" s="27" t="str">
        <f>SALPAS!U9</f>
        <v>SP-21-0325</v>
      </c>
      <c r="B2" s="26">
        <f>SALPAS!J$13</f>
        <v>3.9362830445830448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SALPAS!$A18</f>
        <v>Salpidae</v>
      </c>
      <c r="H2" s="26">
        <f>SALPAS!H18</f>
        <v>1</v>
      </c>
      <c r="I2" s="31">
        <f>((H2/B2)*2)</f>
        <v>0.50809354341332746</v>
      </c>
      <c r="J2" s="28">
        <f>((H2/B2)*2)*1000</f>
        <v>508.09354341332744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B3" s="26">
        <f>SALPAS!J$13</f>
        <v>3.9362830445830448</v>
      </c>
      <c r="F3" s="26">
        <f t="shared" ref="F3:F21" si="0">E3*D3</f>
        <v>0</v>
      </c>
      <c r="G3" s="26">
        <f>SALPAS!$A19</f>
        <v>0</v>
      </c>
      <c r="H3" s="26">
        <f>SALPAS!H19</f>
        <v>0</v>
      </c>
      <c r="I3" s="31">
        <f t="shared" ref="I3:I21" si="1">((H3/B3)*2)</f>
        <v>0</v>
      </c>
      <c r="J3" s="28">
        <f t="shared" ref="J3:J21" si="2">((H3/B3)*2)*1000</f>
        <v>0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B4" s="26">
        <f>SALPAS!J$13</f>
        <v>3.9362830445830448</v>
      </c>
      <c r="F4" s="26">
        <f t="shared" si="0"/>
        <v>0</v>
      </c>
      <c r="G4" s="26">
        <f>SALPAS!$A20</f>
        <v>0</v>
      </c>
      <c r="H4" s="26">
        <f>SALPAS!H20</f>
        <v>0</v>
      </c>
      <c r="I4" s="31">
        <f t="shared" si="1"/>
        <v>0</v>
      </c>
      <c r="J4" s="28">
        <f t="shared" si="2"/>
        <v>0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B5" s="26">
        <f>SALPAS!J$13</f>
        <v>3.9362830445830448</v>
      </c>
      <c r="F5" s="26">
        <f t="shared" si="0"/>
        <v>0</v>
      </c>
      <c r="G5" s="26">
        <f>SALPAS!$A21</f>
        <v>0</v>
      </c>
      <c r="H5" s="26">
        <f>SALPAS!H21</f>
        <v>0</v>
      </c>
      <c r="I5" s="31">
        <f t="shared" si="1"/>
        <v>0</v>
      </c>
      <c r="J5" s="28">
        <f t="shared" si="2"/>
        <v>0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B6" s="26">
        <f>SALPAS!J$13</f>
        <v>3.9362830445830448</v>
      </c>
      <c r="F6" s="26">
        <f t="shared" si="0"/>
        <v>0</v>
      </c>
      <c r="G6" s="26">
        <f>SALPAS!$A22</f>
        <v>0</v>
      </c>
      <c r="H6" s="26">
        <f>SALPAS!H22</f>
        <v>0</v>
      </c>
      <c r="I6" s="31">
        <f t="shared" si="1"/>
        <v>0</v>
      </c>
      <c r="J6" s="28">
        <f t="shared" si="2"/>
        <v>0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B7" s="26">
        <f>SALPAS!J$13</f>
        <v>3.9362830445830448</v>
      </c>
      <c r="F7" s="26">
        <f t="shared" si="0"/>
        <v>0</v>
      </c>
      <c r="G7" s="26">
        <f>SALPAS!$A23</f>
        <v>0</v>
      </c>
      <c r="H7" s="26">
        <f>SALPAS!H23</f>
        <v>0</v>
      </c>
      <c r="I7" s="31">
        <f t="shared" si="1"/>
        <v>0</v>
      </c>
      <c r="J7" s="28">
        <f t="shared" si="2"/>
        <v>0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B8" s="26">
        <f>SALPAS!J$13</f>
        <v>3.9362830445830448</v>
      </c>
      <c r="F8" s="26">
        <f t="shared" si="0"/>
        <v>0</v>
      </c>
      <c r="G8" s="26">
        <f>SALPAS!$A24</f>
        <v>0</v>
      </c>
      <c r="H8" s="26">
        <f>SALPAS!H24</f>
        <v>0</v>
      </c>
      <c r="I8" s="31">
        <f t="shared" si="1"/>
        <v>0</v>
      </c>
      <c r="J8" s="28">
        <f t="shared" si="2"/>
        <v>0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B9" s="26">
        <f>SALPAS!J$13</f>
        <v>3.9362830445830448</v>
      </c>
      <c r="F9" s="26">
        <f t="shared" si="0"/>
        <v>0</v>
      </c>
      <c r="G9" s="26">
        <f>SALPAS!$A25</f>
        <v>0</v>
      </c>
      <c r="H9" s="26">
        <f>SALPAS!H25</f>
        <v>0</v>
      </c>
      <c r="I9" s="31">
        <f t="shared" si="1"/>
        <v>0</v>
      </c>
      <c r="J9" s="28">
        <f t="shared" si="2"/>
        <v>0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B10" s="26">
        <f>SALPAS!J$13</f>
        <v>3.9362830445830448</v>
      </c>
      <c r="F10" s="26">
        <f t="shared" si="0"/>
        <v>0</v>
      </c>
      <c r="G10" s="26">
        <f>SALPAS!$A26</f>
        <v>0</v>
      </c>
      <c r="H10" s="26">
        <f>SALPAS!H26</f>
        <v>0</v>
      </c>
      <c r="I10" s="31">
        <f t="shared" si="1"/>
        <v>0</v>
      </c>
      <c r="J10" s="28">
        <f t="shared" si="2"/>
        <v>0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B11" s="26">
        <f>SALPAS!J$13</f>
        <v>3.9362830445830448</v>
      </c>
      <c r="F11" s="26">
        <f t="shared" si="0"/>
        <v>0</v>
      </c>
      <c r="G11" s="26">
        <f>SALPAS!$A27</f>
        <v>0</v>
      </c>
      <c r="H11" s="26">
        <f>SALPAS!H27</f>
        <v>0</v>
      </c>
      <c r="I11" s="31">
        <f t="shared" si="1"/>
        <v>0</v>
      </c>
      <c r="J11" s="28">
        <f t="shared" si="2"/>
        <v>0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B12" s="26">
        <f>SALPAS!J$13</f>
        <v>3.9362830445830448</v>
      </c>
      <c r="F12" s="26">
        <f t="shared" si="0"/>
        <v>0</v>
      </c>
      <c r="G12" s="26">
        <f>SALPAS!$A28</f>
        <v>0</v>
      </c>
      <c r="H12" s="26">
        <f>SALPAS!H28</f>
        <v>0</v>
      </c>
      <c r="I12" s="31">
        <f t="shared" si="1"/>
        <v>0</v>
      </c>
      <c r="J12" s="28">
        <f t="shared" si="2"/>
        <v>0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B13" s="26">
        <f>SALPAS!J$13</f>
        <v>3.9362830445830448</v>
      </c>
      <c r="F13" s="26">
        <f t="shared" si="0"/>
        <v>0</v>
      </c>
      <c r="G13" s="26">
        <f>SALPAS!$A29</f>
        <v>0</v>
      </c>
      <c r="H13" s="26">
        <f>SALPAS!H29</f>
        <v>0</v>
      </c>
      <c r="I13" s="31">
        <f t="shared" si="1"/>
        <v>0</v>
      </c>
      <c r="J13" s="28">
        <f t="shared" si="2"/>
        <v>0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B14" s="26">
        <f>SALPAS!J$13</f>
        <v>3.9362830445830448</v>
      </c>
      <c r="F14" s="26">
        <f t="shared" si="0"/>
        <v>0</v>
      </c>
      <c r="G14" s="26">
        <f>SALPAS!$A30</f>
        <v>0</v>
      </c>
      <c r="H14" s="26">
        <f>SALPAS!H30</f>
        <v>0</v>
      </c>
      <c r="I14" s="31">
        <f t="shared" si="1"/>
        <v>0</v>
      </c>
      <c r="J14" s="28">
        <f t="shared" si="2"/>
        <v>0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B15" s="26">
        <f>SALPAS!J$13</f>
        <v>3.9362830445830448</v>
      </c>
      <c r="F15" s="26">
        <f t="shared" si="0"/>
        <v>0</v>
      </c>
      <c r="G15" s="26">
        <f>SALPAS!$A31</f>
        <v>0</v>
      </c>
      <c r="H15" s="26">
        <f>SALPAS!H31</f>
        <v>0</v>
      </c>
      <c r="I15" s="31">
        <f t="shared" si="1"/>
        <v>0</v>
      </c>
      <c r="J15" s="28">
        <f t="shared" si="2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B16" s="26">
        <f>SALPAS!J$13</f>
        <v>3.9362830445830448</v>
      </c>
      <c r="F16" s="26">
        <f t="shared" si="0"/>
        <v>0</v>
      </c>
      <c r="G16" s="26">
        <f>SALPAS!$A32</f>
        <v>0</v>
      </c>
      <c r="H16" s="26">
        <f>SALPAS!H32</f>
        <v>0</v>
      </c>
      <c r="I16" s="31">
        <f t="shared" si="1"/>
        <v>0</v>
      </c>
      <c r="J16" s="28">
        <f t="shared" si="2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2:13" x14ac:dyDescent="0.25">
      <c r="B17" s="26">
        <f>SALPAS!J$13</f>
        <v>3.9362830445830448</v>
      </c>
      <c r="F17" s="26">
        <f t="shared" si="0"/>
        <v>0</v>
      </c>
      <c r="G17" s="26">
        <f>SALPAS!$A33</f>
        <v>0</v>
      </c>
      <c r="H17" s="26">
        <f>SALPAS!H33</f>
        <v>0</v>
      </c>
      <c r="I17" s="31">
        <f t="shared" si="1"/>
        <v>0</v>
      </c>
      <c r="J17" s="28">
        <f t="shared" si="2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2:13" x14ac:dyDescent="0.25">
      <c r="B18" s="26">
        <f>SALPAS!J$13</f>
        <v>3.9362830445830448</v>
      </c>
      <c r="F18" s="26">
        <f t="shared" si="0"/>
        <v>0</v>
      </c>
      <c r="G18" s="26">
        <f>SALPAS!$A34</f>
        <v>0</v>
      </c>
      <c r="H18" s="26">
        <f>SALPAS!H34</f>
        <v>0</v>
      </c>
      <c r="I18" s="31">
        <f t="shared" si="1"/>
        <v>0</v>
      </c>
      <c r="J18" s="28">
        <f t="shared" si="2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2:13" x14ac:dyDescent="0.25">
      <c r="B19" s="26">
        <f>SALPAS!J$13</f>
        <v>3.9362830445830448</v>
      </c>
      <c r="F19" s="26">
        <f t="shared" si="0"/>
        <v>0</v>
      </c>
      <c r="G19" s="26">
        <f>SALPAS!$A35</f>
        <v>0</v>
      </c>
      <c r="H19" s="26">
        <f>SALPAS!H35</f>
        <v>0</v>
      </c>
      <c r="I19" s="31">
        <f t="shared" si="1"/>
        <v>0</v>
      </c>
      <c r="J19" s="28">
        <f t="shared" si="2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2:13" x14ac:dyDescent="0.25">
      <c r="B20" s="26">
        <f>SALPAS!J$13</f>
        <v>3.9362830445830448</v>
      </c>
      <c r="F20" s="26">
        <f t="shared" si="0"/>
        <v>0</v>
      </c>
      <c r="G20" s="26">
        <f>SALPAS!$A36</f>
        <v>0</v>
      </c>
      <c r="H20" s="26">
        <f>SALPAS!H36</f>
        <v>0</v>
      </c>
      <c r="I20" s="31">
        <f t="shared" si="1"/>
        <v>0</v>
      </c>
      <c r="J20" s="28">
        <f t="shared" si="2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2:13" x14ac:dyDescent="0.25">
      <c r="B21" s="26">
        <f>SALPAS!J$13</f>
        <v>3.9362830445830448</v>
      </c>
      <c r="F21" s="26">
        <f t="shared" si="0"/>
        <v>0</v>
      </c>
      <c r="G21" s="26">
        <f>SALPAS!$A37</f>
        <v>0</v>
      </c>
      <c r="H21" s="26">
        <f>SALPAS!H37</f>
        <v>0</v>
      </c>
      <c r="I21" s="31">
        <f t="shared" si="1"/>
        <v>0</v>
      </c>
      <c r="J21" s="28">
        <f t="shared" si="2"/>
        <v>0</v>
      </c>
      <c r="L21" s="26" t="e">
        <f ca="1">_xlfn.XLOOKUP(G21,Lista!A:A,Lista!B:B)</f>
        <v>#NAME?</v>
      </c>
      <c r="M21" s="26" t="e">
        <f ca="1">_xlfn.XLOOKUP(L21,Lista!B:B,Lista!C:C)</f>
        <v>#NAME?</v>
      </c>
    </row>
    <row r="22" spans="2:13" x14ac:dyDescent="0.25">
      <c r="G22" s="26">
        <f>SALPAS!$A38</f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2:13" x14ac:dyDescent="0.25">
      <c r="G23" s="26" t="str">
        <f>SALPAS!$A39</f>
        <v>OBSERVACIONES
Comments</v>
      </c>
      <c r="L23" s="26" t="e">
        <f ca="1">_xlfn.XLOOKUP(G23,Lista!A:A,Lista!B:B)</f>
        <v>#NAME?</v>
      </c>
      <c r="M23" s="26" t="e">
        <f ca="1">_xlfn.XLOOKUP(L23,Lista!B:B,Lista!C:C)</f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7"/>
  <sheetViews>
    <sheetView topLeftCell="A104" workbookViewId="0">
      <selection activeCell="A105" sqref="A105"/>
    </sheetView>
  </sheetViews>
  <sheetFormatPr baseColWidth="10" defaultRowHeight="12.5" x14ac:dyDescent="0.25"/>
  <cols>
    <col min="1" max="1" width="29.54296875" customWidth="1"/>
    <col min="2" max="2" width="44.26953125" customWidth="1"/>
    <col min="3" max="3" width="43.81640625" customWidth="1"/>
  </cols>
  <sheetData>
    <row r="1" spans="1:3" x14ac:dyDescent="0.25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5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5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5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5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5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5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5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5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5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5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5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5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5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5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5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5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5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5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5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5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5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5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5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5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5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5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5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5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5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5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5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5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5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5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5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5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5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5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5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5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5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5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5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5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5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5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5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5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5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5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5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5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5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5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5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5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5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5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5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5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5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5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5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5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5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5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5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5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5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5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5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5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5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5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5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5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5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5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5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5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5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5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5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5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5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5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5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5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5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5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5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5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5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5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5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5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5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5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5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5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5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5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5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5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5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5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5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5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5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5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5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5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5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5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5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5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5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5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5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5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5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5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5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5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5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5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5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5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5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5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5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5">
      <c r="A133">
        <f>[1]Taxonomía_General!$B136</f>
        <v>0</v>
      </c>
      <c r="B133">
        <f>[1]Taxonomía_General!$K136</f>
        <v>0</v>
      </c>
      <c r="C133">
        <f>[1]Taxonomía_General!$C136</f>
        <v>0</v>
      </c>
    </row>
    <row r="134" spans="1:3" x14ac:dyDescent="0.25">
      <c r="A134">
        <f>[1]Taxonomía_General!$B137</f>
        <v>0</v>
      </c>
      <c r="B134">
        <f>[1]Taxonomía_General!$K137</f>
        <v>0</v>
      </c>
      <c r="C134">
        <f>[1]Taxonomía_General!$C137</f>
        <v>0</v>
      </c>
    </row>
    <row r="135" spans="1:3" x14ac:dyDescent="0.25">
      <c r="A135">
        <f>[1]Taxonomía_General!$B138</f>
        <v>0</v>
      </c>
      <c r="B135">
        <f>[1]Taxonomía_General!$K138</f>
        <v>0</v>
      </c>
      <c r="C135">
        <f>[1]Taxonomía_General!$C138</f>
        <v>0</v>
      </c>
    </row>
    <row r="136" spans="1:3" x14ac:dyDescent="0.25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5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5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5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5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5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5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5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5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5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5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5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5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5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5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5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5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5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5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5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5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5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5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5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5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5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5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5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5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5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5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5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5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5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5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5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5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5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5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5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5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5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5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5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5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5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5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5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5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5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5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5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5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5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5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5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5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5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5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5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5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5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5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5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5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5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5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5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5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5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5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5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5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5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5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5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5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5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5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5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5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5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5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5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5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5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5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5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5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5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5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5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5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5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5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5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5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5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5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5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5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5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5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5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5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5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5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5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5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5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5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5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5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5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5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5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5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5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5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5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5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5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5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5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5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5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5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5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5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5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5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5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5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5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5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5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5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5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5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5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5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5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5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5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5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5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5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5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5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5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5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5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5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5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5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5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5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5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5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5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5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5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5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5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5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5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5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5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5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5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5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5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5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5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5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5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5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5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5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5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5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5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5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5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5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5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5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5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5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5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5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5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5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5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5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5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5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5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5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5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5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5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5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5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5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5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5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5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5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5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5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5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5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5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5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5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5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5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5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5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5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5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5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5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5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5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5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5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5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5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5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5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5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5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5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5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5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5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5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5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5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5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Densidad de Grupos</vt:lpstr>
      <vt:lpstr>SALPAS</vt:lpstr>
      <vt:lpstr>Cálculos_Densidad_De_Grupos</vt:lpstr>
      <vt:lpstr>Calculos_SALPAS</vt:lpstr>
      <vt:lpstr>Lista</vt:lpstr>
    </vt:vector>
  </TitlesOfParts>
  <Company>DIRECCION GENERAL MARITIMA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ASUS</cp:lastModifiedBy>
  <cp:lastPrinted>2021-02-22T21:39:25Z</cp:lastPrinted>
  <dcterms:created xsi:type="dcterms:W3CDTF">2009-11-17T21:42:41Z</dcterms:created>
  <dcterms:modified xsi:type="dcterms:W3CDTF">2022-02-09T16:00:10Z</dcterms:modified>
</cp:coreProperties>
</file>