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SUS\Desktop\Datos_primarios_Expedicion_Pacifico\"/>
    </mc:Choice>
  </mc:AlternateContent>
  <bookViews>
    <workbookView xWindow="-120" yWindow="-120" windowWidth="20730" windowHeight="11160" tabRatio="728" firstSheet="1" activeTab="1"/>
  </bookViews>
  <sheets>
    <sheet name="Lista" sheetId="8" r:id="rId1"/>
    <sheet name="Densidad de Grupos" sheetId="2" r:id="rId2"/>
    <sheet name="Cálculos_Densidad_De_Grupos" sheetId="4" r:id="rId3"/>
  </sheets>
  <externalReferences>
    <externalReference r:id="rId4"/>
    <externalReference r:id="rId5"/>
  </externalReferenc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3" i="4" l="1"/>
  <c r="J4" i="4"/>
  <c r="J5" i="4"/>
  <c r="J6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J64" i="4"/>
  <c r="J65" i="4"/>
  <c r="J66" i="4"/>
  <c r="J67" i="4"/>
  <c r="J68" i="4"/>
  <c r="J69" i="4"/>
  <c r="J70" i="4"/>
  <c r="J71" i="4"/>
  <c r="J72" i="4"/>
  <c r="J73" i="4"/>
  <c r="J74" i="4"/>
  <c r="J75" i="4"/>
  <c r="J76" i="4"/>
  <c r="J77" i="4"/>
  <c r="J78" i="4"/>
  <c r="J79" i="4"/>
  <c r="J80" i="4"/>
  <c r="J81" i="4"/>
  <c r="I3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2" i="4"/>
  <c r="I63" i="4"/>
  <c r="I64" i="4"/>
  <c r="I65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C2" i="8" l="1"/>
  <c r="C3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1" i="8"/>
  <c r="B2" i="8"/>
  <c r="B3" i="8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8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1" i="8"/>
  <c r="A2" i="8"/>
  <c r="A3" i="8"/>
  <c r="A4" i="8"/>
  <c r="A5" i="8"/>
  <c r="A6" i="8"/>
  <c r="A7" i="8"/>
  <c r="A8" i="8"/>
  <c r="A9" i="8"/>
  <c r="A10" i="8"/>
  <c r="A11" i="8"/>
  <c r="A12" i="8"/>
  <c r="A13" i="8"/>
  <c r="A14" i="8"/>
  <c r="A15" i="8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51" i="8"/>
  <c r="A52" i="8"/>
  <c r="A53" i="8"/>
  <c r="A54" i="8"/>
  <c r="A55" i="8"/>
  <c r="A56" i="8"/>
  <c r="A57" i="8"/>
  <c r="A58" i="8"/>
  <c r="A59" i="8"/>
  <c r="A60" i="8"/>
  <c r="A61" i="8"/>
  <c r="A62" i="8"/>
  <c r="A63" i="8"/>
  <c r="A64" i="8"/>
  <c r="A65" i="8"/>
  <c r="A66" i="8"/>
  <c r="A67" i="8"/>
  <c r="A68" i="8"/>
  <c r="A69" i="8"/>
  <c r="A70" i="8"/>
  <c r="A71" i="8"/>
  <c r="A72" i="8"/>
  <c r="A73" i="8"/>
  <c r="A74" i="8"/>
  <c r="A75" i="8"/>
  <c r="A76" i="8"/>
  <c r="A77" i="8"/>
  <c r="A78" i="8"/>
  <c r="A79" i="8"/>
  <c r="A80" i="8"/>
  <c r="A81" i="8"/>
  <c r="A82" i="8"/>
  <c r="A83" i="8"/>
  <c r="A84" i="8"/>
  <c r="A85" i="8"/>
  <c r="A86" i="8"/>
  <c r="A87" i="8"/>
  <c r="A88" i="8"/>
  <c r="A89" i="8"/>
  <c r="A90" i="8"/>
  <c r="A91" i="8"/>
  <c r="A92" i="8"/>
  <c r="A93" i="8"/>
  <c r="A94" i="8"/>
  <c r="A95" i="8"/>
  <c r="A96" i="8"/>
  <c r="A97" i="8"/>
  <c r="A98" i="8"/>
  <c r="A99" i="8"/>
  <c r="A100" i="8"/>
  <c r="A101" i="8"/>
  <c r="A102" i="8"/>
  <c r="A103" i="8"/>
  <c r="A104" i="8"/>
  <c r="A105" i="8"/>
  <c r="A106" i="8"/>
  <c r="A107" i="8"/>
  <c r="A108" i="8"/>
  <c r="A109" i="8"/>
  <c r="A110" i="8"/>
  <c r="A111" i="8"/>
  <c r="A112" i="8"/>
  <c r="A113" i="8"/>
  <c r="A114" i="8"/>
  <c r="A115" i="8"/>
  <c r="A116" i="8"/>
  <c r="A117" i="8"/>
  <c r="A118" i="8"/>
  <c r="A119" i="8"/>
  <c r="A120" i="8"/>
  <c r="A121" i="8"/>
  <c r="A122" i="8"/>
  <c r="A123" i="8"/>
  <c r="A124" i="8"/>
  <c r="A125" i="8"/>
  <c r="A126" i="8"/>
  <c r="A127" i="8"/>
  <c r="A128" i="8"/>
  <c r="A129" i="8"/>
  <c r="A130" i="8"/>
  <c r="A131" i="8"/>
  <c r="A132" i="8"/>
  <c r="A133" i="8"/>
  <c r="A134" i="8"/>
  <c r="A135" i="8"/>
  <c r="A136" i="8"/>
  <c r="A137" i="8"/>
  <c r="A138" i="8"/>
  <c r="A139" i="8"/>
  <c r="A140" i="8"/>
  <c r="A141" i="8"/>
  <c r="A142" i="8"/>
  <c r="A143" i="8"/>
  <c r="A144" i="8"/>
  <c r="A145" i="8"/>
  <c r="A146" i="8"/>
  <c r="A147" i="8"/>
  <c r="A148" i="8"/>
  <c r="A149" i="8"/>
  <c r="A150" i="8"/>
  <c r="A151" i="8"/>
  <c r="A152" i="8"/>
  <c r="A153" i="8"/>
  <c r="A154" i="8"/>
  <c r="A155" i="8"/>
  <c r="A156" i="8"/>
  <c r="A157" i="8"/>
  <c r="A158" i="8"/>
  <c r="A159" i="8"/>
  <c r="A1" i="8"/>
  <c r="A160" i="8"/>
  <c r="A161" i="8"/>
  <c r="A162" i="8"/>
  <c r="A163" i="8"/>
  <c r="A164" i="8"/>
  <c r="A165" i="8"/>
  <c r="A166" i="8"/>
  <c r="A167" i="8"/>
  <c r="A168" i="8"/>
  <c r="A169" i="8"/>
  <c r="A170" i="8"/>
  <c r="A171" i="8"/>
  <c r="A172" i="8"/>
  <c r="A173" i="8"/>
  <c r="A174" i="8"/>
  <c r="A175" i="8"/>
  <c r="A176" i="8"/>
  <c r="A177" i="8"/>
  <c r="A178" i="8"/>
  <c r="A179" i="8"/>
  <c r="A180" i="8"/>
  <c r="A181" i="8"/>
  <c r="A182" i="8"/>
  <c r="A183" i="8"/>
  <c r="A184" i="8"/>
  <c r="A185" i="8"/>
  <c r="A186" i="8"/>
  <c r="A187" i="8"/>
  <c r="A188" i="8"/>
  <c r="A189" i="8"/>
  <c r="A190" i="8"/>
  <c r="A191" i="8"/>
  <c r="A192" i="8"/>
  <c r="A193" i="8"/>
  <c r="A194" i="8"/>
  <c r="A195" i="8"/>
  <c r="A196" i="8"/>
  <c r="A197" i="8"/>
  <c r="A198" i="8"/>
  <c r="A199" i="8"/>
  <c r="A200" i="8"/>
  <c r="A201" i="8"/>
  <c r="A202" i="8"/>
  <c r="A203" i="8"/>
  <c r="A204" i="8"/>
  <c r="A205" i="8"/>
  <c r="A206" i="8"/>
  <c r="A207" i="8"/>
  <c r="A208" i="8"/>
  <c r="A209" i="8"/>
  <c r="A210" i="8"/>
  <c r="A211" i="8"/>
  <c r="A212" i="8"/>
  <c r="A213" i="8"/>
  <c r="A214" i="8"/>
  <c r="A215" i="8"/>
  <c r="A216" i="8"/>
  <c r="A217" i="8"/>
  <c r="A218" i="8"/>
  <c r="A219" i="8"/>
  <c r="A220" i="8"/>
  <c r="A221" i="8"/>
  <c r="A222" i="8"/>
  <c r="A223" i="8"/>
  <c r="A224" i="8"/>
  <c r="A225" i="8"/>
  <c r="A226" i="8"/>
  <c r="A227" i="8"/>
  <c r="A228" i="8"/>
  <c r="A229" i="8"/>
  <c r="A230" i="8"/>
  <c r="A231" i="8"/>
  <c r="A232" i="8"/>
  <c r="A233" i="8"/>
  <c r="A234" i="8"/>
  <c r="A235" i="8"/>
  <c r="A236" i="8"/>
  <c r="A237" i="8"/>
  <c r="A238" i="8"/>
  <c r="A239" i="8"/>
  <c r="A240" i="8"/>
  <c r="A241" i="8"/>
  <c r="A242" i="8"/>
  <c r="C242" i="8"/>
  <c r="A243" i="8"/>
  <c r="C243" i="8"/>
  <c r="A244" i="8"/>
  <c r="C244" i="8"/>
  <c r="A245" i="8"/>
  <c r="C245" i="8"/>
  <c r="A246" i="8"/>
  <c r="C246" i="8"/>
  <c r="A247" i="8"/>
  <c r="C247" i="8"/>
  <c r="A248" i="8"/>
  <c r="C248" i="8"/>
  <c r="A249" i="8"/>
  <c r="C249" i="8"/>
  <c r="A250" i="8"/>
  <c r="C250" i="8"/>
  <c r="A251" i="8"/>
  <c r="C251" i="8"/>
  <c r="A252" i="8"/>
  <c r="C252" i="8"/>
  <c r="A253" i="8"/>
  <c r="C253" i="8"/>
  <c r="A254" i="8"/>
  <c r="C254" i="8"/>
  <c r="A255" i="8"/>
  <c r="C255" i="8"/>
  <c r="A256" i="8"/>
  <c r="C256" i="8"/>
  <c r="A257" i="8"/>
  <c r="C257" i="8"/>
  <c r="A258" i="8"/>
  <c r="C258" i="8"/>
  <c r="A259" i="8"/>
  <c r="C259" i="8"/>
  <c r="A260" i="8"/>
  <c r="C260" i="8"/>
  <c r="A261" i="8"/>
  <c r="C261" i="8"/>
  <c r="A262" i="8"/>
  <c r="C262" i="8"/>
  <c r="A263" i="8"/>
  <c r="C263" i="8"/>
  <c r="A264" i="8"/>
  <c r="C264" i="8"/>
  <c r="A265" i="8"/>
  <c r="C265" i="8"/>
  <c r="A266" i="8"/>
  <c r="C266" i="8"/>
  <c r="A267" i="8"/>
  <c r="C267" i="8"/>
  <c r="A268" i="8"/>
  <c r="C268" i="8"/>
  <c r="A269" i="8"/>
  <c r="C269" i="8"/>
  <c r="A270" i="8"/>
  <c r="C270" i="8"/>
  <c r="A271" i="8"/>
  <c r="C271" i="8"/>
  <c r="A272" i="8"/>
  <c r="C272" i="8"/>
  <c r="A273" i="8"/>
  <c r="C273" i="8"/>
  <c r="A274" i="8"/>
  <c r="C274" i="8"/>
  <c r="A275" i="8"/>
  <c r="C275" i="8"/>
  <c r="A276" i="8"/>
  <c r="C276" i="8"/>
  <c r="A277" i="8"/>
  <c r="C277" i="8"/>
  <c r="A278" i="8"/>
  <c r="C278" i="8"/>
  <c r="A279" i="8"/>
  <c r="C279" i="8"/>
  <c r="A280" i="8"/>
  <c r="C280" i="8"/>
  <c r="A281" i="8"/>
  <c r="C281" i="8"/>
  <c r="A282" i="8"/>
  <c r="C282" i="8"/>
  <c r="A283" i="8"/>
  <c r="C283" i="8"/>
  <c r="A284" i="8"/>
  <c r="C284" i="8"/>
  <c r="A285" i="8"/>
  <c r="C285" i="8"/>
  <c r="A286" i="8"/>
  <c r="C286" i="8"/>
  <c r="A287" i="8"/>
  <c r="C287" i="8"/>
  <c r="A288" i="8"/>
  <c r="C288" i="8"/>
  <c r="A289" i="8"/>
  <c r="C289" i="8"/>
  <c r="A290" i="8"/>
  <c r="C290" i="8"/>
  <c r="A291" i="8"/>
  <c r="C291" i="8"/>
  <c r="A292" i="8"/>
  <c r="C292" i="8"/>
  <c r="A293" i="8"/>
  <c r="C293" i="8"/>
  <c r="A294" i="8"/>
  <c r="C294" i="8"/>
  <c r="A295" i="8"/>
  <c r="C295" i="8"/>
  <c r="A296" i="8"/>
  <c r="C296" i="8"/>
  <c r="A297" i="8"/>
  <c r="C297" i="8"/>
  <c r="A298" i="8"/>
  <c r="C298" i="8"/>
  <c r="A299" i="8"/>
  <c r="C299" i="8"/>
  <c r="A300" i="8"/>
  <c r="C300" i="8"/>
  <c r="A301" i="8"/>
  <c r="C301" i="8"/>
  <c r="A302" i="8"/>
  <c r="C302" i="8"/>
  <c r="A303" i="8"/>
  <c r="C303" i="8"/>
  <c r="A304" i="8"/>
  <c r="C304" i="8"/>
  <c r="A305" i="8"/>
  <c r="C305" i="8"/>
  <c r="A306" i="8"/>
  <c r="C306" i="8"/>
  <c r="A307" i="8"/>
  <c r="C307" i="8"/>
  <c r="A308" i="8"/>
  <c r="C308" i="8"/>
  <c r="A309" i="8"/>
  <c r="C309" i="8"/>
  <c r="A310" i="8"/>
  <c r="C310" i="8"/>
  <c r="A311" i="8"/>
  <c r="C311" i="8"/>
  <c r="A312" i="8"/>
  <c r="C312" i="8"/>
  <c r="A313" i="8"/>
  <c r="C313" i="8"/>
  <c r="A314" i="8"/>
  <c r="C314" i="8"/>
  <c r="A315" i="8"/>
  <c r="C315" i="8"/>
  <c r="A316" i="8"/>
  <c r="C316" i="8"/>
  <c r="A317" i="8"/>
  <c r="C317" i="8"/>
  <c r="A318" i="8"/>
  <c r="C318" i="8"/>
  <c r="A319" i="8"/>
  <c r="C319" i="8"/>
  <c r="A320" i="8"/>
  <c r="C320" i="8"/>
  <c r="A321" i="8"/>
  <c r="C321" i="8"/>
  <c r="A322" i="8"/>
  <c r="C322" i="8"/>
  <c r="A323" i="8"/>
  <c r="C323" i="8"/>
  <c r="A324" i="8"/>
  <c r="C324" i="8"/>
  <c r="A325" i="8"/>
  <c r="C325" i="8"/>
  <c r="A326" i="8"/>
  <c r="C326" i="8"/>
  <c r="A327" i="8"/>
  <c r="C327" i="8"/>
  <c r="A328" i="8"/>
  <c r="C328" i="8"/>
  <c r="A329" i="8"/>
  <c r="C329" i="8"/>
  <c r="A330" i="8"/>
  <c r="C330" i="8"/>
  <c r="A331" i="8"/>
  <c r="C331" i="8"/>
  <c r="A332" i="8"/>
  <c r="C332" i="8"/>
  <c r="A333" i="8"/>
  <c r="C333" i="8"/>
  <c r="A334" i="8"/>
  <c r="C334" i="8"/>
  <c r="A335" i="8"/>
  <c r="C335" i="8"/>
  <c r="A336" i="8"/>
  <c r="C336" i="8"/>
  <c r="A337" i="8"/>
  <c r="C337" i="8"/>
  <c r="A338" i="8"/>
  <c r="C338" i="8"/>
  <c r="A339" i="8"/>
  <c r="C339" i="8"/>
  <c r="A340" i="8"/>
  <c r="C340" i="8"/>
  <c r="A341" i="8"/>
  <c r="C341" i="8"/>
  <c r="A342" i="8"/>
  <c r="C342" i="8"/>
  <c r="A343" i="8"/>
  <c r="C343" i="8"/>
  <c r="A344" i="8"/>
  <c r="C344" i="8"/>
  <c r="A345" i="8"/>
  <c r="C345" i="8"/>
  <c r="A346" i="8"/>
  <c r="C346" i="8"/>
  <c r="A347" i="8"/>
  <c r="C347" i="8"/>
  <c r="A348" i="8"/>
  <c r="C348" i="8"/>
  <c r="A349" i="8"/>
  <c r="C349" i="8"/>
  <c r="A350" i="8"/>
  <c r="C350" i="8"/>
  <c r="A351" i="8"/>
  <c r="C351" i="8"/>
  <c r="A352" i="8"/>
  <c r="C352" i="8"/>
  <c r="A353" i="8"/>
  <c r="C353" i="8"/>
  <c r="A354" i="8"/>
  <c r="C354" i="8"/>
  <c r="A355" i="8"/>
  <c r="C355" i="8"/>
  <c r="A356" i="8"/>
  <c r="C356" i="8"/>
  <c r="A357" i="8"/>
  <c r="C357" i="8"/>
  <c r="A358" i="8"/>
  <c r="C358" i="8"/>
  <c r="A359" i="8"/>
  <c r="C359" i="8"/>
  <c r="A360" i="8"/>
  <c r="C360" i="8"/>
  <c r="A361" i="8"/>
  <c r="C361" i="8"/>
  <c r="A362" i="8"/>
  <c r="C362" i="8"/>
  <c r="A363" i="8"/>
  <c r="C363" i="8"/>
  <c r="A364" i="8"/>
  <c r="B364" i="8"/>
  <c r="C364" i="8"/>
  <c r="A365" i="8"/>
  <c r="B365" i="8"/>
  <c r="C365" i="8"/>
  <c r="A366" i="8"/>
  <c r="B366" i="8"/>
  <c r="C366" i="8"/>
  <c r="A367" i="8"/>
  <c r="B367" i="8"/>
  <c r="C367" i="8"/>
  <c r="A368" i="8"/>
  <c r="B368" i="8"/>
  <c r="C368" i="8"/>
  <c r="A369" i="8"/>
  <c r="B369" i="8"/>
  <c r="C369" i="8"/>
  <c r="A370" i="8"/>
  <c r="B370" i="8"/>
  <c r="C370" i="8"/>
  <c r="A371" i="8"/>
  <c r="B371" i="8"/>
  <c r="C371" i="8"/>
  <c r="A372" i="8"/>
  <c r="B372" i="8"/>
  <c r="C372" i="8"/>
  <c r="A373" i="8"/>
  <c r="B373" i="8"/>
  <c r="C373" i="8"/>
  <c r="A374" i="8"/>
  <c r="B374" i="8"/>
  <c r="C374" i="8"/>
  <c r="A375" i="8"/>
  <c r="B375" i="8"/>
  <c r="C375" i="8"/>
  <c r="A376" i="8"/>
  <c r="B376" i="8"/>
  <c r="C376" i="8"/>
  <c r="A377" i="8"/>
  <c r="B377" i="8"/>
  <c r="C377" i="8"/>
  <c r="L51" i="4"/>
  <c r="L76" i="4"/>
  <c r="L62" i="4"/>
  <c r="L79" i="4"/>
  <c r="L52" i="4"/>
  <c r="L49" i="4"/>
  <c r="L68" i="4"/>
  <c r="L75" i="4"/>
  <c r="L43" i="4"/>
  <c r="L66" i="4"/>
  <c r="L55" i="4"/>
  <c r="L59" i="4"/>
  <c r="L45" i="4"/>
  <c r="L60" i="4"/>
  <c r="L44" i="4"/>
  <c r="L65" i="4"/>
  <c r="L61" i="4"/>
  <c r="L71" i="4"/>
  <c r="L46" i="4"/>
  <c r="L63" i="4"/>
  <c r="L48" i="4"/>
  <c r="L57" i="4"/>
  <c r="L67" i="4"/>
  <c r="L77" i="4"/>
  <c r="L70" i="4"/>
  <c r="L64" i="4"/>
  <c r="L58" i="4"/>
  <c r="L69" i="4"/>
  <c r="L81" i="4"/>
  <c r="L50" i="4"/>
  <c r="L47" i="4"/>
  <c r="L74" i="4"/>
  <c r="L72" i="4"/>
  <c r="L73" i="4"/>
  <c r="L54" i="4"/>
  <c r="L78" i="4"/>
  <c r="L56" i="4"/>
  <c r="L53" i="4"/>
  <c r="L80" i="4"/>
  <c r="L42" i="4"/>
  <c r="G2" i="4" l="1"/>
  <c r="M81" i="4"/>
  <c r="L13" i="4"/>
  <c r="L7" i="4"/>
  <c r="M45" i="4"/>
  <c r="M69" i="4"/>
  <c r="M56" i="4"/>
  <c r="L30" i="4"/>
  <c r="M54" i="4"/>
  <c r="L27" i="4"/>
  <c r="L24" i="4"/>
  <c r="M50" i="4"/>
  <c r="L21" i="4"/>
  <c r="L28" i="4"/>
  <c r="L38" i="4"/>
  <c r="M55" i="4"/>
  <c r="M42" i="4"/>
  <c r="M78" i="4"/>
  <c r="L17" i="4"/>
  <c r="M61" i="4"/>
  <c r="M67" i="4"/>
  <c r="L26" i="4"/>
  <c r="L8" i="4"/>
  <c r="M73" i="4"/>
  <c r="L31" i="4"/>
  <c r="L12" i="4"/>
  <c r="L41" i="4"/>
  <c r="L36" i="4"/>
  <c r="L25" i="4"/>
  <c r="M74" i="4"/>
  <c r="L10" i="4"/>
  <c r="M51" i="4"/>
  <c r="M57" i="4"/>
  <c r="L32" i="4"/>
  <c r="M77" i="4"/>
  <c r="L16" i="4"/>
  <c r="L18" i="4"/>
  <c r="L4" i="4"/>
  <c r="L34" i="4"/>
  <c r="L15" i="4"/>
  <c r="L2" i="4"/>
  <c r="L6" i="4"/>
  <c r="M63" i="4"/>
  <c r="M66" i="4"/>
  <c r="M44" i="4"/>
  <c r="M80" i="4"/>
  <c r="M46" i="4"/>
  <c r="M76" i="4"/>
  <c r="M47" i="4"/>
  <c r="M59" i="4"/>
  <c r="M64" i="4"/>
  <c r="L39" i="4"/>
  <c r="M48" i="4"/>
  <c r="L35" i="4"/>
  <c r="L14" i="4"/>
  <c r="L3" i="4"/>
  <c r="L5" i="4"/>
  <c r="M65" i="4"/>
  <c r="M72" i="4"/>
  <c r="L37" i="4"/>
  <c r="M58" i="4"/>
  <c r="L23" i="4"/>
  <c r="M43" i="4"/>
  <c r="M52" i="4"/>
  <c r="M70" i="4"/>
  <c r="L33" i="4"/>
  <c r="M68" i="4"/>
  <c r="L9" i="4"/>
  <c r="M79" i="4"/>
  <c r="L22" i="4"/>
  <c r="L20" i="4"/>
  <c r="L11" i="4"/>
  <c r="L19" i="4"/>
  <c r="M49" i="4"/>
  <c r="M62" i="4"/>
  <c r="M75" i="4"/>
  <c r="L40" i="4"/>
  <c r="M71" i="4"/>
  <c r="M60" i="4"/>
  <c r="M53" i="4"/>
  <c r="L29" i="4"/>
  <c r="H2" i="4" l="1"/>
  <c r="E2" i="4"/>
  <c r="E81" i="4" s="1"/>
  <c r="D2" i="4"/>
  <c r="D81" i="4" s="1"/>
  <c r="C2" i="4"/>
  <c r="C81" i="4" s="1"/>
  <c r="B2" i="4"/>
  <c r="B81" i="4" s="1"/>
  <c r="A2" i="4"/>
  <c r="A81" i="4" s="1"/>
  <c r="M11" i="4"/>
  <c r="M26" i="4"/>
  <c r="M27" i="4"/>
  <c r="M5" i="4"/>
  <c r="M41" i="4"/>
  <c r="M12" i="4"/>
  <c r="M40" i="4"/>
  <c r="M8" i="4"/>
  <c r="M10" i="4"/>
  <c r="M7" i="4"/>
  <c r="M21" i="4"/>
  <c r="M15" i="4"/>
  <c r="M6" i="4"/>
  <c r="M24" i="4"/>
  <c r="M3" i="4"/>
  <c r="M2" i="4"/>
  <c r="M13" i="4"/>
  <c r="M33" i="4"/>
  <c r="M34" i="4"/>
  <c r="M17" i="4"/>
  <c r="M31" i="4"/>
  <c r="M39" i="4"/>
  <c r="M9" i="4"/>
  <c r="M29" i="4"/>
  <c r="M25" i="4"/>
  <c r="M14" i="4"/>
  <c r="M28" i="4"/>
  <c r="M35" i="4"/>
  <c r="M20" i="4"/>
  <c r="M22" i="4"/>
  <c r="M37" i="4"/>
  <c r="M30" i="4"/>
  <c r="M16" i="4"/>
  <c r="M4" i="4"/>
  <c r="M36" i="4"/>
  <c r="M19" i="4"/>
  <c r="M18" i="4"/>
  <c r="M32" i="4"/>
  <c r="M23" i="4"/>
  <c r="M38" i="4"/>
  <c r="B11" i="4" l="1"/>
  <c r="B6" i="4"/>
  <c r="C80" i="4"/>
  <c r="C6" i="4"/>
  <c r="D11" i="4"/>
  <c r="D6" i="4"/>
  <c r="E48" i="4"/>
  <c r="E6" i="4"/>
  <c r="A46" i="4"/>
  <c r="A6" i="4"/>
  <c r="D4" i="4"/>
  <c r="B80" i="4"/>
  <c r="B7" i="4"/>
  <c r="D80" i="4"/>
  <c r="E80" i="4"/>
  <c r="B3" i="4"/>
  <c r="B10" i="4"/>
  <c r="B8" i="4"/>
  <c r="B4" i="4"/>
  <c r="A80" i="4"/>
  <c r="B5" i="4"/>
  <c r="B9" i="4"/>
  <c r="C13" i="4"/>
  <c r="C15" i="4"/>
  <c r="C17" i="4"/>
  <c r="C19" i="4"/>
  <c r="C21" i="4"/>
  <c r="C24" i="4"/>
  <c r="C26" i="4"/>
  <c r="C28" i="4"/>
  <c r="C30" i="4"/>
  <c r="C32" i="4"/>
  <c r="C34" i="4"/>
  <c r="C36" i="4"/>
  <c r="C38" i="4"/>
  <c r="C40" i="4"/>
  <c r="C42" i="4"/>
  <c r="C44" i="4"/>
  <c r="C46" i="4"/>
  <c r="C48" i="4"/>
  <c r="C50" i="4"/>
  <c r="C52" i="4"/>
  <c r="C54" i="4"/>
  <c r="C56" i="4"/>
  <c r="C58" i="4"/>
  <c r="C60" i="4"/>
  <c r="C14" i="4"/>
  <c r="C16" i="4"/>
  <c r="C18" i="4"/>
  <c r="C20" i="4"/>
  <c r="C22" i="4"/>
  <c r="C23" i="4"/>
  <c r="C25" i="4"/>
  <c r="C27" i="4"/>
  <c r="C29" i="4"/>
  <c r="C31" i="4"/>
  <c r="C33" i="4"/>
  <c r="C35" i="4"/>
  <c r="C37" i="4"/>
  <c r="C39" i="4"/>
  <c r="C41" i="4"/>
  <c r="C43" i="4"/>
  <c r="D3" i="4"/>
  <c r="D5" i="4"/>
  <c r="D7" i="4"/>
  <c r="D9" i="4"/>
  <c r="B12" i="4"/>
  <c r="C79" i="4"/>
  <c r="E78" i="4"/>
  <c r="A78" i="4"/>
  <c r="C77" i="4"/>
  <c r="E76" i="4"/>
  <c r="A76" i="4"/>
  <c r="C75" i="4"/>
  <c r="E74" i="4"/>
  <c r="A74" i="4"/>
  <c r="C73" i="4"/>
  <c r="E72" i="4"/>
  <c r="A72" i="4"/>
  <c r="C71" i="4"/>
  <c r="E70" i="4"/>
  <c r="A70" i="4"/>
  <c r="C69" i="4"/>
  <c r="E68" i="4"/>
  <c r="A67" i="4"/>
  <c r="A66" i="4"/>
  <c r="B65" i="4"/>
  <c r="A64" i="4"/>
  <c r="E62" i="4"/>
  <c r="E60" i="4"/>
  <c r="A58" i="4"/>
  <c r="C55" i="4"/>
  <c r="E52" i="4"/>
  <c r="A50" i="4"/>
  <c r="C47" i="4"/>
  <c r="E44" i="4"/>
  <c r="D14" i="4"/>
  <c r="D16" i="4"/>
  <c r="D18" i="4"/>
  <c r="D20" i="4"/>
  <c r="D22" i="4"/>
  <c r="D23" i="4"/>
  <c r="D25" i="4"/>
  <c r="D27" i="4"/>
  <c r="D29" i="4"/>
  <c r="D31" i="4"/>
  <c r="D33" i="4"/>
  <c r="D35" i="4"/>
  <c r="D37" i="4"/>
  <c r="D39" i="4"/>
  <c r="D41" i="4"/>
  <c r="D43" i="4"/>
  <c r="D45" i="4"/>
  <c r="D47" i="4"/>
  <c r="D49" i="4"/>
  <c r="D51" i="4"/>
  <c r="D53" i="4"/>
  <c r="D55" i="4"/>
  <c r="D57" i="4"/>
  <c r="D59" i="4"/>
  <c r="D61" i="4"/>
  <c r="D63" i="4"/>
  <c r="D65" i="4"/>
  <c r="D67" i="4"/>
  <c r="D13" i="4"/>
  <c r="D15" i="4"/>
  <c r="D17" i="4"/>
  <c r="D19" i="4"/>
  <c r="D21" i="4"/>
  <c r="D24" i="4"/>
  <c r="D26" i="4"/>
  <c r="D28" i="4"/>
  <c r="D30" i="4"/>
  <c r="D32" i="4"/>
  <c r="D34" i="4"/>
  <c r="D36" i="4"/>
  <c r="D38" i="4"/>
  <c r="D40" i="4"/>
  <c r="D42" i="4"/>
  <c r="D44" i="4"/>
  <c r="D46" i="4"/>
  <c r="D48" i="4"/>
  <c r="D50" i="4"/>
  <c r="D52" i="4"/>
  <c r="D54" i="4"/>
  <c r="D56" i="4"/>
  <c r="D58" i="4"/>
  <c r="D60" i="4"/>
  <c r="D62" i="4"/>
  <c r="D64" i="4"/>
  <c r="A3" i="4"/>
  <c r="E3" i="4"/>
  <c r="C4" i="4"/>
  <c r="A5" i="4"/>
  <c r="E5" i="4"/>
  <c r="A7" i="4"/>
  <c r="E7" i="4"/>
  <c r="C8" i="4"/>
  <c r="A9" i="4"/>
  <c r="E9" i="4"/>
  <c r="C10" i="4"/>
  <c r="A11" i="4"/>
  <c r="E11" i="4"/>
  <c r="C12" i="4"/>
  <c r="B79" i="4"/>
  <c r="D78" i="4"/>
  <c r="B77" i="4"/>
  <c r="D76" i="4"/>
  <c r="B75" i="4"/>
  <c r="D74" i="4"/>
  <c r="B73" i="4"/>
  <c r="D72" i="4"/>
  <c r="B71" i="4"/>
  <c r="D70" i="4"/>
  <c r="B69" i="4"/>
  <c r="D68" i="4"/>
  <c r="E67" i="4"/>
  <c r="E66" i="4"/>
  <c r="A65" i="4"/>
  <c r="E63" i="4"/>
  <c r="C62" i="4"/>
  <c r="A60" i="4"/>
  <c r="C57" i="4"/>
  <c r="E54" i="4"/>
  <c r="A52" i="4"/>
  <c r="C49" i="4"/>
  <c r="E46" i="4"/>
  <c r="D8" i="4"/>
  <c r="D10" i="4"/>
  <c r="D12" i="4"/>
  <c r="E79" i="4"/>
  <c r="A79" i="4"/>
  <c r="C78" i="4"/>
  <c r="E77" i="4"/>
  <c r="A77" i="4"/>
  <c r="C76" i="4"/>
  <c r="E75" i="4"/>
  <c r="A75" i="4"/>
  <c r="C74" i="4"/>
  <c r="E73" i="4"/>
  <c r="A73" i="4"/>
  <c r="C72" i="4"/>
  <c r="E71" i="4"/>
  <c r="A71" i="4"/>
  <c r="C70" i="4"/>
  <c r="E69" i="4"/>
  <c r="A69" i="4"/>
  <c r="C68" i="4"/>
  <c r="C67" i="4"/>
  <c r="D66" i="4"/>
  <c r="E65" i="4"/>
  <c r="E64" i="4"/>
  <c r="C63" i="4"/>
  <c r="A62" i="4"/>
  <c r="C59" i="4"/>
  <c r="E56" i="4"/>
  <c r="A54" i="4"/>
  <c r="C51" i="4"/>
  <c r="A14" i="4"/>
  <c r="A16" i="4"/>
  <c r="A18" i="4"/>
  <c r="A20" i="4"/>
  <c r="A22" i="4"/>
  <c r="A23" i="4"/>
  <c r="A25" i="4"/>
  <c r="A27" i="4"/>
  <c r="A29" i="4"/>
  <c r="A31" i="4"/>
  <c r="A33" i="4"/>
  <c r="A35" i="4"/>
  <c r="A37" i="4"/>
  <c r="A39" i="4"/>
  <c r="A41" i="4"/>
  <c r="A43" i="4"/>
  <c r="A45" i="4"/>
  <c r="A47" i="4"/>
  <c r="A49" i="4"/>
  <c r="A51" i="4"/>
  <c r="A53" i="4"/>
  <c r="A55" i="4"/>
  <c r="A57" i="4"/>
  <c r="A59" i="4"/>
  <c r="A61" i="4"/>
  <c r="A13" i="4"/>
  <c r="A15" i="4"/>
  <c r="A17" i="4"/>
  <c r="A19" i="4"/>
  <c r="A21" i="4"/>
  <c r="A24" i="4"/>
  <c r="A26" i="4"/>
  <c r="A28" i="4"/>
  <c r="A30" i="4"/>
  <c r="A32" i="4"/>
  <c r="A34" i="4"/>
  <c r="A36" i="4"/>
  <c r="A38" i="4"/>
  <c r="A40" i="4"/>
  <c r="A42" i="4"/>
  <c r="A44" i="4"/>
  <c r="E14" i="4"/>
  <c r="E16" i="4"/>
  <c r="E18" i="4"/>
  <c r="E20" i="4"/>
  <c r="E22" i="4"/>
  <c r="E23" i="4"/>
  <c r="E25" i="4"/>
  <c r="E27" i="4"/>
  <c r="E29" i="4"/>
  <c r="E31" i="4"/>
  <c r="E33" i="4"/>
  <c r="E35" i="4"/>
  <c r="E37" i="4"/>
  <c r="E39" i="4"/>
  <c r="E41" i="4"/>
  <c r="E43" i="4"/>
  <c r="E45" i="4"/>
  <c r="E47" i="4"/>
  <c r="E49" i="4"/>
  <c r="E51" i="4"/>
  <c r="E53" i="4"/>
  <c r="E55" i="4"/>
  <c r="E57" i="4"/>
  <c r="E59" i="4"/>
  <c r="E61" i="4"/>
  <c r="E13" i="4"/>
  <c r="E15" i="4"/>
  <c r="E17" i="4"/>
  <c r="E19" i="4"/>
  <c r="E21" i="4"/>
  <c r="E24" i="4"/>
  <c r="E26" i="4"/>
  <c r="E28" i="4"/>
  <c r="E30" i="4"/>
  <c r="E32" i="4"/>
  <c r="E34" i="4"/>
  <c r="E36" i="4"/>
  <c r="E38" i="4"/>
  <c r="E40" i="4"/>
  <c r="E42" i="4"/>
  <c r="F2" i="4"/>
  <c r="F81" i="4" s="1"/>
  <c r="B13" i="4"/>
  <c r="B15" i="4"/>
  <c r="B17" i="4"/>
  <c r="B19" i="4"/>
  <c r="B21" i="4"/>
  <c r="B24" i="4"/>
  <c r="B26" i="4"/>
  <c r="B28" i="4"/>
  <c r="B30" i="4"/>
  <c r="B32" i="4"/>
  <c r="B34" i="4"/>
  <c r="B36" i="4"/>
  <c r="B38" i="4"/>
  <c r="B40" i="4"/>
  <c r="B42" i="4"/>
  <c r="B44" i="4"/>
  <c r="B46" i="4"/>
  <c r="B48" i="4"/>
  <c r="B50" i="4"/>
  <c r="B52" i="4"/>
  <c r="B54" i="4"/>
  <c r="B56" i="4"/>
  <c r="B58" i="4"/>
  <c r="B60" i="4"/>
  <c r="B62" i="4"/>
  <c r="B64" i="4"/>
  <c r="B66" i="4"/>
  <c r="B68" i="4"/>
  <c r="B14" i="4"/>
  <c r="B16" i="4"/>
  <c r="B18" i="4"/>
  <c r="B20" i="4"/>
  <c r="B22" i="4"/>
  <c r="B23" i="4"/>
  <c r="B25" i="4"/>
  <c r="B27" i="4"/>
  <c r="B29" i="4"/>
  <c r="B31" i="4"/>
  <c r="B33" i="4"/>
  <c r="B35" i="4"/>
  <c r="B37" i="4"/>
  <c r="B39" i="4"/>
  <c r="B41" i="4"/>
  <c r="B43" i="4"/>
  <c r="B45" i="4"/>
  <c r="B47" i="4"/>
  <c r="B49" i="4"/>
  <c r="B51" i="4"/>
  <c r="B53" i="4"/>
  <c r="B55" i="4"/>
  <c r="B57" i="4"/>
  <c r="B59" i="4"/>
  <c r="B61" i="4"/>
  <c r="B63" i="4"/>
  <c r="C3" i="4"/>
  <c r="A4" i="4"/>
  <c r="E4" i="4"/>
  <c r="C5" i="4"/>
  <c r="C7" i="4"/>
  <c r="A8" i="4"/>
  <c r="E8" i="4"/>
  <c r="C9" i="4"/>
  <c r="A10" i="4"/>
  <c r="E10" i="4"/>
  <c r="C11" i="4"/>
  <c r="A12" i="4"/>
  <c r="E12" i="4"/>
  <c r="D79" i="4"/>
  <c r="B78" i="4"/>
  <c r="D77" i="4"/>
  <c r="B76" i="4"/>
  <c r="D75" i="4"/>
  <c r="B74" i="4"/>
  <c r="D73" i="4"/>
  <c r="B72" i="4"/>
  <c r="D71" i="4"/>
  <c r="B70" i="4"/>
  <c r="D69" i="4"/>
  <c r="A68" i="4"/>
  <c r="B67" i="4"/>
  <c r="C66" i="4"/>
  <c r="C65" i="4"/>
  <c r="C64" i="4"/>
  <c r="A63" i="4"/>
  <c r="C61" i="4"/>
  <c r="E58" i="4"/>
  <c r="A56" i="4"/>
  <c r="C53" i="4"/>
  <c r="E50" i="4"/>
  <c r="A48" i="4"/>
  <c r="C45" i="4"/>
  <c r="F80" i="4" l="1"/>
  <c r="F6" i="4"/>
  <c r="I2" i="4"/>
  <c r="J2" i="4" s="1"/>
  <c r="F13" i="4"/>
  <c r="F15" i="4"/>
  <c r="F17" i="4"/>
  <c r="F19" i="4"/>
  <c r="F21" i="4"/>
  <c r="F24" i="4"/>
  <c r="F26" i="4"/>
  <c r="F28" i="4"/>
  <c r="F30" i="4"/>
  <c r="F32" i="4"/>
  <c r="F34" i="4"/>
  <c r="F36" i="4"/>
  <c r="F38" i="4"/>
  <c r="F40" i="4"/>
  <c r="F42" i="4"/>
  <c r="F44" i="4"/>
  <c r="F46" i="4"/>
  <c r="F48" i="4"/>
  <c r="F50" i="4"/>
  <c r="F52" i="4"/>
  <c r="F54" i="4"/>
  <c r="F56" i="4"/>
  <c r="F58" i="4"/>
  <c r="F60" i="4"/>
  <c r="F62" i="4"/>
  <c r="F64" i="4"/>
  <c r="F66" i="4"/>
  <c r="F14" i="4"/>
  <c r="F16" i="4"/>
  <c r="F18" i="4"/>
  <c r="F20" i="4"/>
  <c r="F22" i="4"/>
  <c r="F23" i="4"/>
  <c r="F25" i="4"/>
  <c r="F27" i="4"/>
  <c r="F29" i="4"/>
  <c r="F31" i="4"/>
  <c r="F33" i="4"/>
  <c r="F35" i="4"/>
  <c r="F37" i="4"/>
  <c r="F39" i="4"/>
  <c r="F41" i="4"/>
  <c r="F43" i="4"/>
  <c r="F45" i="4"/>
  <c r="F47" i="4"/>
  <c r="F49" i="4"/>
  <c r="F51" i="4"/>
  <c r="F53" i="4"/>
  <c r="F55" i="4"/>
  <c r="F57" i="4"/>
  <c r="F59" i="4"/>
  <c r="F61" i="4"/>
  <c r="F63" i="4"/>
  <c r="F68" i="4"/>
  <c r="F70" i="4"/>
  <c r="F72" i="4"/>
  <c r="F74" i="4"/>
  <c r="F76" i="4"/>
  <c r="F78" i="4"/>
  <c r="F3" i="4"/>
  <c r="F11" i="4"/>
  <c r="F9" i="4"/>
  <c r="F7" i="4"/>
  <c r="F5" i="4"/>
  <c r="F65" i="4"/>
  <c r="F69" i="4"/>
  <c r="F71" i="4"/>
  <c r="F73" i="4"/>
  <c r="F75" i="4"/>
  <c r="F77" i="4"/>
  <c r="F79" i="4"/>
  <c r="F67" i="4"/>
  <c r="F12" i="4"/>
  <c r="F10" i="4"/>
  <c r="F8" i="4"/>
  <c r="F4" i="4"/>
</calcChain>
</file>

<file path=xl/sharedStrings.xml><?xml version="1.0" encoding="utf-8"?>
<sst xmlns="http://schemas.openxmlformats.org/spreadsheetml/2006/main" count="70" uniqueCount="69">
  <si>
    <r>
      <t xml:space="preserve">FECHA FINALIZACIÓN ANÁLISIS
</t>
    </r>
    <r>
      <rPr>
        <i/>
        <sz val="9"/>
        <color indexed="55"/>
        <rFont val="Arial"/>
        <family val="2"/>
      </rPr>
      <t>Test ending date</t>
    </r>
  </si>
  <si>
    <r>
      <rPr>
        <b/>
        <sz val="10"/>
        <rFont val="Arial"/>
        <family val="2"/>
      </rPr>
      <t xml:space="preserve">N° SOLICITUD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Request number</t>
    </r>
  </si>
  <si>
    <r>
      <rPr>
        <b/>
        <sz val="10"/>
        <rFont val="Arial"/>
        <family val="2"/>
      </rPr>
      <t>SERIE</t>
    </r>
    <r>
      <rPr>
        <sz val="10"/>
        <rFont val="Arial"/>
        <family val="2"/>
      </rPr>
      <t xml:space="preserve">                            </t>
    </r>
    <r>
      <rPr>
        <i/>
        <sz val="10"/>
        <color indexed="55"/>
        <rFont val="Arial"/>
        <family val="2"/>
      </rPr>
      <t>Serie</t>
    </r>
  </si>
  <si>
    <t>BENTOS</t>
  </si>
  <si>
    <r>
      <rPr>
        <b/>
        <sz val="10"/>
        <rFont val="Arial"/>
        <family val="2"/>
      </rPr>
      <t>TÉCNICA</t>
    </r>
    <r>
      <rPr>
        <sz val="10"/>
        <rFont val="Arial"/>
        <family val="2"/>
      </rPr>
      <t xml:space="preserve">                                      </t>
    </r>
    <r>
      <rPr>
        <i/>
        <sz val="9"/>
        <color indexed="55"/>
        <rFont val="Arial"/>
        <family val="2"/>
      </rPr>
      <t>Technique</t>
    </r>
  </si>
  <si>
    <r>
      <rPr>
        <b/>
        <sz val="10"/>
        <rFont val="Arial"/>
        <family val="2"/>
      </rPr>
      <t>EQUIPO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Equipment</t>
    </r>
  </si>
  <si>
    <r>
      <rPr>
        <b/>
        <sz val="10"/>
        <rFont val="Arial"/>
        <family val="2"/>
      </rPr>
      <t xml:space="preserve">PLACA                               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Plate</t>
    </r>
  </si>
  <si>
    <r>
      <rPr>
        <b/>
        <sz val="10"/>
        <rFont val="Arial"/>
        <family val="2"/>
      </rPr>
      <t xml:space="preserve">MARCA      </t>
    </r>
    <r>
      <rPr>
        <sz val="10"/>
        <rFont val="Arial"/>
        <family val="2"/>
      </rPr>
      <t xml:space="preserve">              </t>
    </r>
    <r>
      <rPr>
        <i/>
        <sz val="9"/>
        <color indexed="55"/>
        <rFont val="Arial"/>
        <family val="2"/>
      </rPr>
      <t>Trademark</t>
    </r>
  </si>
  <si>
    <r>
      <rPr>
        <b/>
        <sz val="10"/>
        <rFont val="Arial"/>
        <family val="2"/>
      </rPr>
      <t>CONDICIONES AMBIENTALES</t>
    </r>
    <r>
      <rPr>
        <sz val="10"/>
        <rFont val="Arial"/>
        <family val="2"/>
      </rPr>
      <t xml:space="preserve">                                                      </t>
    </r>
    <r>
      <rPr>
        <i/>
        <sz val="9"/>
        <color indexed="55"/>
        <rFont val="Arial"/>
        <family val="2"/>
      </rPr>
      <t>Environmental conditions</t>
    </r>
  </si>
  <si>
    <r>
      <rPr>
        <b/>
        <sz val="10"/>
        <rFont val="Arial"/>
        <family val="2"/>
      </rPr>
      <t xml:space="preserve">FECHA DE INICIO DE ANÁLISIS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Test start date</t>
    </r>
  </si>
  <si>
    <r>
      <rPr>
        <b/>
        <sz val="10"/>
        <rFont val="Arial"/>
        <family val="2"/>
      </rPr>
      <t xml:space="preserve">MODELO
</t>
    </r>
    <r>
      <rPr>
        <i/>
        <sz val="9"/>
        <color indexed="55"/>
        <rFont val="Arial"/>
        <family val="2"/>
      </rPr>
      <t>Model</t>
    </r>
  </si>
  <si>
    <r>
      <rPr>
        <b/>
        <sz val="10"/>
        <rFont val="Arial"/>
        <family val="2"/>
      </rPr>
      <t>REALIZADO POR</t>
    </r>
    <r>
      <rPr>
        <i/>
        <sz val="10"/>
        <rFont val="Arial"/>
        <family val="2"/>
      </rPr>
      <t xml:space="preserve">                                                </t>
    </r>
    <r>
      <rPr>
        <i/>
        <sz val="9"/>
        <color indexed="55"/>
        <rFont val="Arial"/>
        <family val="2"/>
      </rPr>
      <t>Done by</t>
    </r>
  </si>
  <si>
    <r>
      <rPr>
        <b/>
        <sz val="10"/>
        <rFont val="Arial"/>
        <family val="2"/>
      </rPr>
      <t>TEMPERATURA [°C]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Temperature</t>
    </r>
  </si>
  <si>
    <r>
      <rPr>
        <b/>
        <sz val="10"/>
        <rFont val="Arial"/>
        <family val="2"/>
      </rPr>
      <t>HUMEDAD RELATIVA [%]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Relative Humidity</t>
    </r>
  </si>
  <si>
    <r>
      <rPr>
        <b/>
        <sz val="9"/>
        <rFont val="Arial"/>
        <family val="2"/>
      </rPr>
      <t>VOLUMEN FILTRADO [m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 xml:space="preserve">]
</t>
    </r>
    <r>
      <rPr>
        <i/>
        <sz val="9"/>
        <color indexed="55"/>
        <rFont val="Arial"/>
        <family val="2"/>
      </rPr>
      <t>Filtered volumen</t>
    </r>
  </si>
  <si>
    <r>
      <rPr>
        <b/>
        <sz val="9"/>
        <rFont val="Arial"/>
        <family val="2"/>
      </rPr>
      <t>VOLUMEN CONCENTRADO [mL]</t>
    </r>
    <r>
      <rPr>
        <sz val="9"/>
        <rFont val="Arial"/>
        <family val="2"/>
      </rPr>
      <t xml:space="preserve">
</t>
    </r>
    <r>
      <rPr>
        <i/>
        <sz val="9"/>
        <color indexed="55"/>
        <rFont val="Arial"/>
        <family val="2"/>
      </rPr>
      <t>Concentrated volume</t>
    </r>
  </si>
  <si>
    <r>
      <rPr>
        <b/>
        <sz val="9"/>
        <rFont val="Arial"/>
        <family val="2"/>
      </rPr>
      <t xml:space="preserve">VOLUMEN DE LA ALÍCUOTA [mL]
</t>
    </r>
    <r>
      <rPr>
        <i/>
        <sz val="9"/>
        <color indexed="55"/>
        <rFont val="Arial"/>
        <family val="2"/>
      </rPr>
      <t xml:space="preserve">Aliquot volume </t>
    </r>
  </si>
  <si>
    <r>
      <rPr>
        <b/>
        <sz val="9"/>
        <rFont val="Arial"/>
        <family val="2"/>
      </rPr>
      <t xml:space="preserve">NÚMERO DE ALÍCUOTAS
</t>
    </r>
    <r>
      <rPr>
        <i/>
        <sz val="9"/>
        <color indexed="55"/>
        <rFont val="Arial"/>
        <family val="2"/>
      </rPr>
      <t>Number of Aliquots</t>
    </r>
  </si>
  <si>
    <r>
      <rPr>
        <b/>
        <sz val="9"/>
        <rFont val="Arial"/>
        <family val="2"/>
      </rPr>
      <t>VOLUMEN DE LA MUESTRA [cm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>]</t>
    </r>
    <r>
      <rPr>
        <sz val="9"/>
        <rFont val="Arial"/>
        <family val="2"/>
      </rPr>
      <t xml:space="preserve">                                                                                          </t>
    </r>
    <r>
      <rPr>
        <i/>
        <sz val="9"/>
        <color indexed="55"/>
        <rFont val="Arial"/>
        <family val="2"/>
      </rPr>
      <t>Sample volumen</t>
    </r>
  </si>
  <si>
    <r>
      <rPr>
        <b/>
        <sz val="9"/>
        <rFont val="Arial"/>
        <family val="2"/>
      </rPr>
      <t>ÁREA DE LA MUESTRA [cm</t>
    </r>
    <r>
      <rPr>
        <b/>
        <vertAlign val="superscript"/>
        <sz val="9"/>
        <rFont val="Arial"/>
        <family val="2"/>
      </rPr>
      <t>2</t>
    </r>
    <r>
      <rPr>
        <b/>
        <sz val="9"/>
        <rFont val="Arial"/>
        <family val="2"/>
      </rPr>
      <t xml:space="preserve">]  </t>
    </r>
    <r>
      <rPr>
        <sz val="9"/>
        <rFont val="Arial"/>
        <family val="2"/>
      </rPr>
      <t xml:space="preserve">                                                                       </t>
    </r>
    <r>
      <rPr>
        <i/>
        <sz val="9"/>
        <color indexed="55"/>
        <rFont val="Arial"/>
        <family val="2"/>
      </rPr>
      <t>Sample Area</t>
    </r>
  </si>
  <si>
    <r>
      <t xml:space="preserve">Taxón
</t>
    </r>
    <r>
      <rPr>
        <i/>
        <sz val="9"/>
        <color indexed="55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</si>
  <si>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</si>
  <si>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</si>
  <si>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</si>
  <si>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</si>
  <si>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 xml:space="preserve">Conteo
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</si>
  <si>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</si>
  <si>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</si>
  <si>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9"/>
        <rFont val="Arial"/>
        <family val="2"/>
      </rPr>
      <t>JEFE DE LABORATORIO</t>
    </r>
    <r>
      <rPr>
        <sz val="9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Laboratory Head</t>
    </r>
  </si>
  <si>
    <r>
      <rPr>
        <b/>
        <sz val="8"/>
        <rFont val="Arial"/>
        <family val="2"/>
      </rPr>
      <t>HORA</t>
    </r>
    <r>
      <rPr>
        <sz val="8"/>
        <rFont val="Arial"/>
        <family val="2"/>
      </rPr>
      <t xml:space="preserve"> </t>
    </r>
    <r>
      <rPr>
        <i/>
        <sz val="8"/>
        <color indexed="55"/>
        <rFont val="Arial"/>
        <family val="2"/>
      </rPr>
      <t>Time</t>
    </r>
  </si>
  <si>
    <r>
      <rPr>
        <b/>
        <sz val="10"/>
        <rFont val="Arial"/>
        <family val="2"/>
      </rPr>
      <t>CÓDIGO DE MUESTRA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Sample code</t>
    </r>
  </si>
  <si>
    <r>
      <t xml:space="preserve"> Proceso: </t>
    </r>
    <r>
      <rPr>
        <sz val="9"/>
        <rFont val="Arial"/>
        <family val="2"/>
      </rPr>
      <t xml:space="preserve">M5 Protección del Medio Marino </t>
    </r>
    <r>
      <rPr>
        <b/>
        <sz val="9"/>
        <rFont val="Arial"/>
        <family val="2"/>
      </rPr>
      <t xml:space="preserve">
 Código:</t>
    </r>
    <r>
      <rPr>
        <sz val="9"/>
        <rFont val="Arial"/>
        <family val="2"/>
      </rPr>
      <t xml:space="preserve"> M5-00-FOR-135</t>
    </r>
    <r>
      <rPr>
        <b/>
        <sz val="9"/>
        <rFont val="Arial"/>
        <family val="2"/>
      </rPr>
      <t xml:space="preserve">
 Versión:</t>
    </r>
    <r>
      <rPr>
        <sz val="9"/>
        <rFont val="Arial"/>
        <family val="2"/>
      </rPr>
      <t xml:space="preserve"> 0</t>
    </r>
  </si>
  <si>
    <t>FORMATO
DATOS PRIMARIOS PARA EL ANÁLISIS DE DENSIDAD DE PLANCTON Y MACROINVERTEBRADOS BENTÓNICOS</t>
  </si>
  <si>
    <r>
      <rPr>
        <b/>
        <sz val="9"/>
        <rFont val="Arial"/>
        <family val="2"/>
      </rPr>
      <t>APROBADO POR</t>
    </r>
    <r>
      <rPr>
        <b/>
        <sz val="10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Approved by</t>
    </r>
  </si>
  <si>
    <r>
      <rPr>
        <b/>
        <sz val="10"/>
        <rFont val="Arial"/>
        <family val="2"/>
      </rPr>
      <t xml:space="preserve">MÉTODO </t>
    </r>
    <r>
      <rPr>
        <sz val="10"/>
        <rFont val="Arial"/>
        <family val="2"/>
      </rPr>
      <t xml:space="preserve">                                     </t>
    </r>
    <r>
      <rPr>
        <i/>
        <sz val="9"/>
        <color indexed="55"/>
        <rFont val="Arial"/>
        <family val="2"/>
      </rPr>
      <t>Method</t>
    </r>
  </si>
  <si>
    <t>PLANCTON 
ZOO [  X  ]   FITO [   ]</t>
  </si>
  <si>
    <t>X</t>
  </si>
  <si>
    <t>Estereoscopio</t>
  </si>
  <si>
    <t>Cámara Bogorov</t>
  </si>
  <si>
    <t>Conteo Visual</t>
  </si>
  <si>
    <t>Advanced Optical</t>
  </si>
  <si>
    <t>SE2200</t>
  </si>
  <si>
    <t>8004060000000000000019044</t>
  </si>
  <si>
    <t>Código</t>
  </si>
  <si>
    <t>Volmen Filtrado</t>
  </si>
  <si>
    <t>Volumen Concentrado</t>
  </si>
  <si>
    <t>Volumen de la alícuota</t>
  </si>
  <si>
    <t>Número de alícuotas</t>
  </si>
  <si>
    <t>Volumen total alícuotas</t>
  </si>
  <si>
    <t>Taxón</t>
  </si>
  <si>
    <t>Conteo en Laboratorio</t>
  </si>
  <si>
    <t>Ind/m3</t>
  </si>
  <si>
    <t>Ind/1000m3</t>
  </si>
  <si>
    <t xml:space="preserve"> </t>
  </si>
  <si>
    <t>|</t>
  </si>
  <si>
    <t>Decapoda (Anomura Zoea)</t>
  </si>
  <si>
    <t>Decapoda (Brachyura Zoea)</t>
  </si>
  <si>
    <t>Copepoda (Calanoida)</t>
  </si>
  <si>
    <t>Pez (Huevo)</t>
  </si>
  <si>
    <t>Copepoda (Cyclopoida)</t>
  </si>
  <si>
    <t>Mollusca (Creseis)</t>
  </si>
  <si>
    <t>Amphipoda (Hyperiidae)</t>
  </si>
  <si>
    <t>Stomatopoda</t>
  </si>
  <si>
    <t>Mollusca (Atlanta)</t>
  </si>
  <si>
    <t>Euphausiacea</t>
  </si>
  <si>
    <t>Cladocera</t>
  </si>
  <si>
    <t>Laura C. Ortiz Mieles</t>
  </si>
  <si>
    <t>SP-21-0322</t>
  </si>
  <si>
    <t>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</si>
</sst>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yyyy\-mm\-dd;@"/>
    <numFmt numFmtId="166" formatCode="0.0000"/>
  </numFmts>
  <fonts count="21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6"/>
      <name val="Arial"/>
      <family val="2"/>
    </font>
    <font>
      <i/>
      <sz val="9"/>
      <color indexed="55"/>
      <name val="Arial"/>
      <family val="2"/>
    </font>
    <font>
      <i/>
      <sz val="10"/>
      <color indexed="55"/>
      <name val="Arial"/>
      <family val="2"/>
    </font>
    <font>
      <b/>
      <sz val="8"/>
      <name val="Arial"/>
      <family val="2"/>
    </font>
    <font>
      <i/>
      <sz val="8"/>
      <color indexed="55"/>
      <name val="Arial"/>
      <family val="2"/>
    </font>
    <font>
      <sz val="11"/>
      <color theme="1"/>
      <name val="Arial"/>
      <family val="2"/>
    </font>
    <font>
      <i/>
      <sz val="11"/>
      <color theme="1"/>
      <name val="Calibri"/>
      <family val="2"/>
      <scheme val="minor"/>
    </font>
    <font>
      <b/>
      <sz val="10"/>
      <color rgb="FF202122"/>
      <name val="Arial"/>
      <family val="2"/>
    </font>
    <font>
      <sz val="11"/>
      <color rgb="FF000000"/>
      <name val="Trebuchet MS"/>
      <family val="2"/>
    </font>
    <font>
      <i/>
      <sz val="10"/>
      <name val="Arial"/>
      <family val="2"/>
    </font>
    <font>
      <b/>
      <vertAlign val="superscript"/>
      <sz val="9"/>
      <name val="Arial"/>
      <family val="2"/>
    </font>
    <font>
      <i/>
      <sz val="9"/>
      <color theme="1" tint="0.499984740745262"/>
      <name val="Arial"/>
      <family val="2"/>
    </font>
    <font>
      <sz val="8"/>
      <color rgb="FF808080"/>
      <name val="Times New Roman"/>
      <family val="1"/>
    </font>
    <font>
      <sz val="10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 style="hair">
        <color theme="1" tint="0.499984740745262"/>
      </bottom>
      <diagonal/>
    </border>
    <border>
      <left/>
      <right/>
      <top style="hair">
        <color theme="1" tint="0.499984740745262"/>
      </top>
      <bottom style="hair">
        <color theme="1" tint="0.499984740745262"/>
      </bottom>
      <diagonal/>
    </border>
    <border>
      <left/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/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/>
      <bottom/>
      <diagonal/>
    </border>
    <border>
      <left style="hair">
        <color theme="1" tint="0.499984740745262"/>
      </left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/>
      <diagonal/>
    </border>
    <border>
      <left/>
      <right/>
      <top style="hair">
        <color theme="1" tint="0.499984740745262"/>
      </top>
      <bottom/>
      <diagonal/>
    </border>
    <border>
      <left/>
      <right style="hair">
        <color theme="1" tint="0.499984740745262"/>
      </right>
      <top style="hair">
        <color theme="1" tint="0.499984740745262"/>
      </top>
      <bottom/>
      <diagonal/>
    </border>
    <border>
      <left/>
      <right style="hair">
        <color theme="1" tint="0.499984740745262"/>
      </right>
      <top/>
      <bottom/>
      <diagonal/>
    </border>
    <border>
      <left style="hair">
        <color theme="1" tint="0.499984740745262"/>
      </left>
      <right style="hair">
        <color theme="1" tint="0.499984740745262"/>
      </right>
      <top/>
      <bottom/>
      <diagonal/>
    </border>
  </borders>
  <cellStyleXfs count="2">
    <xf numFmtId="0" fontId="0" fillId="0" borderId="0"/>
    <xf numFmtId="0" fontId="2" fillId="0" borderId="0"/>
  </cellStyleXfs>
  <cellXfs count="104">
    <xf numFmtId="0" fontId="0" fillId="0" borderId="0" xfId="0"/>
    <xf numFmtId="0" fontId="2" fillId="0" borderId="0" xfId="0" applyFont="1" applyProtection="1"/>
    <xf numFmtId="49" fontId="2" fillId="0" borderId="0" xfId="0" applyNumberFormat="1" applyFont="1" applyProtection="1"/>
    <xf numFmtId="0" fontId="2" fillId="0" borderId="0" xfId="0" applyFont="1" applyBorder="1" applyProtection="1"/>
    <xf numFmtId="0" fontId="4" fillId="2" borderId="0" xfId="0" applyFont="1" applyFill="1" applyBorder="1" applyAlignment="1" applyProtection="1">
      <alignment horizontal="center" vertical="center"/>
    </xf>
    <xf numFmtId="0" fontId="4" fillId="2" borderId="0" xfId="0" applyFont="1" applyFill="1" applyBorder="1" applyAlignment="1" applyProtection="1">
      <alignment horizontal="left" vertical="center" wrapText="1"/>
    </xf>
    <xf numFmtId="0" fontId="7" fillId="0" borderId="0" xfId="1" applyFont="1" applyBorder="1" applyAlignment="1">
      <alignment horizontal="center" vertical="top" wrapText="1"/>
    </xf>
    <xf numFmtId="0" fontId="2" fillId="0" borderId="0" xfId="0" applyFont="1" applyBorder="1" applyAlignment="1" applyProtection="1">
      <alignment horizontal="center"/>
    </xf>
    <xf numFmtId="0" fontId="12" fillId="0" borderId="0" xfId="0" applyFont="1" applyBorder="1" applyAlignment="1">
      <alignment vertical="center"/>
    </xf>
    <xf numFmtId="0" fontId="2" fillId="0" borderId="0" xfId="0" applyFont="1" applyFill="1" applyProtection="1"/>
    <xf numFmtId="0" fontId="2" fillId="0" borderId="0" xfId="0" applyFont="1" applyFill="1" applyBorder="1" applyProtection="1"/>
    <xf numFmtId="49" fontId="2" fillId="0" borderId="0" xfId="0" applyNumberFormat="1" applyFont="1" applyFill="1" applyBorder="1" applyProtection="1"/>
    <xf numFmtId="0" fontId="6" fillId="0" borderId="0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 applyProtection="1">
      <alignment horizontal="center" vertical="center"/>
    </xf>
    <xf numFmtId="0" fontId="6" fillId="0" borderId="0" xfId="0" applyFont="1" applyFill="1" applyBorder="1" applyAlignment="1">
      <alignment horizontal="right" vertical="center" wrapText="1"/>
    </xf>
    <xf numFmtId="0" fontId="2" fillId="0" borderId="1" xfId="0" applyFont="1" applyBorder="1" applyAlignment="1" applyProtection="1">
      <alignment horizontal="center"/>
    </xf>
    <xf numFmtId="0" fontId="0" fillId="0" borderId="2" xfId="0" applyBorder="1" applyAlignment="1"/>
    <xf numFmtId="0" fontId="2" fillId="0" borderId="2" xfId="0" applyFont="1" applyBorder="1" applyAlignment="1" applyProtection="1"/>
    <xf numFmtId="0" fontId="2" fillId="0" borderId="2" xfId="0" applyFont="1" applyBorder="1" applyAlignment="1" applyProtection="1">
      <alignment vertical="center"/>
    </xf>
    <xf numFmtId="0" fontId="2" fillId="0" borderId="2" xfId="0" applyFont="1" applyBorder="1" applyProtection="1"/>
    <xf numFmtId="0" fontId="3" fillId="3" borderId="0" xfId="0" applyFont="1" applyFill="1" applyBorder="1" applyAlignment="1" applyProtection="1">
      <alignment horizontal="center" vertical="center"/>
    </xf>
    <xf numFmtId="49" fontId="2" fillId="0" borderId="0" xfId="0" applyNumberFormat="1" applyFont="1" applyBorder="1" applyProtection="1"/>
    <xf numFmtId="0" fontId="6" fillId="3" borderId="0" xfId="0" applyFont="1" applyFill="1" applyBorder="1" applyAlignment="1">
      <alignment horizontal="right" vertical="center" wrapText="1"/>
    </xf>
    <xf numFmtId="0" fontId="6" fillId="3" borderId="0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2" fillId="0" borderId="0" xfId="1"/>
    <xf numFmtId="14" fontId="2" fillId="0" borderId="0" xfId="1" applyNumberFormat="1"/>
    <xf numFmtId="1" fontId="2" fillId="0" borderId="0" xfId="1" applyNumberFormat="1"/>
    <xf numFmtId="2" fontId="2" fillId="0" borderId="0" xfId="1" applyNumberFormat="1"/>
    <xf numFmtId="0" fontId="3" fillId="0" borderId="0" xfId="1" applyFont="1" applyAlignment="1">
      <alignment horizontal="center" vertical="center"/>
    </xf>
    <xf numFmtId="0" fontId="2" fillId="0" borderId="2" xfId="0" applyFont="1" applyBorder="1" applyAlignment="1"/>
    <xf numFmtId="14" fontId="2" fillId="4" borderId="0" xfId="1" applyNumberFormat="1" applyFill="1"/>
    <xf numFmtId="2" fontId="2" fillId="4" borderId="0" xfId="1" applyNumberFormat="1" applyFill="1"/>
    <xf numFmtId="0" fontId="2" fillId="4" borderId="0" xfId="1" applyFill="1"/>
    <xf numFmtId="0" fontId="13" fillId="0" borderId="3" xfId="0" applyFont="1" applyBorder="1" applyAlignment="1">
      <alignment horizontal="left" vertical="center"/>
    </xf>
    <xf numFmtId="0" fontId="13" fillId="0" borderId="4" xfId="0" applyFont="1" applyBorder="1" applyAlignment="1">
      <alignment horizontal="left" vertical="center"/>
    </xf>
    <xf numFmtId="0" fontId="13" fillId="0" borderId="5" xfId="0" applyFont="1" applyBorder="1" applyAlignment="1">
      <alignment horizontal="left" vertical="center"/>
    </xf>
    <xf numFmtId="0" fontId="2" fillId="0" borderId="3" xfId="0" applyFont="1" applyBorder="1" applyAlignment="1" applyProtection="1">
      <alignment horizontal="center" vertical="center"/>
    </xf>
    <xf numFmtId="0" fontId="2" fillId="0" borderId="4" xfId="0" applyFont="1" applyBorder="1" applyAlignment="1" applyProtection="1">
      <alignment horizontal="center" vertical="center"/>
    </xf>
    <xf numFmtId="0" fontId="2" fillId="0" borderId="5" xfId="0" applyFont="1" applyBorder="1" applyAlignment="1" applyProtection="1">
      <alignment horizontal="center" vertical="center"/>
    </xf>
    <xf numFmtId="0" fontId="6" fillId="3" borderId="2" xfId="0" applyFont="1" applyFill="1" applyBorder="1" applyAlignment="1">
      <alignment horizontal="right" vertical="center" wrapText="1"/>
    </xf>
    <xf numFmtId="0" fontId="2" fillId="0" borderId="2" xfId="0" applyFont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right" vertical="center" wrapText="1"/>
    </xf>
    <xf numFmtId="0" fontId="20" fillId="0" borderId="2" xfId="0" applyFont="1" applyBorder="1" applyAlignment="1">
      <alignment horizontal="center" vertical="center" wrapText="1"/>
    </xf>
    <xf numFmtId="164" fontId="2" fillId="0" borderId="3" xfId="0" applyNumberFormat="1" applyFont="1" applyBorder="1" applyAlignment="1" applyProtection="1">
      <alignment horizontal="center" vertical="center"/>
    </xf>
    <xf numFmtId="164" fontId="2" fillId="0" borderId="4" xfId="0" applyNumberFormat="1" applyFont="1" applyBorder="1" applyAlignment="1" applyProtection="1">
      <alignment horizontal="center" vertical="center"/>
    </xf>
    <xf numFmtId="164" fontId="2" fillId="0" borderId="5" xfId="0" applyNumberFormat="1" applyFont="1" applyBorder="1" applyAlignment="1" applyProtection="1">
      <alignment horizontal="center" vertical="center"/>
    </xf>
    <xf numFmtId="49" fontId="2" fillId="3" borderId="2" xfId="0" applyNumberFormat="1" applyFont="1" applyFill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horizontal="center"/>
    </xf>
    <xf numFmtId="0" fontId="3" fillId="3" borderId="2" xfId="0" applyFont="1" applyFill="1" applyBorder="1" applyAlignment="1" applyProtection="1">
      <alignment horizontal="center" vertical="center" wrapText="1"/>
    </xf>
    <xf numFmtId="0" fontId="3" fillId="3" borderId="2" xfId="0" applyFont="1" applyFill="1" applyBorder="1" applyAlignment="1" applyProtection="1">
      <alignment horizontal="center" vertical="center"/>
    </xf>
    <xf numFmtId="166" fontId="2" fillId="0" borderId="2" xfId="0" applyNumberFormat="1" applyFont="1" applyFill="1" applyBorder="1" applyAlignment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0" fontId="5" fillId="0" borderId="7" xfId="1" applyFont="1" applyBorder="1" applyAlignment="1">
      <alignment horizontal="left" vertical="center" wrapText="1"/>
    </xf>
    <xf numFmtId="0" fontId="5" fillId="0" borderId="0" xfId="1" applyFont="1" applyBorder="1" applyAlignment="1">
      <alignment horizontal="left" vertical="center" wrapText="1"/>
    </xf>
    <xf numFmtId="49" fontId="2" fillId="0" borderId="2" xfId="0" applyNumberFormat="1" applyFont="1" applyFill="1" applyBorder="1" applyAlignment="1">
      <alignment horizontal="center" vertical="center" wrapText="1"/>
    </xf>
    <xf numFmtId="0" fontId="16" fillId="3" borderId="2" xfId="0" applyFont="1" applyFill="1" applyBorder="1" applyAlignment="1">
      <alignment horizontal="right" vertical="center" wrapText="1"/>
    </xf>
    <xf numFmtId="0" fontId="2" fillId="3" borderId="2" xfId="0" applyFont="1" applyFill="1" applyBorder="1" applyAlignment="1">
      <alignment horizontal="right" vertical="center" wrapText="1"/>
    </xf>
    <xf numFmtId="0" fontId="3" fillId="0" borderId="8" xfId="1" applyFont="1" applyBorder="1" applyAlignment="1">
      <alignment horizontal="left" vertical="center" wrapText="1"/>
    </xf>
    <xf numFmtId="0" fontId="3" fillId="0" borderId="6" xfId="1" applyFont="1" applyBorder="1" applyAlignment="1">
      <alignment horizontal="left" vertical="center" wrapText="1"/>
    </xf>
    <xf numFmtId="0" fontId="2" fillId="3" borderId="3" xfId="0" applyFont="1" applyFill="1" applyBorder="1" applyAlignment="1">
      <alignment horizontal="right" vertical="center" wrapText="1"/>
    </xf>
    <xf numFmtId="49" fontId="2" fillId="3" borderId="2" xfId="0" applyNumberFormat="1" applyFont="1" applyFill="1" applyBorder="1" applyAlignment="1" applyProtection="1">
      <alignment horizontal="right" vertical="center" wrapText="1"/>
    </xf>
    <xf numFmtId="49" fontId="2" fillId="3" borderId="3" xfId="0" applyNumberFormat="1" applyFont="1" applyFill="1" applyBorder="1" applyAlignment="1" applyProtection="1">
      <alignment horizontal="right" vertical="center" wrapText="1"/>
    </xf>
    <xf numFmtId="20" fontId="2" fillId="0" borderId="2" xfId="0" applyNumberFormat="1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 applyProtection="1">
      <alignment horizontal="center" vertical="center"/>
    </xf>
    <xf numFmtId="14" fontId="20" fillId="0" borderId="2" xfId="0" applyNumberFormat="1" applyFont="1" applyFill="1" applyBorder="1" applyAlignment="1">
      <alignment horizontal="center" vertical="center"/>
    </xf>
    <xf numFmtId="14" fontId="20" fillId="0" borderId="2" xfId="0" applyNumberFormat="1" applyFont="1" applyBorder="1" applyAlignment="1">
      <alignment horizontal="center" vertical="center"/>
    </xf>
    <xf numFmtId="0" fontId="6" fillId="0" borderId="3" xfId="0" applyFont="1" applyFill="1" applyBorder="1" applyAlignment="1">
      <alignment horizontal="center" vertical="center" wrapText="1"/>
    </xf>
    <xf numFmtId="0" fontId="6" fillId="0" borderId="4" xfId="0" applyFont="1" applyFill="1" applyBorder="1" applyAlignment="1">
      <alignment horizontal="center" vertical="center" wrapText="1"/>
    </xf>
    <xf numFmtId="0" fontId="6" fillId="0" borderId="5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 applyProtection="1">
      <alignment horizontal="center" vertical="center" wrapText="1"/>
    </xf>
    <xf numFmtId="0" fontId="2" fillId="0" borderId="3" xfId="0" applyFont="1" applyBorder="1" applyAlignment="1">
      <alignment horizontal="left" vertical="center"/>
    </xf>
    <xf numFmtId="0" fontId="2" fillId="0" borderId="4" xfId="0" applyFont="1" applyBorder="1" applyAlignment="1">
      <alignment horizontal="left" vertical="center"/>
    </xf>
    <xf numFmtId="0" fontId="2" fillId="0" borderId="5" xfId="0" applyFont="1" applyBorder="1" applyAlignment="1">
      <alignment horizontal="left" vertical="center"/>
    </xf>
    <xf numFmtId="0" fontId="2" fillId="0" borderId="2" xfId="0" applyFont="1" applyBorder="1" applyAlignment="1" applyProtection="1">
      <alignment horizontal="left" vertical="center"/>
    </xf>
    <xf numFmtId="0" fontId="14" fillId="3" borderId="3" xfId="0" applyFont="1" applyFill="1" applyBorder="1" applyAlignment="1">
      <alignment horizontal="center" wrapText="1"/>
    </xf>
    <xf numFmtId="0" fontId="14" fillId="3" borderId="4" xfId="0" applyFont="1" applyFill="1" applyBorder="1" applyAlignment="1">
      <alignment horizontal="center" wrapText="1"/>
    </xf>
    <xf numFmtId="0" fontId="14" fillId="3" borderId="5" xfId="0" applyFont="1" applyFill="1" applyBorder="1" applyAlignment="1">
      <alignment horizontal="center" wrapText="1"/>
    </xf>
    <xf numFmtId="0" fontId="13" fillId="0" borderId="2" xfId="0" applyFont="1" applyBorder="1" applyAlignment="1">
      <alignment horizontal="left" vertical="center"/>
    </xf>
    <xf numFmtId="0" fontId="6" fillId="0" borderId="2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left" vertical="center"/>
    </xf>
    <xf numFmtId="0" fontId="2" fillId="0" borderId="2" xfId="0" applyFont="1" applyFill="1" applyBorder="1" applyAlignment="1" applyProtection="1">
      <alignment horizontal="left" vertical="center"/>
    </xf>
    <xf numFmtId="0" fontId="16" fillId="0" borderId="3" xfId="0" applyFont="1" applyBorder="1" applyAlignment="1">
      <alignment horizontal="left" vertical="center"/>
    </xf>
    <xf numFmtId="0" fontId="16" fillId="0" borderId="4" xfId="0" applyFont="1" applyBorder="1" applyAlignment="1">
      <alignment horizontal="left" vertical="center"/>
    </xf>
    <xf numFmtId="0" fontId="16" fillId="0" borderId="5" xfId="0" applyFont="1" applyBorder="1" applyAlignment="1">
      <alignment horizontal="left" vertical="center"/>
    </xf>
    <xf numFmtId="0" fontId="2" fillId="0" borderId="3" xfId="0" applyFont="1" applyFill="1" applyBorder="1" applyAlignment="1" applyProtection="1">
      <alignment horizontal="center"/>
    </xf>
    <xf numFmtId="0" fontId="2" fillId="0" borderId="4" xfId="0" applyFont="1" applyFill="1" applyBorder="1" applyAlignment="1" applyProtection="1">
      <alignment horizontal="center"/>
    </xf>
    <xf numFmtId="0" fontId="2" fillId="0" borderId="5" xfId="0" applyFont="1" applyFill="1" applyBorder="1" applyAlignment="1" applyProtection="1">
      <alignment horizontal="center"/>
    </xf>
    <xf numFmtId="0" fontId="5" fillId="3" borderId="2" xfId="0" applyFont="1" applyFill="1" applyBorder="1" applyAlignment="1" applyProtection="1">
      <alignment horizontal="center" vertical="center" wrapText="1"/>
    </xf>
    <xf numFmtId="0" fontId="2" fillId="0" borderId="13" xfId="0" applyFont="1" applyBorder="1" applyAlignment="1" applyProtection="1">
      <alignment horizontal="center"/>
    </xf>
    <xf numFmtId="0" fontId="2" fillId="0" borderId="9" xfId="0" applyFont="1" applyFill="1" applyBorder="1" applyAlignment="1" applyProtection="1">
      <alignment horizontal="center"/>
    </xf>
    <xf numFmtId="0" fontId="2" fillId="0" borderId="10" xfId="0" applyFont="1" applyFill="1" applyBorder="1" applyAlignment="1" applyProtection="1">
      <alignment horizontal="center"/>
    </xf>
    <xf numFmtId="0" fontId="2" fillId="0" borderId="11" xfId="0" applyFont="1" applyFill="1" applyBorder="1" applyAlignment="1" applyProtection="1">
      <alignment horizontal="center"/>
    </xf>
    <xf numFmtId="0" fontId="2" fillId="0" borderId="2" xfId="0" applyFont="1" applyBorder="1" applyAlignment="1">
      <alignment horizontal="left" vertical="center"/>
    </xf>
    <xf numFmtId="0" fontId="5" fillId="3" borderId="2" xfId="0" applyFont="1" applyFill="1" applyBorder="1" applyAlignment="1">
      <alignment horizontal="center" vertical="center" wrapText="1"/>
    </xf>
    <xf numFmtId="0" fontId="19" fillId="0" borderId="9" xfId="0" applyFont="1" applyFill="1" applyBorder="1" applyAlignment="1">
      <alignment horizontal="center" vertical="center" wrapText="1"/>
    </xf>
    <xf numFmtId="0" fontId="19" fillId="0" borderId="10" xfId="0" applyFont="1" applyFill="1" applyBorder="1" applyAlignment="1">
      <alignment horizontal="center" vertical="center"/>
    </xf>
    <xf numFmtId="0" fontId="19" fillId="0" borderId="11" xfId="0" applyFont="1" applyFill="1" applyBorder="1" applyAlignment="1">
      <alignment horizontal="center" vertical="center"/>
    </xf>
    <xf numFmtId="0" fontId="19" fillId="0" borderId="7" xfId="0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/>
    </xf>
    <xf numFmtId="0" fontId="19" fillId="0" borderId="12" xfId="0" applyFont="1" applyFill="1" applyBorder="1" applyAlignment="1">
      <alignment horizontal="center" vertical="center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273" name="1 Imagen">
          <a:extLst>
            <a:ext uri="{FF2B5EF4-FFF2-40B4-BE49-F238E27FC236}">
              <a16:creationId xmlns="" xmlns:a16="http://schemas.microsoft.com/office/drawing/2014/main" id="{00000000-0008-0000-0100-0000E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45748" cy="88495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17</xdr:row>
          <xdr:rowOff>12700</xdr:rowOff>
        </xdr:from>
        <xdr:to>
          <xdr:col>7</xdr:col>
          <xdr:colOff>12700</xdr:colOff>
          <xdr:row>17</xdr:row>
          <xdr:rowOff>190500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=""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17</xdr:row>
          <xdr:rowOff>12700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=""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18</xdr:row>
          <xdr:rowOff>0</xdr:rowOff>
        </xdr:from>
        <xdr:to>
          <xdr:col>7</xdr:col>
          <xdr:colOff>12700</xdr:colOff>
          <xdr:row>19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=""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19</xdr:row>
          <xdr:rowOff>0</xdr:rowOff>
        </xdr:from>
        <xdr:to>
          <xdr:col>7</xdr:col>
          <xdr:colOff>12700</xdr:colOff>
          <xdr:row>20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=""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20</xdr:row>
          <xdr:rowOff>0</xdr:rowOff>
        </xdr:from>
        <xdr:to>
          <xdr:col>7</xdr:col>
          <xdr:colOff>12700</xdr:colOff>
          <xdr:row>21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=""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21</xdr:row>
          <xdr:rowOff>0</xdr:rowOff>
        </xdr:from>
        <xdr:to>
          <xdr:col>7</xdr:col>
          <xdr:colOff>12700</xdr:colOff>
          <xdr:row>22</xdr:row>
          <xdr:rowOff>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=""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22</xdr:row>
          <xdr:rowOff>0</xdr:rowOff>
        </xdr:from>
        <xdr:to>
          <xdr:col>7</xdr:col>
          <xdr:colOff>12700</xdr:colOff>
          <xdr:row>23</xdr:row>
          <xdr:rowOff>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=""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23</xdr:row>
          <xdr:rowOff>0</xdr:rowOff>
        </xdr:from>
        <xdr:to>
          <xdr:col>7</xdr:col>
          <xdr:colOff>12700</xdr:colOff>
          <xdr:row>24</xdr:row>
          <xdr:rowOff>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=""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24</xdr:row>
          <xdr:rowOff>0</xdr:rowOff>
        </xdr:from>
        <xdr:to>
          <xdr:col>7</xdr:col>
          <xdr:colOff>12700</xdr:colOff>
          <xdr:row>25</xdr:row>
          <xdr:rowOff>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=""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25</xdr:row>
          <xdr:rowOff>0</xdr:rowOff>
        </xdr:from>
        <xdr:to>
          <xdr:col>7</xdr:col>
          <xdr:colOff>12700</xdr:colOff>
          <xdr:row>26</xdr:row>
          <xdr:rowOff>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="" xmlns:a16="http://schemas.microsoft.com/office/drawing/2014/main" id="{00000000-0008-0000-01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26</xdr:row>
          <xdr:rowOff>0</xdr:rowOff>
        </xdr:from>
        <xdr:to>
          <xdr:col>7</xdr:col>
          <xdr:colOff>12700</xdr:colOff>
          <xdr:row>27</xdr:row>
          <xdr:rowOff>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=""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27</xdr:row>
          <xdr:rowOff>0</xdr:rowOff>
        </xdr:from>
        <xdr:to>
          <xdr:col>7</xdr:col>
          <xdr:colOff>12700</xdr:colOff>
          <xdr:row>28</xdr:row>
          <xdr:rowOff>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="" xmlns:a16="http://schemas.microsoft.com/office/drawing/2014/main" id="{00000000-0008-0000-01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28</xdr:row>
          <xdr:rowOff>0</xdr:rowOff>
        </xdr:from>
        <xdr:to>
          <xdr:col>7</xdr:col>
          <xdr:colOff>12700</xdr:colOff>
          <xdr:row>29</xdr:row>
          <xdr:rowOff>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="" xmlns:a16="http://schemas.microsoft.com/office/drawing/2014/main" id="{00000000-0008-0000-01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29</xdr:row>
          <xdr:rowOff>0</xdr:rowOff>
        </xdr:from>
        <xdr:to>
          <xdr:col>7</xdr:col>
          <xdr:colOff>12700</xdr:colOff>
          <xdr:row>30</xdr:row>
          <xdr:rowOff>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="" xmlns:a16="http://schemas.microsoft.com/office/drawing/2014/main" id="{00000000-0008-0000-01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30</xdr:row>
          <xdr:rowOff>0</xdr:rowOff>
        </xdr:from>
        <xdr:to>
          <xdr:col>7</xdr:col>
          <xdr:colOff>12700</xdr:colOff>
          <xdr:row>31</xdr:row>
          <xdr:rowOff>0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="" xmlns:a16="http://schemas.microsoft.com/office/drawing/2014/main" id="{00000000-0008-0000-01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31</xdr:row>
          <xdr:rowOff>0</xdr:rowOff>
        </xdr:from>
        <xdr:to>
          <xdr:col>7</xdr:col>
          <xdr:colOff>12700</xdr:colOff>
          <xdr:row>32</xdr:row>
          <xdr:rowOff>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="" xmlns:a16="http://schemas.microsoft.com/office/drawing/2014/main" id="{00000000-0008-0000-01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32</xdr:row>
          <xdr:rowOff>0</xdr:rowOff>
        </xdr:from>
        <xdr:to>
          <xdr:col>7</xdr:col>
          <xdr:colOff>12700</xdr:colOff>
          <xdr:row>33</xdr:row>
          <xdr:rowOff>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="" xmlns:a16="http://schemas.microsoft.com/office/drawing/2014/main" id="{00000000-0008-0000-01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33</xdr:row>
          <xdr:rowOff>0</xdr:rowOff>
        </xdr:from>
        <xdr:to>
          <xdr:col>7</xdr:col>
          <xdr:colOff>12700</xdr:colOff>
          <xdr:row>34</xdr:row>
          <xdr:rowOff>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="" xmlns:a16="http://schemas.microsoft.com/office/drawing/2014/main" id="{00000000-0008-0000-01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34</xdr:row>
          <xdr:rowOff>0</xdr:rowOff>
        </xdr:from>
        <xdr:to>
          <xdr:col>7</xdr:col>
          <xdr:colOff>12700</xdr:colOff>
          <xdr:row>35</xdr:row>
          <xdr:rowOff>0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="" xmlns:a16="http://schemas.microsoft.com/office/drawing/2014/main" id="{00000000-0008-0000-01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35</xdr:row>
          <xdr:rowOff>0</xdr:rowOff>
        </xdr:from>
        <xdr:to>
          <xdr:col>7</xdr:col>
          <xdr:colOff>12700</xdr:colOff>
          <xdr:row>36</xdr:row>
          <xdr:rowOff>0</xdr:rowOff>
        </xdr:to>
        <xdr:sp macro="" textlink="">
          <xdr:nvSpPr>
            <xdr:cNvPr id="2068" name="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="" xmlns:a16="http://schemas.microsoft.com/office/drawing/2014/main" id="{00000000-0008-0000-01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36</xdr:row>
          <xdr:rowOff>0</xdr:rowOff>
        </xdr:from>
        <xdr:to>
          <xdr:col>7</xdr:col>
          <xdr:colOff>12700</xdr:colOff>
          <xdr:row>37</xdr:row>
          <xdr:rowOff>0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="" xmlns:a16="http://schemas.microsoft.com/office/drawing/2014/main" id="{00000000-0008-0000-01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18</xdr:row>
          <xdr:rowOff>12700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="" xmlns:a16="http://schemas.microsoft.com/office/drawing/2014/main" id="{00000000-0008-0000-01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19</xdr:row>
          <xdr:rowOff>12700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2071" name="Button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="" xmlns:a16="http://schemas.microsoft.com/office/drawing/2014/main" id="{00000000-0008-0000-01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20</xdr:row>
          <xdr:rowOff>12700</xdr:rowOff>
        </xdr:from>
        <xdr:to>
          <xdr:col>8</xdr:col>
          <xdr:colOff>317500</xdr:colOff>
          <xdr:row>21</xdr:row>
          <xdr:rowOff>0</xdr:rowOff>
        </xdr:to>
        <xdr:sp macro="" textlink="">
          <xdr:nvSpPr>
            <xdr:cNvPr id="2072" name="Button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=""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21</xdr:row>
          <xdr:rowOff>12700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2073" name="Button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=""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22</xdr:row>
          <xdr:rowOff>12700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2074" name="Butto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=""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23</xdr:row>
          <xdr:rowOff>12700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=""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24</xdr:row>
          <xdr:rowOff>12700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=""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25</xdr:row>
          <xdr:rowOff>12700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2077" name="Button 29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="" xmlns:a16="http://schemas.microsoft.com/office/drawing/2014/main" id="{00000000-0008-0000-01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26</xdr:row>
          <xdr:rowOff>12700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2078" name="Button 30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="" xmlns:a16="http://schemas.microsoft.com/office/drawing/2014/main" id="{00000000-0008-0000-01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27</xdr:row>
          <xdr:rowOff>12700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2079" name="Button 31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="" xmlns:a16="http://schemas.microsoft.com/office/drawing/2014/main" id="{00000000-0008-0000-01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28</xdr:row>
          <xdr:rowOff>12700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2080" name="Button 32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="" xmlns:a16="http://schemas.microsoft.com/office/drawing/2014/main" id="{00000000-0008-0000-01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29</xdr:row>
          <xdr:rowOff>12700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2081" name="Button 33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="" xmlns:a16="http://schemas.microsoft.com/office/drawing/2014/main" id="{00000000-0008-0000-01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30</xdr:row>
          <xdr:rowOff>12700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2082" name="Button 34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="" xmlns:a16="http://schemas.microsoft.com/office/drawing/2014/main" id="{00000000-0008-0000-01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31</xdr:row>
          <xdr:rowOff>12700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2083" name="Button 35" hidden="1">
              <a:extLst>
                <a:ext uri="{63B3BB69-23CF-44E3-9099-C40C66FF867C}">
                  <a14:compatExt spid="_x0000_s2083"/>
                </a:ext>
                <a:ext uri="{FF2B5EF4-FFF2-40B4-BE49-F238E27FC236}">
                  <a16:creationId xmlns="" xmlns:a16="http://schemas.microsoft.com/office/drawing/2014/main" id="{00000000-0008-0000-0100-00002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32</xdr:row>
          <xdr:rowOff>12700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2084" name="Button 36" hidden="1">
              <a:extLst>
                <a:ext uri="{63B3BB69-23CF-44E3-9099-C40C66FF867C}">
                  <a14:compatExt spid="_x0000_s2084"/>
                </a:ext>
                <a:ext uri="{FF2B5EF4-FFF2-40B4-BE49-F238E27FC236}">
                  <a16:creationId xmlns="" xmlns:a16="http://schemas.microsoft.com/office/drawing/2014/main" id="{00000000-0008-0000-0100-00002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33</xdr:row>
          <xdr:rowOff>12700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2085" name="Button 37" hidden="1">
              <a:extLst>
                <a:ext uri="{63B3BB69-23CF-44E3-9099-C40C66FF867C}">
                  <a14:compatExt spid="_x0000_s2085"/>
                </a:ext>
                <a:ext uri="{FF2B5EF4-FFF2-40B4-BE49-F238E27FC236}">
                  <a16:creationId xmlns="" xmlns:a16="http://schemas.microsoft.com/office/drawing/2014/main" id="{00000000-0008-0000-0100-00002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34</xdr:row>
          <xdr:rowOff>12700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2086" name="Button 38" hidden="1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="" xmlns:a16="http://schemas.microsoft.com/office/drawing/2014/main" id="{00000000-0008-0000-0100-00002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35</xdr:row>
          <xdr:rowOff>12700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2087" name="Button 39" hidden="1">
              <a:extLst>
                <a:ext uri="{63B3BB69-23CF-44E3-9099-C40C66FF867C}">
                  <a14:compatExt spid="_x0000_s2087"/>
                </a:ext>
                <a:ext uri="{FF2B5EF4-FFF2-40B4-BE49-F238E27FC236}">
                  <a16:creationId xmlns="" xmlns:a16="http://schemas.microsoft.com/office/drawing/2014/main" id="{00000000-0008-0000-0100-00002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36</xdr:row>
          <xdr:rowOff>12700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2088" name="Button 40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="" xmlns:a16="http://schemas.microsoft.com/office/drawing/2014/main" id="{00000000-0008-0000-0100-00002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12700</xdr:colOff>
          <xdr:row>17</xdr:row>
          <xdr:rowOff>12700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2089" name="Button 41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="" xmlns:a16="http://schemas.microsoft.com/office/drawing/2014/main" id="{00000000-0008-0000-0100-00002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17</xdr:row>
          <xdr:rowOff>12700</xdr:rowOff>
        </xdr:from>
        <xdr:to>
          <xdr:col>13</xdr:col>
          <xdr:colOff>12700</xdr:colOff>
          <xdr:row>17</xdr:row>
          <xdr:rowOff>190500</xdr:rowOff>
        </xdr:to>
        <xdr:sp macro="" textlink="">
          <xdr:nvSpPr>
            <xdr:cNvPr id="2090" name="Button 42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="" xmlns:a16="http://schemas.microsoft.com/office/drawing/2014/main" id="{00000000-0008-0000-0100-00002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12700</xdr:colOff>
          <xdr:row>17</xdr:row>
          <xdr:rowOff>12700</xdr:rowOff>
        </xdr:from>
        <xdr:to>
          <xdr:col>20</xdr:col>
          <xdr:colOff>12700</xdr:colOff>
          <xdr:row>18</xdr:row>
          <xdr:rowOff>12700</xdr:rowOff>
        </xdr:to>
        <xdr:sp macro="" textlink="">
          <xdr:nvSpPr>
            <xdr:cNvPr id="2091" name="Button 43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="" xmlns:a16="http://schemas.microsoft.com/office/drawing/2014/main" id="{00000000-0008-0000-0100-00002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12700</xdr:colOff>
          <xdr:row>17</xdr:row>
          <xdr:rowOff>12700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2092" name="Button 44" hidden="1">
              <a:extLst>
                <a:ext uri="{63B3BB69-23CF-44E3-9099-C40C66FF867C}">
                  <a14:compatExt spid="_x0000_s2092"/>
                </a:ext>
                <a:ext uri="{FF2B5EF4-FFF2-40B4-BE49-F238E27FC236}">
                  <a16:creationId xmlns="" xmlns:a16="http://schemas.microsoft.com/office/drawing/2014/main" id="{00000000-0008-0000-0100-00002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17</xdr:row>
          <xdr:rowOff>12700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2093" name="Button 45" hidden="1">
              <a:extLst>
                <a:ext uri="{63B3BB69-23CF-44E3-9099-C40C66FF867C}">
                  <a14:compatExt spid="_x0000_s2093"/>
                </a:ext>
                <a:ext uri="{FF2B5EF4-FFF2-40B4-BE49-F238E27FC236}">
                  <a16:creationId xmlns="" xmlns:a16="http://schemas.microsoft.com/office/drawing/2014/main" id="{00000000-0008-0000-0100-00002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12700</xdr:colOff>
          <xdr:row>17</xdr:row>
          <xdr:rowOff>12700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2094" name="Button 46" hidden="1">
              <a:extLst>
                <a:ext uri="{63B3BB69-23CF-44E3-9099-C40C66FF867C}">
                  <a14:compatExt spid="_x0000_s2094"/>
                </a:ext>
                <a:ext uri="{FF2B5EF4-FFF2-40B4-BE49-F238E27FC236}">
                  <a16:creationId xmlns="" xmlns:a16="http://schemas.microsoft.com/office/drawing/2014/main" id="{00000000-0008-0000-0100-00002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18</xdr:row>
          <xdr:rowOff>12700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2095" name="Button 47" hidden="1">
              <a:extLst>
                <a:ext uri="{63B3BB69-23CF-44E3-9099-C40C66FF867C}">
                  <a14:compatExt spid="_x0000_s2095"/>
                </a:ext>
                <a:ext uri="{FF2B5EF4-FFF2-40B4-BE49-F238E27FC236}">
                  <a16:creationId xmlns="" xmlns:a16="http://schemas.microsoft.com/office/drawing/2014/main" id="{00000000-0008-0000-0100-00002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19</xdr:row>
          <xdr:rowOff>12700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2096" name="Button 48" hidden="1">
              <a:extLst>
                <a:ext uri="{63B3BB69-23CF-44E3-9099-C40C66FF867C}">
                  <a14:compatExt spid="_x0000_s2096"/>
                </a:ext>
                <a:ext uri="{FF2B5EF4-FFF2-40B4-BE49-F238E27FC236}">
                  <a16:creationId xmlns="" xmlns:a16="http://schemas.microsoft.com/office/drawing/2014/main" id="{00000000-0008-0000-0100-00003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20</xdr:row>
          <xdr:rowOff>12700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2097" name="Button 49" hidden="1">
              <a:extLst>
                <a:ext uri="{63B3BB69-23CF-44E3-9099-C40C66FF867C}">
                  <a14:compatExt spid="_x0000_s2097"/>
                </a:ext>
                <a:ext uri="{FF2B5EF4-FFF2-40B4-BE49-F238E27FC236}">
                  <a16:creationId xmlns="" xmlns:a16="http://schemas.microsoft.com/office/drawing/2014/main" id="{00000000-0008-0000-0100-00003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21</xdr:row>
          <xdr:rowOff>12700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2098" name="Button 50" hidden="1">
              <a:extLst>
                <a:ext uri="{63B3BB69-23CF-44E3-9099-C40C66FF867C}">
                  <a14:compatExt spid="_x0000_s2098"/>
                </a:ext>
                <a:ext uri="{FF2B5EF4-FFF2-40B4-BE49-F238E27FC236}">
                  <a16:creationId xmlns="" xmlns:a16="http://schemas.microsoft.com/office/drawing/2014/main" id="{00000000-0008-0000-0100-00003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22</xdr:row>
          <xdr:rowOff>12700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2099" name="Button 51" hidden="1">
              <a:extLst>
                <a:ext uri="{63B3BB69-23CF-44E3-9099-C40C66FF867C}">
                  <a14:compatExt spid="_x0000_s2099"/>
                </a:ext>
                <a:ext uri="{FF2B5EF4-FFF2-40B4-BE49-F238E27FC236}">
                  <a16:creationId xmlns="" xmlns:a16="http://schemas.microsoft.com/office/drawing/2014/main" id="{00000000-0008-0000-0100-00003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23</xdr:row>
          <xdr:rowOff>12700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2100" name="Button 52" hidden="1">
              <a:extLst>
                <a:ext uri="{63B3BB69-23CF-44E3-9099-C40C66FF867C}">
                  <a14:compatExt spid="_x0000_s2100"/>
                </a:ext>
                <a:ext uri="{FF2B5EF4-FFF2-40B4-BE49-F238E27FC236}">
                  <a16:creationId xmlns="" xmlns:a16="http://schemas.microsoft.com/office/drawing/2014/main" id="{00000000-0008-0000-0100-00003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24</xdr:row>
          <xdr:rowOff>12700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2101" name="Button 53" hidden="1">
              <a:extLst>
                <a:ext uri="{63B3BB69-23CF-44E3-9099-C40C66FF867C}">
                  <a14:compatExt spid="_x0000_s2101"/>
                </a:ext>
                <a:ext uri="{FF2B5EF4-FFF2-40B4-BE49-F238E27FC236}">
                  <a16:creationId xmlns="" xmlns:a16="http://schemas.microsoft.com/office/drawing/2014/main" id="{00000000-0008-0000-0100-00003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25</xdr:row>
          <xdr:rowOff>12700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2102" name="Button 54" hidden="1">
              <a:extLst>
                <a:ext uri="{63B3BB69-23CF-44E3-9099-C40C66FF867C}">
                  <a14:compatExt spid="_x0000_s2102"/>
                </a:ext>
                <a:ext uri="{FF2B5EF4-FFF2-40B4-BE49-F238E27FC236}">
                  <a16:creationId xmlns="" xmlns:a16="http://schemas.microsoft.com/office/drawing/2014/main" id="{00000000-0008-0000-0100-00003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26</xdr:row>
          <xdr:rowOff>12700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2103" name="Button 55" hidden="1">
              <a:extLst>
                <a:ext uri="{63B3BB69-23CF-44E3-9099-C40C66FF867C}">
                  <a14:compatExt spid="_x0000_s2103"/>
                </a:ext>
                <a:ext uri="{FF2B5EF4-FFF2-40B4-BE49-F238E27FC236}">
                  <a16:creationId xmlns="" xmlns:a16="http://schemas.microsoft.com/office/drawing/2014/main" id="{00000000-0008-0000-0100-00003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27</xdr:row>
          <xdr:rowOff>12700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2104" name="Button 56" hidden="1">
              <a:extLst>
                <a:ext uri="{63B3BB69-23CF-44E3-9099-C40C66FF867C}">
                  <a14:compatExt spid="_x0000_s2104"/>
                </a:ext>
                <a:ext uri="{FF2B5EF4-FFF2-40B4-BE49-F238E27FC236}">
                  <a16:creationId xmlns="" xmlns:a16="http://schemas.microsoft.com/office/drawing/2014/main" id="{00000000-0008-0000-0100-00003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28</xdr:row>
          <xdr:rowOff>12700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2105" name="Button 57" hidden="1">
              <a:extLst>
                <a:ext uri="{63B3BB69-23CF-44E3-9099-C40C66FF867C}">
                  <a14:compatExt spid="_x0000_s2105"/>
                </a:ext>
                <a:ext uri="{FF2B5EF4-FFF2-40B4-BE49-F238E27FC236}">
                  <a16:creationId xmlns="" xmlns:a16="http://schemas.microsoft.com/office/drawing/2014/main" id="{00000000-0008-0000-0100-00003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29</xdr:row>
          <xdr:rowOff>12700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2106" name="Button 58" hidden="1">
              <a:extLst>
                <a:ext uri="{63B3BB69-23CF-44E3-9099-C40C66FF867C}">
                  <a14:compatExt spid="_x0000_s2106"/>
                </a:ext>
                <a:ext uri="{FF2B5EF4-FFF2-40B4-BE49-F238E27FC236}">
                  <a16:creationId xmlns="" xmlns:a16="http://schemas.microsoft.com/office/drawing/2014/main" id="{00000000-0008-0000-0100-00003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30</xdr:row>
          <xdr:rowOff>12700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2107" name="Button 59" hidden="1">
              <a:extLst>
                <a:ext uri="{63B3BB69-23CF-44E3-9099-C40C66FF867C}">
                  <a14:compatExt spid="_x0000_s2107"/>
                </a:ext>
                <a:ext uri="{FF2B5EF4-FFF2-40B4-BE49-F238E27FC236}">
                  <a16:creationId xmlns="" xmlns:a16="http://schemas.microsoft.com/office/drawing/2014/main" id="{00000000-0008-0000-0100-00003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31</xdr:row>
          <xdr:rowOff>12700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2108" name="Button 60" hidden="1">
              <a:extLst>
                <a:ext uri="{63B3BB69-23CF-44E3-9099-C40C66FF867C}">
                  <a14:compatExt spid="_x0000_s2108"/>
                </a:ext>
                <a:ext uri="{FF2B5EF4-FFF2-40B4-BE49-F238E27FC236}">
                  <a16:creationId xmlns="" xmlns:a16="http://schemas.microsoft.com/office/drawing/2014/main" id="{00000000-0008-0000-0100-00003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32</xdr:row>
          <xdr:rowOff>12700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2109" name="Button 61" hidden="1">
              <a:extLst>
                <a:ext uri="{63B3BB69-23CF-44E3-9099-C40C66FF867C}">
                  <a14:compatExt spid="_x0000_s2109"/>
                </a:ext>
                <a:ext uri="{FF2B5EF4-FFF2-40B4-BE49-F238E27FC236}">
                  <a16:creationId xmlns="" xmlns:a16="http://schemas.microsoft.com/office/drawing/2014/main" id="{00000000-0008-0000-0100-00003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33</xdr:row>
          <xdr:rowOff>12700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2110" name="Button 62" hidden="1">
              <a:extLst>
                <a:ext uri="{63B3BB69-23CF-44E3-9099-C40C66FF867C}">
                  <a14:compatExt spid="_x0000_s2110"/>
                </a:ext>
                <a:ext uri="{FF2B5EF4-FFF2-40B4-BE49-F238E27FC236}">
                  <a16:creationId xmlns="" xmlns:a16="http://schemas.microsoft.com/office/drawing/2014/main" id="{00000000-0008-0000-0100-00003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34</xdr:row>
          <xdr:rowOff>12700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2111" name="Button 63" hidden="1">
              <a:extLst>
                <a:ext uri="{63B3BB69-23CF-44E3-9099-C40C66FF867C}">
                  <a14:compatExt spid="_x0000_s2111"/>
                </a:ext>
                <a:ext uri="{FF2B5EF4-FFF2-40B4-BE49-F238E27FC236}">
                  <a16:creationId xmlns="" xmlns:a16="http://schemas.microsoft.com/office/drawing/2014/main" id="{00000000-0008-0000-0100-00003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35</xdr:row>
          <xdr:rowOff>12700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2112" name="Button 64" hidden="1">
              <a:extLst>
                <a:ext uri="{63B3BB69-23CF-44E3-9099-C40C66FF867C}">
                  <a14:compatExt spid="_x0000_s2112"/>
                </a:ext>
                <a:ext uri="{FF2B5EF4-FFF2-40B4-BE49-F238E27FC236}">
                  <a16:creationId xmlns="" xmlns:a16="http://schemas.microsoft.com/office/drawing/2014/main" id="{00000000-0008-0000-0100-00004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36</xdr:row>
          <xdr:rowOff>12700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2113" name="Button 65" hidden="1">
              <a:extLst>
                <a:ext uri="{63B3BB69-23CF-44E3-9099-C40C66FF867C}">
                  <a14:compatExt spid="_x0000_s2113"/>
                </a:ext>
                <a:ext uri="{FF2B5EF4-FFF2-40B4-BE49-F238E27FC236}">
                  <a16:creationId xmlns="" xmlns:a16="http://schemas.microsoft.com/office/drawing/2014/main" id="{00000000-0008-0000-0100-00004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18</xdr:row>
          <xdr:rowOff>12700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14" name="Button 66" hidden="1">
              <a:extLst>
                <a:ext uri="{63B3BB69-23CF-44E3-9099-C40C66FF867C}">
                  <a14:compatExt spid="_x0000_s2114"/>
                </a:ext>
                <a:ext uri="{FF2B5EF4-FFF2-40B4-BE49-F238E27FC236}">
                  <a16:creationId xmlns="" xmlns:a16="http://schemas.microsoft.com/office/drawing/2014/main" id="{00000000-0008-0000-0100-00004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19</xdr:row>
          <xdr:rowOff>12700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2115" name="Button 67" hidden="1">
              <a:extLst>
                <a:ext uri="{63B3BB69-23CF-44E3-9099-C40C66FF867C}">
                  <a14:compatExt spid="_x0000_s2115"/>
                </a:ext>
                <a:ext uri="{FF2B5EF4-FFF2-40B4-BE49-F238E27FC236}">
                  <a16:creationId xmlns="" xmlns:a16="http://schemas.microsoft.com/office/drawing/2014/main" id="{00000000-0008-0000-0100-00004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20</xdr:row>
          <xdr:rowOff>12700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2116" name="Button 68" hidden="1">
              <a:extLst>
                <a:ext uri="{63B3BB69-23CF-44E3-9099-C40C66FF867C}">
                  <a14:compatExt spid="_x0000_s2116"/>
                </a:ext>
                <a:ext uri="{FF2B5EF4-FFF2-40B4-BE49-F238E27FC236}">
                  <a16:creationId xmlns="" xmlns:a16="http://schemas.microsoft.com/office/drawing/2014/main" id="{00000000-0008-0000-0100-00004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21</xdr:row>
          <xdr:rowOff>12700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2117" name="Button 69" hidden="1">
              <a:extLst>
                <a:ext uri="{63B3BB69-23CF-44E3-9099-C40C66FF867C}">
                  <a14:compatExt spid="_x0000_s2117"/>
                </a:ext>
                <a:ext uri="{FF2B5EF4-FFF2-40B4-BE49-F238E27FC236}">
                  <a16:creationId xmlns="" xmlns:a16="http://schemas.microsoft.com/office/drawing/2014/main" id="{00000000-0008-0000-0100-00004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22</xdr:row>
          <xdr:rowOff>12700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2118" name="Button 70" hidden="1">
              <a:extLst>
                <a:ext uri="{63B3BB69-23CF-44E3-9099-C40C66FF867C}">
                  <a14:compatExt spid="_x0000_s2118"/>
                </a:ext>
                <a:ext uri="{FF2B5EF4-FFF2-40B4-BE49-F238E27FC236}">
                  <a16:creationId xmlns="" xmlns:a16="http://schemas.microsoft.com/office/drawing/2014/main" id="{00000000-0008-0000-0100-00004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23</xdr:row>
          <xdr:rowOff>12700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2119" name="Button 71" hidden="1">
              <a:extLst>
                <a:ext uri="{63B3BB69-23CF-44E3-9099-C40C66FF867C}">
                  <a14:compatExt spid="_x0000_s2119"/>
                </a:ext>
                <a:ext uri="{FF2B5EF4-FFF2-40B4-BE49-F238E27FC236}">
                  <a16:creationId xmlns="" xmlns:a16="http://schemas.microsoft.com/office/drawing/2014/main" id="{00000000-0008-0000-0100-00004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24</xdr:row>
          <xdr:rowOff>12700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2120" name="Button 72" hidden="1">
              <a:extLst>
                <a:ext uri="{63B3BB69-23CF-44E3-9099-C40C66FF867C}">
                  <a14:compatExt spid="_x0000_s2120"/>
                </a:ext>
                <a:ext uri="{FF2B5EF4-FFF2-40B4-BE49-F238E27FC236}">
                  <a16:creationId xmlns="" xmlns:a16="http://schemas.microsoft.com/office/drawing/2014/main" id="{00000000-0008-0000-0100-00004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25</xdr:row>
          <xdr:rowOff>12700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2121" name="Button 73" hidden="1">
              <a:extLst>
                <a:ext uri="{63B3BB69-23CF-44E3-9099-C40C66FF867C}">
                  <a14:compatExt spid="_x0000_s2121"/>
                </a:ext>
                <a:ext uri="{FF2B5EF4-FFF2-40B4-BE49-F238E27FC236}">
                  <a16:creationId xmlns="" xmlns:a16="http://schemas.microsoft.com/office/drawing/2014/main" id="{00000000-0008-0000-0100-00004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26</xdr:row>
          <xdr:rowOff>12700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2122" name="Button 74" hidden="1">
              <a:extLst>
                <a:ext uri="{63B3BB69-23CF-44E3-9099-C40C66FF867C}">
                  <a14:compatExt spid="_x0000_s2122"/>
                </a:ext>
                <a:ext uri="{FF2B5EF4-FFF2-40B4-BE49-F238E27FC236}">
                  <a16:creationId xmlns="" xmlns:a16="http://schemas.microsoft.com/office/drawing/2014/main" id="{00000000-0008-0000-0100-00004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18</xdr:row>
          <xdr:rowOff>12700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23" name="Button 75" hidden="1">
              <a:extLst>
                <a:ext uri="{63B3BB69-23CF-44E3-9099-C40C66FF867C}">
                  <a14:compatExt spid="_x0000_s2123"/>
                </a:ext>
                <a:ext uri="{FF2B5EF4-FFF2-40B4-BE49-F238E27FC236}">
                  <a16:creationId xmlns="" xmlns:a16="http://schemas.microsoft.com/office/drawing/2014/main" id="{00000000-0008-0000-0100-00004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18</xdr:row>
          <xdr:rowOff>12700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24" name="Button 76" hidden="1">
              <a:extLst>
                <a:ext uri="{63B3BB69-23CF-44E3-9099-C40C66FF867C}">
                  <a14:compatExt spid="_x0000_s2124"/>
                </a:ext>
                <a:ext uri="{FF2B5EF4-FFF2-40B4-BE49-F238E27FC236}">
                  <a16:creationId xmlns="" xmlns:a16="http://schemas.microsoft.com/office/drawing/2014/main" id="{00000000-0008-0000-0100-00004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19</xdr:row>
          <xdr:rowOff>12700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2125" name="Button 77" hidden="1">
              <a:extLst>
                <a:ext uri="{63B3BB69-23CF-44E3-9099-C40C66FF867C}">
                  <a14:compatExt spid="_x0000_s2125"/>
                </a:ext>
                <a:ext uri="{FF2B5EF4-FFF2-40B4-BE49-F238E27FC236}">
                  <a16:creationId xmlns="" xmlns:a16="http://schemas.microsoft.com/office/drawing/2014/main" id="{00000000-0008-0000-0100-00004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20</xdr:row>
          <xdr:rowOff>12700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2126" name="Button 78" hidden="1">
              <a:extLst>
                <a:ext uri="{63B3BB69-23CF-44E3-9099-C40C66FF867C}">
                  <a14:compatExt spid="_x0000_s2126"/>
                </a:ext>
                <a:ext uri="{FF2B5EF4-FFF2-40B4-BE49-F238E27FC236}">
                  <a16:creationId xmlns="" xmlns:a16="http://schemas.microsoft.com/office/drawing/2014/main" id="{00000000-0008-0000-0100-00004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21</xdr:row>
          <xdr:rowOff>12700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2127" name="Button 79" hidden="1">
              <a:extLst>
                <a:ext uri="{63B3BB69-23CF-44E3-9099-C40C66FF867C}">
                  <a14:compatExt spid="_x0000_s2127"/>
                </a:ext>
                <a:ext uri="{FF2B5EF4-FFF2-40B4-BE49-F238E27FC236}">
                  <a16:creationId xmlns="" xmlns:a16="http://schemas.microsoft.com/office/drawing/2014/main" id="{00000000-0008-0000-0100-00004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22</xdr:row>
          <xdr:rowOff>12700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2128" name="Button 80" hidden="1">
              <a:extLst>
                <a:ext uri="{63B3BB69-23CF-44E3-9099-C40C66FF867C}">
                  <a14:compatExt spid="_x0000_s2128"/>
                </a:ext>
                <a:ext uri="{FF2B5EF4-FFF2-40B4-BE49-F238E27FC236}">
                  <a16:creationId xmlns="" xmlns:a16="http://schemas.microsoft.com/office/drawing/2014/main" id="{00000000-0008-0000-0100-00005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23</xdr:row>
          <xdr:rowOff>12700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2129" name="Button 81" hidden="1">
              <a:extLst>
                <a:ext uri="{63B3BB69-23CF-44E3-9099-C40C66FF867C}">
                  <a14:compatExt spid="_x0000_s2129"/>
                </a:ext>
                <a:ext uri="{FF2B5EF4-FFF2-40B4-BE49-F238E27FC236}">
                  <a16:creationId xmlns="" xmlns:a16="http://schemas.microsoft.com/office/drawing/2014/main" id="{00000000-0008-0000-0100-00005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24</xdr:row>
          <xdr:rowOff>12700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2130" name="Button 82" hidden="1">
              <a:extLst>
                <a:ext uri="{63B3BB69-23CF-44E3-9099-C40C66FF867C}">
                  <a14:compatExt spid="_x0000_s2130"/>
                </a:ext>
                <a:ext uri="{FF2B5EF4-FFF2-40B4-BE49-F238E27FC236}">
                  <a16:creationId xmlns="" xmlns:a16="http://schemas.microsoft.com/office/drawing/2014/main" id="{00000000-0008-0000-0100-00005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25</xdr:row>
          <xdr:rowOff>12700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2131" name="Button 83" hidden="1">
              <a:extLst>
                <a:ext uri="{63B3BB69-23CF-44E3-9099-C40C66FF867C}">
                  <a14:compatExt spid="_x0000_s2131"/>
                </a:ext>
                <a:ext uri="{FF2B5EF4-FFF2-40B4-BE49-F238E27FC236}">
                  <a16:creationId xmlns="" xmlns:a16="http://schemas.microsoft.com/office/drawing/2014/main" id="{00000000-0008-0000-0100-00005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26</xdr:row>
          <xdr:rowOff>12700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2132" name="Button 84" hidden="1">
              <a:extLst>
                <a:ext uri="{63B3BB69-23CF-44E3-9099-C40C66FF867C}">
                  <a14:compatExt spid="_x0000_s2132"/>
                </a:ext>
                <a:ext uri="{FF2B5EF4-FFF2-40B4-BE49-F238E27FC236}">
                  <a16:creationId xmlns="" xmlns:a16="http://schemas.microsoft.com/office/drawing/2014/main" id="{00000000-0008-0000-0100-00005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27</xdr:row>
          <xdr:rowOff>12700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2133" name="Button 85" hidden="1">
              <a:extLst>
                <a:ext uri="{63B3BB69-23CF-44E3-9099-C40C66FF867C}">
                  <a14:compatExt spid="_x0000_s2133"/>
                </a:ext>
                <a:ext uri="{FF2B5EF4-FFF2-40B4-BE49-F238E27FC236}">
                  <a16:creationId xmlns="" xmlns:a16="http://schemas.microsoft.com/office/drawing/2014/main" id="{00000000-0008-0000-0100-00005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28</xdr:row>
          <xdr:rowOff>12700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2134" name="Button 86" hidden="1">
              <a:extLst>
                <a:ext uri="{63B3BB69-23CF-44E3-9099-C40C66FF867C}">
                  <a14:compatExt spid="_x0000_s2134"/>
                </a:ext>
                <a:ext uri="{FF2B5EF4-FFF2-40B4-BE49-F238E27FC236}">
                  <a16:creationId xmlns="" xmlns:a16="http://schemas.microsoft.com/office/drawing/2014/main" id="{00000000-0008-0000-0100-00005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29</xdr:row>
          <xdr:rowOff>12700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2135" name="Button 87" hidden="1">
              <a:extLst>
                <a:ext uri="{63B3BB69-23CF-44E3-9099-C40C66FF867C}">
                  <a14:compatExt spid="_x0000_s2135"/>
                </a:ext>
                <a:ext uri="{FF2B5EF4-FFF2-40B4-BE49-F238E27FC236}">
                  <a16:creationId xmlns="" xmlns:a16="http://schemas.microsoft.com/office/drawing/2014/main" id="{00000000-0008-0000-0100-00005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30</xdr:row>
          <xdr:rowOff>12700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2136" name="Button 88" hidden="1">
              <a:extLst>
                <a:ext uri="{63B3BB69-23CF-44E3-9099-C40C66FF867C}">
                  <a14:compatExt spid="_x0000_s2136"/>
                </a:ext>
                <a:ext uri="{FF2B5EF4-FFF2-40B4-BE49-F238E27FC236}">
                  <a16:creationId xmlns="" xmlns:a16="http://schemas.microsoft.com/office/drawing/2014/main" id="{00000000-0008-0000-0100-00005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31</xdr:row>
          <xdr:rowOff>12700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2137" name="Button 89" hidden="1">
              <a:extLst>
                <a:ext uri="{63B3BB69-23CF-44E3-9099-C40C66FF867C}">
                  <a14:compatExt spid="_x0000_s2137"/>
                </a:ext>
                <a:ext uri="{FF2B5EF4-FFF2-40B4-BE49-F238E27FC236}">
                  <a16:creationId xmlns="" xmlns:a16="http://schemas.microsoft.com/office/drawing/2014/main" id="{00000000-0008-0000-0100-00005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32</xdr:row>
          <xdr:rowOff>12700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2138" name="Button 90" hidden="1">
              <a:extLst>
                <a:ext uri="{63B3BB69-23CF-44E3-9099-C40C66FF867C}">
                  <a14:compatExt spid="_x0000_s2138"/>
                </a:ext>
                <a:ext uri="{FF2B5EF4-FFF2-40B4-BE49-F238E27FC236}">
                  <a16:creationId xmlns="" xmlns:a16="http://schemas.microsoft.com/office/drawing/2014/main" id="{00000000-0008-0000-0100-00005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33</xdr:row>
          <xdr:rowOff>12700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2139" name="Button 91" hidden="1">
              <a:extLst>
                <a:ext uri="{63B3BB69-23CF-44E3-9099-C40C66FF867C}">
                  <a14:compatExt spid="_x0000_s2139"/>
                </a:ext>
                <a:ext uri="{FF2B5EF4-FFF2-40B4-BE49-F238E27FC236}">
                  <a16:creationId xmlns="" xmlns:a16="http://schemas.microsoft.com/office/drawing/2014/main" id="{00000000-0008-0000-0100-00005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34</xdr:row>
          <xdr:rowOff>12700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2140" name="Button 92" hidden="1">
              <a:extLst>
                <a:ext uri="{63B3BB69-23CF-44E3-9099-C40C66FF867C}">
                  <a14:compatExt spid="_x0000_s2140"/>
                </a:ext>
                <a:ext uri="{FF2B5EF4-FFF2-40B4-BE49-F238E27FC236}">
                  <a16:creationId xmlns="" xmlns:a16="http://schemas.microsoft.com/office/drawing/2014/main" id="{00000000-0008-0000-0100-00005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35</xdr:row>
          <xdr:rowOff>12700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2141" name="Button 93" hidden="1">
              <a:extLst>
                <a:ext uri="{63B3BB69-23CF-44E3-9099-C40C66FF867C}">
                  <a14:compatExt spid="_x0000_s2141"/>
                </a:ext>
                <a:ext uri="{FF2B5EF4-FFF2-40B4-BE49-F238E27FC236}">
                  <a16:creationId xmlns="" xmlns:a16="http://schemas.microsoft.com/office/drawing/2014/main" id="{00000000-0008-0000-0100-00005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36</xdr:row>
          <xdr:rowOff>12700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2142" name="Button 94" hidden="1">
              <a:extLst>
                <a:ext uri="{63B3BB69-23CF-44E3-9099-C40C66FF867C}">
                  <a14:compatExt spid="_x0000_s2142"/>
                </a:ext>
                <a:ext uri="{FF2B5EF4-FFF2-40B4-BE49-F238E27FC236}">
                  <a16:creationId xmlns="" xmlns:a16="http://schemas.microsoft.com/office/drawing/2014/main" id="{00000000-0008-0000-0100-00005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17</xdr:row>
          <xdr:rowOff>12700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2143" name="Button 95" hidden="1">
              <a:extLst>
                <a:ext uri="{63B3BB69-23CF-44E3-9099-C40C66FF867C}">
                  <a14:compatExt spid="_x0000_s2143"/>
                </a:ext>
                <a:ext uri="{FF2B5EF4-FFF2-40B4-BE49-F238E27FC236}">
                  <a16:creationId xmlns="" xmlns:a16="http://schemas.microsoft.com/office/drawing/2014/main" id="{00000000-0008-0000-0100-00005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18</xdr:row>
          <xdr:rowOff>12700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44" name="Button 96" hidden="1">
              <a:extLst>
                <a:ext uri="{63B3BB69-23CF-44E3-9099-C40C66FF867C}">
                  <a14:compatExt spid="_x0000_s2144"/>
                </a:ext>
                <a:ext uri="{FF2B5EF4-FFF2-40B4-BE49-F238E27FC236}">
                  <a16:creationId xmlns="" xmlns:a16="http://schemas.microsoft.com/office/drawing/2014/main" id="{00000000-0008-0000-0100-00006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19</xdr:row>
          <xdr:rowOff>12700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2145" name="Button 97" hidden="1">
              <a:extLst>
                <a:ext uri="{63B3BB69-23CF-44E3-9099-C40C66FF867C}">
                  <a14:compatExt spid="_x0000_s2145"/>
                </a:ext>
                <a:ext uri="{FF2B5EF4-FFF2-40B4-BE49-F238E27FC236}">
                  <a16:creationId xmlns="" xmlns:a16="http://schemas.microsoft.com/office/drawing/2014/main" id="{00000000-0008-0000-0100-00006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20</xdr:row>
          <xdr:rowOff>12700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2146" name="Button 98" hidden="1">
              <a:extLst>
                <a:ext uri="{63B3BB69-23CF-44E3-9099-C40C66FF867C}">
                  <a14:compatExt spid="_x0000_s2146"/>
                </a:ext>
                <a:ext uri="{FF2B5EF4-FFF2-40B4-BE49-F238E27FC236}">
                  <a16:creationId xmlns="" xmlns:a16="http://schemas.microsoft.com/office/drawing/2014/main" id="{00000000-0008-0000-0100-00006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21</xdr:row>
          <xdr:rowOff>12700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2147" name="Button 99" hidden="1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="" xmlns:a16="http://schemas.microsoft.com/office/drawing/2014/main" id="{00000000-0008-0000-0100-00006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22</xdr:row>
          <xdr:rowOff>12700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2148" name="Button 100" hidden="1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="" xmlns:a16="http://schemas.microsoft.com/office/drawing/2014/main" id="{00000000-0008-0000-0100-00006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23</xdr:row>
          <xdr:rowOff>12700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2149" name="Button 101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="" xmlns:a16="http://schemas.microsoft.com/office/drawing/2014/main" id="{00000000-0008-0000-0100-00006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24</xdr:row>
          <xdr:rowOff>12700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2150" name="Button 102" hidden="1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="" xmlns:a16="http://schemas.microsoft.com/office/drawing/2014/main" id="{00000000-0008-0000-0100-00006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25</xdr:row>
          <xdr:rowOff>12700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2151" name="Button 103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="" xmlns:a16="http://schemas.microsoft.com/office/drawing/2014/main" id="{00000000-0008-0000-0100-00006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26</xdr:row>
          <xdr:rowOff>12700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2152" name="Button 104" hidden="1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="" xmlns:a16="http://schemas.microsoft.com/office/drawing/2014/main" id="{00000000-0008-0000-0100-00006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27</xdr:row>
          <xdr:rowOff>12700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2153" name="Button 105" hidden="1">
              <a:extLst>
                <a:ext uri="{63B3BB69-23CF-44E3-9099-C40C66FF867C}">
                  <a14:compatExt spid="_x0000_s2153"/>
                </a:ext>
                <a:ext uri="{FF2B5EF4-FFF2-40B4-BE49-F238E27FC236}">
                  <a16:creationId xmlns="" xmlns:a16="http://schemas.microsoft.com/office/drawing/2014/main" id="{00000000-0008-0000-0100-00006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28</xdr:row>
          <xdr:rowOff>12700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2154" name="Button 106" hidden="1">
              <a:extLst>
                <a:ext uri="{63B3BB69-23CF-44E3-9099-C40C66FF867C}">
                  <a14:compatExt spid="_x0000_s2154"/>
                </a:ext>
                <a:ext uri="{FF2B5EF4-FFF2-40B4-BE49-F238E27FC236}">
                  <a16:creationId xmlns="" xmlns:a16="http://schemas.microsoft.com/office/drawing/2014/main" id="{00000000-0008-0000-0100-00006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29</xdr:row>
          <xdr:rowOff>12700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2155" name="Button 107" hidden="1">
              <a:extLst>
                <a:ext uri="{63B3BB69-23CF-44E3-9099-C40C66FF867C}">
                  <a14:compatExt spid="_x0000_s2155"/>
                </a:ext>
                <a:ext uri="{FF2B5EF4-FFF2-40B4-BE49-F238E27FC236}">
                  <a16:creationId xmlns="" xmlns:a16="http://schemas.microsoft.com/office/drawing/2014/main" id="{00000000-0008-0000-0100-00006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30</xdr:row>
          <xdr:rowOff>12700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2156" name="Button 108" hidden="1">
              <a:extLst>
                <a:ext uri="{63B3BB69-23CF-44E3-9099-C40C66FF867C}">
                  <a14:compatExt spid="_x0000_s2156"/>
                </a:ext>
                <a:ext uri="{FF2B5EF4-FFF2-40B4-BE49-F238E27FC236}">
                  <a16:creationId xmlns="" xmlns:a16="http://schemas.microsoft.com/office/drawing/2014/main" id="{00000000-0008-0000-0100-00006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31</xdr:row>
          <xdr:rowOff>12700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2157" name="Button 109" hidden="1">
              <a:extLst>
                <a:ext uri="{63B3BB69-23CF-44E3-9099-C40C66FF867C}">
                  <a14:compatExt spid="_x0000_s2157"/>
                </a:ext>
                <a:ext uri="{FF2B5EF4-FFF2-40B4-BE49-F238E27FC236}">
                  <a16:creationId xmlns="" xmlns:a16="http://schemas.microsoft.com/office/drawing/2014/main" id="{00000000-0008-0000-0100-00006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32</xdr:row>
          <xdr:rowOff>12700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2158" name="Button 110" hidden="1">
              <a:extLst>
                <a:ext uri="{63B3BB69-23CF-44E3-9099-C40C66FF867C}">
                  <a14:compatExt spid="_x0000_s2158"/>
                </a:ext>
                <a:ext uri="{FF2B5EF4-FFF2-40B4-BE49-F238E27FC236}">
                  <a16:creationId xmlns="" xmlns:a16="http://schemas.microsoft.com/office/drawing/2014/main" id="{00000000-0008-0000-0100-00006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33</xdr:row>
          <xdr:rowOff>12700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2159" name="Button 111" hidden="1">
              <a:extLst>
                <a:ext uri="{63B3BB69-23CF-44E3-9099-C40C66FF867C}">
                  <a14:compatExt spid="_x0000_s2159"/>
                </a:ext>
                <a:ext uri="{FF2B5EF4-FFF2-40B4-BE49-F238E27FC236}">
                  <a16:creationId xmlns="" xmlns:a16="http://schemas.microsoft.com/office/drawing/2014/main" id="{00000000-0008-0000-0100-00006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34</xdr:row>
          <xdr:rowOff>12700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2160" name="Button 112" hidden="1">
              <a:extLst>
                <a:ext uri="{63B3BB69-23CF-44E3-9099-C40C66FF867C}">
                  <a14:compatExt spid="_x0000_s2160"/>
                </a:ext>
                <a:ext uri="{FF2B5EF4-FFF2-40B4-BE49-F238E27FC236}">
                  <a16:creationId xmlns="" xmlns:a16="http://schemas.microsoft.com/office/drawing/2014/main" id="{00000000-0008-0000-0100-00007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35</xdr:row>
          <xdr:rowOff>12700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2161" name="Button 113" hidden="1">
              <a:extLst>
                <a:ext uri="{63B3BB69-23CF-44E3-9099-C40C66FF867C}">
                  <a14:compatExt spid="_x0000_s2161"/>
                </a:ext>
                <a:ext uri="{FF2B5EF4-FFF2-40B4-BE49-F238E27FC236}">
                  <a16:creationId xmlns="" xmlns:a16="http://schemas.microsoft.com/office/drawing/2014/main" id="{00000000-0008-0000-0100-00007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36</xdr:row>
          <xdr:rowOff>12700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2162" name="Button 114" hidden="1">
              <a:extLst>
                <a:ext uri="{63B3BB69-23CF-44E3-9099-C40C66FF867C}">
                  <a14:compatExt spid="_x0000_s2162"/>
                </a:ext>
                <a:ext uri="{FF2B5EF4-FFF2-40B4-BE49-F238E27FC236}">
                  <a16:creationId xmlns="" xmlns:a16="http://schemas.microsoft.com/office/drawing/2014/main" id="{00000000-0008-0000-0100-00007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12700</xdr:colOff>
          <xdr:row>17</xdr:row>
          <xdr:rowOff>12700</xdr:rowOff>
        </xdr:from>
        <xdr:to>
          <xdr:col>21</xdr:col>
          <xdr:colOff>298450</xdr:colOff>
          <xdr:row>17</xdr:row>
          <xdr:rowOff>190500</xdr:rowOff>
        </xdr:to>
        <xdr:sp macro="" textlink="">
          <xdr:nvSpPr>
            <xdr:cNvPr id="2163" name="Button 115" hidden="1">
              <a:extLst>
                <a:ext uri="{63B3BB69-23CF-44E3-9099-C40C66FF867C}">
                  <a14:compatExt spid="_x0000_s2163"/>
                </a:ext>
                <a:ext uri="{FF2B5EF4-FFF2-40B4-BE49-F238E27FC236}">
                  <a16:creationId xmlns="" xmlns:a16="http://schemas.microsoft.com/office/drawing/2014/main" id="{00000000-0008-0000-0100-00007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12700</xdr:colOff>
          <xdr:row>18</xdr:row>
          <xdr:rowOff>0</xdr:rowOff>
        </xdr:from>
        <xdr:to>
          <xdr:col>25</xdr:col>
          <xdr:colOff>374650</xdr:colOff>
          <xdr:row>19</xdr:row>
          <xdr:rowOff>0</xdr:rowOff>
        </xdr:to>
        <xdr:sp macro="" textlink="">
          <xdr:nvSpPr>
            <xdr:cNvPr id="2164" name="Button 116" hidden="1">
              <a:extLst>
                <a:ext uri="{63B3BB69-23CF-44E3-9099-C40C66FF867C}">
                  <a14:compatExt spid="_x0000_s2164"/>
                </a:ext>
                <a:ext uri="{FF2B5EF4-FFF2-40B4-BE49-F238E27FC236}">
                  <a16:creationId xmlns="" xmlns:a16="http://schemas.microsoft.com/office/drawing/2014/main" id="{00000000-0008-0000-0100-00007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12700</xdr:colOff>
          <xdr:row>18</xdr:row>
          <xdr:rowOff>12700</xdr:rowOff>
        </xdr:from>
        <xdr:to>
          <xdr:col>21</xdr:col>
          <xdr:colOff>298450</xdr:colOff>
          <xdr:row>18</xdr:row>
          <xdr:rowOff>190500</xdr:rowOff>
        </xdr:to>
        <xdr:sp macro="" textlink="">
          <xdr:nvSpPr>
            <xdr:cNvPr id="2165" name="Button 117" hidden="1">
              <a:extLst>
                <a:ext uri="{63B3BB69-23CF-44E3-9099-C40C66FF867C}">
                  <a14:compatExt spid="_x0000_s2165"/>
                </a:ext>
                <a:ext uri="{FF2B5EF4-FFF2-40B4-BE49-F238E27FC236}">
                  <a16:creationId xmlns="" xmlns:a16="http://schemas.microsoft.com/office/drawing/2014/main" id="{00000000-0008-0000-0100-00007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12700</xdr:colOff>
          <xdr:row>19</xdr:row>
          <xdr:rowOff>0</xdr:rowOff>
        </xdr:from>
        <xdr:to>
          <xdr:col>25</xdr:col>
          <xdr:colOff>374650</xdr:colOff>
          <xdr:row>20</xdr:row>
          <xdr:rowOff>0</xdr:rowOff>
        </xdr:to>
        <xdr:sp macro="" textlink="">
          <xdr:nvSpPr>
            <xdr:cNvPr id="2166" name="Button 118" hidden="1">
              <a:extLst>
                <a:ext uri="{63B3BB69-23CF-44E3-9099-C40C66FF867C}">
                  <a14:compatExt spid="_x0000_s2166"/>
                </a:ext>
                <a:ext uri="{FF2B5EF4-FFF2-40B4-BE49-F238E27FC236}">
                  <a16:creationId xmlns="" xmlns:a16="http://schemas.microsoft.com/office/drawing/2014/main" id="{00000000-0008-0000-0100-00007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12700</xdr:colOff>
          <xdr:row>19</xdr:row>
          <xdr:rowOff>12700</xdr:rowOff>
        </xdr:from>
        <xdr:to>
          <xdr:col>21</xdr:col>
          <xdr:colOff>298450</xdr:colOff>
          <xdr:row>19</xdr:row>
          <xdr:rowOff>190500</xdr:rowOff>
        </xdr:to>
        <xdr:sp macro="" textlink="">
          <xdr:nvSpPr>
            <xdr:cNvPr id="2167" name="Button 119" hidden="1">
              <a:extLst>
                <a:ext uri="{63B3BB69-23CF-44E3-9099-C40C66FF867C}">
                  <a14:compatExt spid="_x0000_s2167"/>
                </a:ext>
                <a:ext uri="{FF2B5EF4-FFF2-40B4-BE49-F238E27FC236}">
                  <a16:creationId xmlns="" xmlns:a16="http://schemas.microsoft.com/office/drawing/2014/main" id="{00000000-0008-0000-0100-00007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12700</xdr:colOff>
          <xdr:row>19</xdr:row>
          <xdr:rowOff>0</xdr:rowOff>
        </xdr:from>
        <xdr:to>
          <xdr:col>25</xdr:col>
          <xdr:colOff>374650</xdr:colOff>
          <xdr:row>20</xdr:row>
          <xdr:rowOff>0</xdr:rowOff>
        </xdr:to>
        <xdr:sp macro="" textlink="">
          <xdr:nvSpPr>
            <xdr:cNvPr id="2168" name="Button 120" hidden="1">
              <a:extLst>
                <a:ext uri="{63B3BB69-23CF-44E3-9099-C40C66FF867C}">
                  <a14:compatExt spid="_x0000_s2168"/>
                </a:ext>
                <a:ext uri="{FF2B5EF4-FFF2-40B4-BE49-F238E27FC236}">
                  <a16:creationId xmlns="" xmlns:a16="http://schemas.microsoft.com/office/drawing/2014/main" id="{00000000-0008-0000-0100-00007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12700</xdr:colOff>
          <xdr:row>19</xdr:row>
          <xdr:rowOff>12700</xdr:rowOff>
        </xdr:from>
        <xdr:to>
          <xdr:col>21</xdr:col>
          <xdr:colOff>298450</xdr:colOff>
          <xdr:row>19</xdr:row>
          <xdr:rowOff>190500</xdr:rowOff>
        </xdr:to>
        <xdr:sp macro="" textlink="">
          <xdr:nvSpPr>
            <xdr:cNvPr id="2169" name="Button 121" hidden="1">
              <a:extLst>
                <a:ext uri="{63B3BB69-23CF-44E3-9099-C40C66FF867C}">
                  <a14:compatExt spid="_x0000_s2169"/>
                </a:ext>
                <a:ext uri="{FF2B5EF4-FFF2-40B4-BE49-F238E27FC236}">
                  <a16:creationId xmlns="" xmlns:a16="http://schemas.microsoft.com/office/drawing/2014/main" id="{00000000-0008-0000-0100-00007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12700</xdr:colOff>
          <xdr:row>20</xdr:row>
          <xdr:rowOff>12700</xdr:rowOff>
        </xdr:from>
        <xdr:to>
          <xdr:col>21</xdr:col>
          <xdr:colOff>298450</xdr:colOff>
          <xdr:row>20</xdr:row>
          <xdr:rowOff>190500</xdr:rowOff>
        </xdr:to>
        <xdr:sp macro="" textlink="">
          <xdr:nvSpPr>
            <xdr:cNvPr id="2170" name="Button 122" hidden="1">
              <a:extLst>
                <a:ext uri="{63B3BB69-23CF-44E3-9099-C40C66FF867C}">
                  <a14:compatExt spid="_x0000_s2170"/>
                </a:ext>
                <a:ext uri="{FF2B5EF4-FFF2-40B4-BE49-F238E27FC236}">
                  <a16:creationId xmlns="" xmlns:a16="http://schemas.microsoft.com/office/drawing/2014/main" id="{00000000-0008-0000-0100-00007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12700</xdr:colOff>
          <xdr:row>21</xdr:row>
          <xdr:rowOff>12700</xdr:rowOff>
        </xdr:from>
        <xdr:to>
          <xdr:col>21</xdr:col>
          <xdr:colOff>298450</xdr:colOff>
          <xdr:row>21</xdr:row>
          <xdr:rowOff>190500</xdr:rowOff>
        </xdr:to>
        <xdr:sp macro="" textlink="">
          <xdr:nvSpPr>
            <xdr:cNvPr id="2171" name="Button 123" hidden="1">
              <a:extLst>
                <a:ext uri="{63B3BB69-23CF-44E3-9099-C40C66FF867C}">
                  <a14:compatExt spid="_x0000_s2171"/>
                </a:ext>
                <a:ext uri="{FF2B5EF4-FFF2-40B4-BE49-F238E27FC236}">
                  <a16:creationId xmlns="" xmlns:a16="http://schemas.microsoft.com/office/drawing/2014/main" id="{00000000-0008-0000-0100-00007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12700</xdr:colOff>
          <xdr:row>22</xdr:row>
          <xdr:rowOff>12700</xdr:rowOff>
        </xdr:from>
        <xdr:to>
          <xdr:col>21</xdr:col>
          <xdr:colOff>298450</xdr:colOff>
          <xdr:row>22</xdr:row>
          <xdr:rowOff>190500</xdr:rowOff>
        </xdr:to>
        <xdr:sp macro="" textlink="">
          <xdr:nvSpPr>
            <xdr:cNvPr id="2172" name="Button 124" hidden="1">
              <a:extLst>
                <a:ext uri="{63B3BB69-23CF-44E3-9099-C40C66FF867C}">
                  <a14:compatExt spid="_x0000_s2172"/>
                </a:ext>
                <a:ext uri="{FF2B5EF4-FFF2-40B4-BE49-F238E27FC236}">
                  <a16:creationId xmlns="" xmlns:a16="http://schemas.microsoft.com/office/drawing/2014/main" id="{00000000-0008-0000-0100-00007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12700</xdr:colOff>
          <xdr:row>23</xdr:row>
          <xdr:rowOff>12700</xdr:rowOff>
        </xdr:from>
        <xdr:to>
          <xdr:col>21</xdr:col>
          <xdr:colOff>298450</xdr:colOff>
          <xdr:row>23</xdr:row>
          <xdr:rowOff>190500</xdr:rowOff>
        </xdr:to>
        <xdr:sp macro="" textlink="">
          <xdr:nvSpPr>
            <xdr:cNvPr id="2173" name="Button 125" hidden="1">
              <a:extLst>
                <a:ext uri="{63B3BB69-23CF-44E3-9099-C40C66FF867C}">
                  <a14:compatExt spid="_x0000_s2173"/>
                </a:ext>
                <a:ext uri="{FF2B5EF4-FFF2-40B4-BE49-F238E27FC236}">
                  <a16:creationId xmlns="" xmlns:a16="http://schemas.microsoft.com/office/drawing/2014/main" id="{00000000-0008-0000-0100-00007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12700</xdr:colOff>
          <xdr:row>24</xdr:row>
          <xdr:rowOff>12700</xdr:rowOff>
        </xdr:from>
        <xdr:to>
          <xdr:col>21</xdr:col>
          <xdr:colOff>298450</xdr:colOff>
          <xdr:row>24</xdr:row>
          <xdr:rowOff>190500</xdr:rowOff>
        </xdr:to>
        <xdr:sp macro="" textlink="">
          <xdr:nvSpPr>
            <xdr:cNvPr id="2174" name="Button 126" hidden="1">
              <a:extLst>
                <a:ext uri="{63B3BB69-23CF-44E3-9099-C40C66FF867C}">
                  <a14:compatExt spid="_x0000_s2174"/>
                </a:ext>
                <a:ext uri="{FF2B5EF4-FFF2-40B4-BE49-F238E27FC236}">
                  <a16:creationId xmlns="" xmlns:a16="http://schemas.microsoft.com/office/drawing/2014/main" id="{00000000-0008-0000-0100-00007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12700</xdr:colOff>
          <xdr:row>25</xdr:row>
          <xdr:rowOff>12700</xdr:rowOff>
        </xdr:from>
        <xdr:to>
          <xdr:col>21</xdr:col>
          <xdr:colOff>298450</xdr:colOff>
          <xdr:row>25</xdr:row>
          <xdr:rowOff>190500</xdr:rowOff>
        </xdr:to>
        <xdr:sp macro="" textlink="">
          <xdr:nvSpPr>
            <xdr:cNvPr id="2175" name="Button 127" hidden="1">
              <a:extLst>
                <a:ext uri="{63B3BB69-23CF-44E3-9099-C40C66FF867C}">
                  <a14:compatExt spid="_x0000_s2175"/>
                </a:ext>
                <a:ext uri="{FF2B5EF4-FFF2-40B4-BE49-F238E27FC236}">
                  <a16:creationId xmlns="" xmlns:a16="http://schemas.microsoft.com/office/drawing/2014/main" id="{00000000-0008-0000-0100-00007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12700</xdr:colOff>
          <xdr:row>26</xdr:row>
          <xdr:rowOff>12700</xdr:rowOff>
        </xdr:from>
        <xdr:to>
          <xdr:col>21</xdr:col>
          <xdr:colOff>298450</xdr:colOff>
          <xdr:row>26</xdr:row>
          <xdr:rowOff>190500</xdr:rowOff>
        </xdr:to>
        <xdr:sp macro="" textlink="">
          <xdr:nvSpPr>
            <xdr:cNvPr id="2176" name="Button 128" hidden="1">
              <a:extLst>
                <a:ext uri="{63B3BB69-23CF-44E3-9099-C40C66FF867C}">
                  <a14:compatExt spid="_x0000_s2176"/>
                </a:ext>
                <a:ext uri="{FF2B5EF4-FFF2-40B4-BE49-F238E27FC236}">
                  <a16:creationId xmlns="" xmlns:a16="http://schemas.microsoft.com/office/drawing/2014/main" id="{00000000-0008-0000-0100-00008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12700</xdr:colOff>
          <xdr:row>27</xdr:row>
          <xdr:rowOff>12700</xdr:rowOff>
        </xdr:from>
        <xdr:to>
          <xdr:col>21</xdr:col>
          <xdr:colOff>298450</xdr:colOff>
          <xdr:row>27</xdr:row>
          <xdr:rowOff>190500</xdr:rowOff>
        </xdr:to>
        <xdr:sp macro="" textlink="">
          <xdr:nvSpPr>
            <xdr:cNvPr id="2177" name="Button 129" hidden="1">
              <a:extLst>
                <a:ext uri="{63B3BB69-23CF-44E3-9099-C40C66FF867C}">
                  <a14:compatExt spid="_x0000_s2177"/>
                </a:ext>
                <a:ext uri="{FF2B5EF4-FFF2-40B4-BE49-F238E27FC236}">
                  <a16:creationId xmlns="" xmlns:a16="http://schemas.microsoft.com/office/drawing/2014/main" id="{00000000-0008-0000-0100-00008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12700</xdr:colOff>
          <xdr:row>28</xdr:row>
          <xdr:rowOff>12700</xdr:rowOff>
        </xdr:from>
        <xdr:to>
          <xdr:col>21</xdr:col>
          <xdr:colOff>298450</xdr:colOff>
          <xdr:row>28</xdr:row>
          <xdr:rowOff>190500</xdr:rowOff>
        </xdr:to>
        <xdr:sp macro="" textlink="">
          <xdr:nvSpPr>
            <xdr:cNvPr id="2178" name="Button 130" hidden="1">
              <a:extLst>
                <a:ext uri="{63B3BB69-23CF-44E3-9099-C40C66FF867C}">
                  <a14:compatExt spid="_x0000_s2178"/>
                </a:ext>
                <a:ext uri="{FF2B5EF4-FFF2-40B4-BE49-F238E27FC236}">
                  <a16:creationId xmlns="" xmlns:a16="http://schemas.microsoft.com/office/drawing/2014/main" id="{00000000-0008-0000-0100-00008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12700</xdr:colOff>
          <xdr:row>29</xdr:row>
          <xdr:rowOff>12700</xdr:rowOff>
        </xdr:from>
        <xdr:to>
          <xdr:col>21</xdr:col>
          <xdr:colOff>298450</xdr:colOff>
          <xdr:row>29</xdr:row>
          <xdr:rowOff>190500</xdr:rowOff>
        </xdr:to>
        <xdr:sp macro="" textlink="">
          <xdr:nvSpPr>
            <xdr:cNvPr id="2179" name="Button 131" hidden="1">
              <a:extLst>
                <a:ext uri="{63B3BB69-23CF-44E3-9099-C40C66FF867C}">
                  <a14:compatExt spid="_x0000_s2179"/>
                </a:ext>
                <a:ext uri="{FF2B5EF4-FFF2-40B4-BE49-F238E27FC236}">
                  <a16:creationId xmlns="" xmlns:a16="http://schemas.microsoft.com/office/drawing/2014/main" id="{00000000-0008-0000-0100-00008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12700</xdr:colOff>
          <xdr:row>30</xdr:row>
          <xdr:rowOff>12700</xdr:rowOff>
        </xdr:from>
        <xdr:to>
          <xdr:col>21</xdr:col>
          <xdr:colOff>298450</xdr:colOff>
          <xdr:row>30</xdr:row>
          <xdr:rowOff>190500</xdr:rowOff>
        </xdr:to>
        <xdr:sp macro="" textlink="">
          <xdr:nvSpPr>
            <xdr:cNvPr id="2180" name="Button 132" hidden="1">
              <a:extLst>
                <a:ext uri="{63B3BB69-23CF-44E3-9099-C40C66FF867C}">
                  <a14:compatExt spid="_x0000_s2180"/>
                </a:ext>
                <a:ext uri="{FF2B5EF4-FFF2-40B4-BE49-F238E27FC236}">
                  <a16:creationId xmlns="" xmlns:a16="http://schemas.microsoft.com/office/drawing/2014/main" id="{00000000-0008-0000-0100-00008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12700</xdr:colOff>
          <xdr:row>31</xdr:row>
          <xdr:rowOff>12700</xdr:rowOff>
        </xdr:from>
        <xdr:to>
          <xdr:col>21</xdr:col>
          <xdr:colOff>298450</xdr:colOff>
          <xdr:row>31</xdr:row>
          <xdr:rowOff>190500</xdr:rowOff>
        </xdr:to>
        <xdr:sp macro="" textlink="">
          <xdr:nvSpPr>
            <xdr:cNvPr id="2181" name="Button 133" hidden="1">
              <a:extLst>
                <a:ext uri="{63B3BB69-23CF-44E3-9099-C40C66FF867C}">
                  <a14:compatExt spid="_x0000_s2181"/>
                </a:ext>
                <a:ext uri="{FF2B5EF4-FFF2-40B4-BE49-F238E27FC236}">
                  <a16:creationId xmlns="" xmlns:a16="http://schemas.microsoft.com/office/drawing/2014/main" id="{00000000-0008-0000-0100-00008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12700</xdr:colOff>
          <xdr:row>32</xdr:row>
          <xdr:rowOff>12700</xdr:rowOff>
        </xdr:from>
        <xdr:to>
          <xdr:col>21</xdr:col>
          <xdr:colOff>298450</xdr:colOff>
          <xdr:row>32</xdr:row>
          <xdr:rowOff>190500</xdr:rowOff>
        </xdr:to>
        <xdr:sp macro="" textlink="">
          <xdr:nvSpPr>
            <xdr:cNvPr id="2182" name="Button 134" hidden="1">
              <a:extLst>
                <a:ext uri="{63B3BB69-23CF-44E3-9099-C40C66FF867C}">
                  <a14:compatExt spid="_x0000_s2182"/>
                </a:ext>
                <a:ext uri="{FF2B5EF4-FFF2-40B4-BE49-F238E27FC236}">
                  <a16:creationId xmlns="" xmlns:a16="http://schemas.microsoft.com/office/drawing/2014/main" id="{00000000-0008-0000-0100-00008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12700</xdr:colOff>
          <xdr:row>33</xdr:row>
          <xdr:rowOff>12700</xdr:rowOff>
        </xdr:from>
        <xdr:to>
          <xdr:col>21</xdr:col>
          <xdr:colOff>298450</xdr:colOff>
          <xdr:row>33</xdr:row>
          <xdr:rowOff>190500</xdr:rowOff>
        </xdr:to>
        <xdr:sp macro="" textlink="">
          <xdr:nvSpPr>
            <xdr:cNvPr id="2183" name="Button 135" hidden="1">
              <a:extLst>
                <a:ext uri="{63B3BB69-23CF-44E3-9099-C40C66FF867C}">
                  <a14:compatExt spid="_x0000_s2183"/>
                </a:ext>
                <a:ext uri="{FF2B5EF4-FFF2-40B4-BE49-F238E27FC236}">
                  <a16:creationId xmlns="" xmlns:a16="http://schemas.microsoft.com/office/drawing/2014/main" id="{00000000-0008-0000-0100-00008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12700</xdr:colOff>
          <xdr:row>34</xdr:row>
          <xdr:rowOff>12700</xdr:rowOff>
        </xdr:from>
        <xdr:to>
          <xdr:col>21</xdr:col>
          <xdr:colOff>298450</xdr:colOff>
          <xdr:row>34</xdr:row>
          <xdr:rowOff>190500</xdr:rowOff>
        </xdr:to>
        <xdr:sp macro="" textlink="">
          <xdr:nvSpPr>
            <xdr:cNvPr id="2184" name="Button 136" hidden="1">
              <a:extLst>
                <a:ext uri="{63B3BB69-23CF-44E3-9099-C40C66FF867C}">
                  <a14:compatExt spid="_x0000_s2184"/>
                </a:ext>
                <a:ext uri="{FF2B5EF4-FFF2-40B4-BE49-F238E27FC236}">
                  <a16:creationId xmlns="" xmlns:a16="http://schemas.microsoft.com/office/drawing/2014/main" id="{00000000-0008-0000-0100-00008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12700</xdr:colOff>
          <xdr:row>35</xdr:row>
          <xdr:rowOff>12700</xdr:rowOff>
        </xdr:from>
        <xdr:to>
          <xdr:col>21</xdr:col>
          <xdr:colOff>298450</xdr:colOff>
          <xdr:row>35</xdr:row>
          <xdr:rowOff>190500</xdr:rowOff>
        </xdr:to>
        <xdr:sp macro="" textlink="">
          <xdr:nvSpPr>
            <xdr:cNvPr id="2185" name="Button 137" hidden="1">
              <a:extLst>
                <a:ext uri="{63B3BB69-23CF-44E3-9099-C40C66FF867C}">
                  <a14:compatExt spid="_x0000_s2185"/>
                </a:ext>
                <a:ext uri="{FF2B5EF4-FFF2-40B4-BE49-F238E27FC236}">
                  <a16:creationId xmlns="" xmlns:a16="http://schemas.microsoft.com/office/drawing/2014/main" id="{00000000-0008-0000-0100-00008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12700</xdr:colOff>
          <xdr:row>36</xdr:row>
          <xdr:rowOff>12700</xdr:rowOff>
        </xdr:from>
        <xdr:to>
          <xdr:col>21</xdr:col>
          <xdr:colOff>298450</xdr:colOff>
          <xdr:row>36</xdr:row>
          <xdr:rowOff>190500</xdr:rowOff>
        </xdr:to>
        <xdr:sp macro="" textlink="">
          <xdr:nvSpPr>
            <xdr:cNvPr id="2186" name="Button 138" hidden="1">
              <a:extLst>
                <a:ext uri="{63B3BB69-23CF-44E3-9099-C40C66FF867C}">
                  <a14:compatExt spid="_x0000_s2186"/>
                </a:ext>
                <a:ext uri="{FF2B5EF4-FFF2-40B4-BE49-F238E27FC236}">
                  <a16:creationId xmlns="" xmlns:a16="http://schemas.microsoft.com/office/drawing/2014/main" id="{00000000-0008-0000-0100-00008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2187" name="Button 139" hidden="1">
              <a:extLst>
                <a:ext uri="{63B3BB69-23CF-44E3-9099-C40C66FF867C}">
                  <a14:compatExt spid="_x0000_s2187"/>
                </a:ext>
                <a:ext uri="{FF2B5EF4-FFF2-40B4-BE49-F238E27FC236}">
                  <a16:creationId xmlns="" xmlns:a16="http://schemas.microsoft.com/office/drawing/2014/main" id="{00000000-0008-0000-0100-00008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12700</xdr:colOff>
          <xdr:row>19</xdr:row>
          <xdr:rowOff>12700</xdr:rowOff>
        </xdr:from>
        <xdr:to>
          <xdr:col>20</xdr:col>
          <xdr:colOff>12700</xdr:colOff>
          <xdr:row>19</xdr:row>
          <xdr:rowOff>190500</xdr:rowOff>
        </xdr:to>
        <xdr:sp macro="" textlink="">
          <xdr:nvSpPr>
            <xdr:cNvPr id="2188" name="Button 140" hidden="1">
              <a:extLst>
                <a:ext uri="{63B3BB69-23CF-44E3-9099-C40C66FF867C}">
                  <a14:compatExt spid="_x0000_s2188"/>
                </a:ext>
                <a:ext uri="{FF2B5EF4-FFF2-40B4-BE49-F238E27FC236}">
                  <a16:creationId xmlns="" xmlns:a16="http://schemas.microsoft.com/office/drawing/2014/main" id="{00000000-0008-0000-0100-00008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12700</xdr:rowOff>
        </xdr:from>
        <xdr:to>
          <xdr:col>20</xdr:col>
          <xdr:colOff>12700</xdr:colOff>
          <xdr:row>21</xdr:row>
          <xdr:rowOff>12700</xdr:rowOff>
        </xdr:to>
        <xdr:sp macro="" textlink="">
          <xdr:nvSpPr>
            <xdr:cNvPr id="2189" name="Button 141" hidden="1">
              <a:extLst>
                <a:ext uri="{63B3BB69-23CF-44E3-9099-C40C66FF867C}">
                  <a14:compatExt spid="_x0000_s2189"/>
                </a:ext>
                <a:ext uri="{FF2B5EF4-FFF2-40B4-BE49-F238E27FC236}">
                  <a16:creationId xmlns="" xmlns:a16="http://schemas.microsoft.com/office/drawing/2014/main" id="{00000000-0008-0000-0100-00008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12700</xdr:colOff>
          <xdr:row>21</xdr:row>
          <xdr:rowOff>12700</xdr:rowOff>
        </xdr:from>
        <xdr:to>
          <xdr:col>20</xdr:col>
          <xdr:colOff>12700</xdr:colOff>
          <xdr:row>21</xdr:row>
          <xdr:rowOff>190500</xdr:rowOff>
        </xdr:to>
        <xdr:sp macro="" textlink="">
          <xdr:nvSpPr>
            <xdr:cNvPr id="2190" name="Button 142" hidden="1">
              <a:extLst>
                <a:ext uri="{63B3BB69-23CF-44E3-9099-C40C66FF867C}">
                  <a14:compatExt spid="_x0000_s2190"/>
                </a:ext>
                <a:ext uri="{FF2B5EF4-FFF2-40B4-BE49-F238E27FC236}">
                  <a16:creationId xmlns="" xmlns:a16="http://schemas.microsoft.com/office/drawing/2014/main" id="{00000000-0008-0000-0100-00008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12700</xdr:colOff>
          <xdr:row>22</xdr:row>
          <xdr:rowOff>12700</xdr:rowOff>
        </xdr:from>
        <xdr:to>
          <xdr:col>20</xdr:col>
          <xdr:colOff>12700</xdr:colOff>
          <xdr:row>22</xdr:row>
          <xdr:rowOff>190500</xdr:rowOff>
        </xdr:to>
        <xdr:sp macro="" textlink="">
          <xdr:nvSpPr>
            <xdr:cNvPr id="2191" name="Button 143" hidden="1">
              <a:extLst>
                <a:ext uri="{63B3BB69-23CF-44E3-9099-C40C66FF867C}">
                  <a14:compatExt spid="_x0000_s2191"/>
                </a:ext>
                <a:ext uri="{FF2B5EF4-FFF2-40B4-BE49-F238E27FC236}">
                  <a16:creationId xmlns="" xmlns:a16="http://schemas.microsoft.com/office/drawing/2014/main" id="{00000000-0008-0000-0100-00008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12700</xdr:colOff>
          <xdr:row>23</xdr:row>
          <xdr:rowOff>12700</xdr:rowOff>
        </xdr:from>
        <xdr:to>
          <xdr:col>20</xdr:col>
          <xdr:colOff>12700</xdr:colOff>
          <xdr:row>24</xdr:row>
          <xdr:rowOff>12700</xdr:rowOff>
        </xdr:to>
        <xdr:sp macro="" textlink="">
          <xdr:nvSpPr>
            <xdr:cNvPr id="2192" name="Button 144" hidden="1">
              <a:extLst>
                <a:ext uri="{63B3BB69-23CF-44E3-9099-C40C66FF867C}">
                  <a14:compatExt spid="_x0000_s2192"/>
                </a:ext>
                <a:ext uri="{FF2B5EF4-FFF2-40B4-BE49-F238E27FC236}">
                  <a16:creationId xmlns="" xmlns:a16="http://schemas.microsoft.com/office/drawing/2014/main" id="{00000000-0008-0000-0100-00009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12700</xdr:colOff>
          <xdr:row>24</xdr:row>
          <xdr:rowOff>12700</xdr:rowOff>
        </xdr:from>
        <xdr:to>
          <xdr:col>20</xdr:col>
          <xdr:colOff>12700</xdr:colOff>
          <xdr:row>25</xdr:row>
          <xdr:rowOff>19050</xdr:rowOff>
        </xdr:to>
        <xdr:sp macro="" textlink="">
          <xdr:nvSpPr>
            <xdr:cNvPr id="2193" name="Button 145" hidden="1">
              <a:extLst>
                <a:ext uri="{63B3BB69-23CF-44E3-9099-C40C66FF867C}">
                  <a14:compatExt spid="_x0000_s2193"/>
                </a:ext>
                <a:ext uri="{FF2B5EF4-FFF2-40B4-BE49-F238E27FC236}">
                  <a16:creationId xmlns="" xmlns:a16="http://schemas.microsoft.com/office/drawing/2014/main" id="{00000000-0008-0000-0100-00009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12700</xdr:colOff>
          <xdr:row>25</xdr:row>
          <xdr:rowOff>12700</xdr:rowOff>
        </xdr:from>
        <xdr:to>
          <xdr:col>20</xdr:col>
          <xdr:colOff>12700</xdr:colOff>
          <xdr:row>26</xdr:row>
          <xdr:rowOff>12700</xdr:rowOff>
        </xdr:to>
        <xdr:sp macro="" textlink="">
          <xdr:nvSpPr>
            <xdr:cNvPr id="2194" name="Button 146" hidden="1">
              <a:extLst>
                <a:ext uri="{63B3BB69-23CF-44E3-9099-C40C66FF867C}">
                  <a14:compatExt spid="_x0000_s2194"/>
                </a:ext>
                <a:ext uri="{FF2B5EF4-FFF2-40B4-BE49-F238E27FC236}">
                  <a16:creationId xmlns="" xmlns:a16="http://schemas.microsoft.com/office/drawing/2014/main" id="{00000000-0008-0000-0100-00009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12700</xdr:colOff>
          <xdr:row>26</xdr:row>
          <xdr:rowOff>12700</xdr:rowOff>
        </xdr:from>
        <xdr:to>
          <xdr:col>20</xdr:col>
          <xdr:colOff>12700</xdr:colOff>
          <xdr:row>26</xdr:row>
          <xdr:rowOff>190500</xdr:rowOff>
        </xdr:to>
        <xdr:sp macro="" textlink="">
          <xdr:nvSpPr>
            <xdr:cNvPr id="2195" name="Button 147" hidden="1">
              <a:extLst>
                <a:ext uri="{63B3BB69-23CF-44E3-9099-C40C66FF867C}">
                  <a14:compatExt spid="_x0000_s2195"/>
                </a:ext>
                <a:ext uri="{FF2B5EF4-FFF2-40B4-BE49-F238E27FC236}">
                  <a16:creationId xmlns="" xmlns:a16="http://schemas.microsoft.com/office/drawing/2014/main" id="{00000000-0008-0000-0100-00009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12700</xdr:rowOff>
        </xdr:from>
        <xdr:to>
          <xdr:col>20</xdr:col>
          <xdr:colOff>12700</xdr:colOff>
          <xdr:row>28</xdr:row>
          <xdr:rowOff>50800</xdr:rowOff>
        </xdr:to>
        <xdr:sp macro="" textlink="">
          <xdr:nvSpPr>
            <xdr:cNvPr id="2196" name="Button 148" hidden="1">
              <a:extLst>
                <a:ext uri="{63B3BB69-23CF-44E3-9099-C40C66FF867C}">
                  <a14:compatExt spid="_x0000_s2196"/>
                </a:ext>
                <a:ext uri="{FF2B5EF4-FFF2-40B4-BE49-F238E27FC236}">
                  <a16:creationId xmlns="" xmlns:a16="http://schemas.microsoft.com/office/drawing/2014/main" id="{00000000-0008-0000-0100-00009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12700</xdr:rowOff>
        </xdr:from>
        <xdr:to>
          <xdr:col>20</xdr:col>
          <xdr:colOff>12700</xdr:colOff>
          <xdr:row>29</xdr:row>
          <xdr:rowOff>12700</xdr:rowOff>
        </xdr:to>
        <xdr:sp macro="" textlink="">
          <xdr:nvSpPr>
            <xdr:cNvPr id="2197" name="Button 149" hidden="1">
              <a:extLst>
                <a:ext uri="{63B3BB69-23CF-44E3-9099-C40C66FF867C}">
                  <a14:compatExt spid="_x0000_s2197"/>
                </a:ext>
                <a:ext uri="{FF2B5EF4-FFF2-40B4-BE49-F238E27FC236}">
                  <a16:creationId xmlns="" xmlns:a16="http://schemas.microsoft.com/office/drawing/2014/main" id="{00000000-0008-0000-0100-00009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31750</xdr:colOff>
          <xdr:row>29</xdr:row>
          <xdr:rowOff>12700</xdr:rowOff>
        </xdr:from>
        <xdr:to>
          <xdr:col>20</xdr:col>
          <xdr:colOff>12700</xdr:colOff>
          <xdr:row>30</xdr:row>
          <xdr:rowOff>31750</xdr:rowOff>
        </xdr:to>
        <xdr:sp macro="" textlink="">
          <xdr:nvSpPr>
            <xdr:cNvPr id="2198" name="Button 150" hidden="1">
              <a:extLst>
                <a:ext uri="{63B3BB69-23CF-44E3-9099-C40C66FF867C}">
                  <a14:compatExt spid="_x0000_s2198"/>
                </a:ext>
                <a:ext uri="{FF2B5EF4-FFF2-40B4-BE49-F238E27FC236}">
                  <a16:creationId xmlns="" xmlns:a16="http://schemas.microsoft.com/office/drawing/2014/main" id="{00000000-0008-0000-0100-00009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12700</xdr:rowOff>
        </xdr:from>
        <xdr:to>
          <xdr:col>20</xdr:col>
          <xdr:colOff>12700</xdr:colOff>
          <xdr:row>31</xdr:row>
          <xdr:rowOff>0</xdr:rowOff>
        </xdr:to>
        <xdr:sp macro="" textlink="">
          <xdr:nvSpPr>
            <xdr:cNvPr id="2199" name="Button 151" hidden="1">
              <a:extLst>
                <a:ext uri="{63B3BB69-23CF-44E3-9099-C40C66FF867C}">
                  <a14:compatExt spid="_x0000_s2199"/>
                </a:ext>
                <a:ext uri="{FF2B5EF4-FFF2-40B4-BE49-F238E27FC236}">
                  <a16:creationId xmlns="" xmlns:a16="http://schemas.microsoft.com/office/drawing/2014/main" id="{00000000-0008-0000-0100-00009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12700</xdr:colOff>
          <xdr:row>31</xdr:row>
          <xdr:rowOff>12700</xdr:rowOff>
        </xdr:from>
        <xdr:to>
          <xdr:col>20</xdr:col>
          <xdr:colOff>12700</xdr:colOff>
          <xdr:row>32</xdr:row>
          <xdr:rowOff>0</xdr:rowOff>
        </xdr:to>
        <xdr:sp macro="" textlink="">
          <xdr:nvSpPr>
            <xdr:cNvPr id="2200" name="Button 152" hidden="1">
              <a:extLst>
                <a:ext uri="{63B3BB69-23CF-44E3-9099-C40C66FF867C}">
                  <a14:compatExt spid="_x0000_s2200"/>
                </a:ext>
                <a:ext uri="{FF2B5EF4-FFF2-40B4-BE49-F238E27FC236}">
                  <a16:creationId xmlns="" xmlns:a16="http://schemas.microsoft.com/office/drawing/2014/main" id="{00000000-0008-0000-0100-00009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12700</xdr:colOff>
          <xdr:row>32</xdr:row>
          <xdr:rowOff>12700</xdr:rowOff>
        </xdr:from>
        <xdr:to>
          <xdr:col>20</xdr:col>
          <xdr:colOff>12700</xdr:colOff>
          <xdr:row>33</xdr:row>
          <xdr:rowOff>12700</xdr:rowOff>
        </xdr:to>
        <xdr:sp macro="" textlink="">
          <xdr:nvSpPr>
            <xdr:cNvPr id="2201" name="Button 153" hidden="1">
              <a:extLst>
                <a:ext uri="{63B3BB69-23CF-44E3-9099-C40C66FF867C}">
                  <a14:compatExt spid="_x0000_s2201"/>
                </a:ext>
                <a:ext uri="{FF2B5EF4-FFF2-40B4-BE49-F238E27FC236}">
                  <a16:creationId xmlns="" xmlns:a16="http://schemas.microsoft.com/office/drawing/2014/main" id="{00000000-0008-0000-0100-00009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12700</xdr:colOff>
          <xdr:row>33</xdr:row>
          <xdr:rowOff>12700</xdr:rowOff>
        </xdr:from>
        <xdr:to>
          <xdr:col>20</xdr:col>
          <xdr:colOff>12700</xdr:colOff>
          <xdr:row>34</xdr:row>
          <xdr:rowOff>19050</xdr:rowOff>
        </xdr:to>
        <xdr:sp macro="" textlink="">
          <xdr:nvSpPr>
            <xdr:cNvPr id="2202" name="Button 154" hidden="1">
              <a:extLst>
                <a:ext uri="{63B3BB69-23CF-44E3-9099-C40C66FF867C}">
                  <a14:compatExt spid="_x0000_s2202"/>
                </a:ext>
                <a:ext uri="{FF2B5EF4-FFF2-40B4-BE49-F238E27FC236}">
                  <a16:creationId xmlns="" xmlns:a16="http://schemas.microsoft.com/office/drawing/2014/main" id="{00000000-0008-0000-0100-00009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12700</xdr:rowOff>
        </xdr:from>
        <xdr:to>
          <xdr:col>20</xdr:col>
          <xdr:colOff>12700</xdr:colOff>
          <xdr:row>35</xdr:row>
          <xdr:rowOff>12700</xdr:rowOff>
        </xdr:to>
        <xdr:sp macro="" textlink="">
          <xdr:nvSpPr>
            <xdr:cNvPr id="2203" name="Button 155" hidden="1">
              <a:extLst>
                <a:ext uri="{63B3BB69-23CF-44E3-9099-C40C66FF867C}">
                  <a14:compatExt spid="_x0000_s2203"/>
                </a:ext>
                <a:ext uri="{FF2B5EF4-FFF2-40B4-BE49-F238E27FC236}">
                  <a16:creationId xmlns="" xmlns:a16="http://schemas.microsoft.com/office/drawing/2014/main" id="{00000000-0008-0000-0100-00009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12700</xdr:colOff>
          <xdr:row>35</xdr:row>
          <xdr:rowOff>12700</xdr:rowOff>
        </xdr:from>
        <xdr:to>
          <xdr:col>20</xdr:col>
          <xdr:colOff>12700</xdr:colOff>
          <xdr:row>36</xdr:row>
          <xdr:rowOff>12700</xdr:rowOff>
        </xdr:to>
        <xdr:sp macro="" textlink="">
          <xdr:nvSpPr>
            <xdr:cNvPr id="2204" name="Button 156" hidden="1">
              <a:extLst>
                <a:ext uri="{63B3BB69-23CF-44E3-9099-C40C66FF867C}">
                  <a14:compatExt spid="_x0000_s2204"/>
                </a:ext>
                <a:ext uri="{FF2B5EF4-FFF2-40B4-BE49-F238E27FC236}">
                  <a16:creationId xmlns="" xmlns:a16="http://schemas.microsoft.com/office/drawing/2014/main" id="{00000000-0008-0000-0100-00009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12700</xdr:colOff>
          <xdr:row>36</xdr:row>
          <xdr:rowOff>12700</xdr:rowOff>
        </xdr:from>
        <xdr:to>
          <xdr:col>20</xdr:col>
          <xdr:colOff>12700</xdr:colOff>
          <xdr:row>37</xdr:row>
          <xdr:rowOff>12700</xdr:rowOff>
        </xdr:to>
        <xdr:sp macro="" textlink="">
          <xdr:nvSpPr>
            <xdr:cNvPr id="2205" name="Button 157" hidden="1">
              <a:extLst>
                <a:ext uri="{63B3BB69-23CF-44E3-9099-C40C66FF867C}">
                  <a14:compatExt spid="_x0000_s2205"/>
                </a:ext>
                <a:ext uri="{FF2B5EF4-FFF2-40B4-BE49-F238E27FC236}">
                  <a16:creationId xmlns="" xmlns:a16="http://schemas.microsoft.com/office/drawing/2014/main" id="{00000000-0008-0000-0100-00009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18</xdr:row>
          <xdr:rowOff>0</xdr:rowOff>
        </xdr:from>
        <xdr:to>
          <xdr:col>13</xdr:col>
          <xdr:colOff>12700</xdr:colOff>
          <xdr:row>19</xdr:row>
          <xdr:rowOff>0</xdr:rowOff>
        </xdr:to>
        <xdr:sp macro="" textlink="">
          <xdr:nvSpPr>
            <xdr:cNvPr id="2206" name="Button 158" hidden="1">
              <a:extLst>
                <a:ext uri="{63B3BB69-23CF-44E3-9099-C40C66FF867C}">
                  <a14:compatExt spid="_x0000_s2206"/>
                </a:ext>
                <a:ext uri="{FF2B5EF4-FFF2-40B4-BE49-F238E27FC236}">
                  <a16:creationId xmlns="" xmlns:a16="http://schemas.microsoft.com/office/drawing/2014/main" id="{00000000-0008-0000-0100-00009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19</xdr:row>
          <xdr:rowOff>0</xdr:rowOff>
        </xdr:from>
        <xdr:to>
          <xdr:col>13</xdr:col>
          <xdr:colOff>12700</xdr:colOff>
          <xdr:row>20</xdr:row>
          <xdr:rowOff>0</xdr:rowOff>
        </xdr:to>
        <xdr:sp macro="" textlink="">
          <xdr:nvSpPr>
            <xdr:cNvPr id="2207" name="Button 159" hidden="1">
              <a:extLst>
                <a:ext uri="{63B3BB69-23CF-44E3-9099-C40C66FF867C}">
                  <a14:compatExt spid="_x0000_s2207"/>
                </a:ext>
                <a:ext uri="{FF2B5EF4-FFF2-40B4-BE49-F238E27FC236}">
                  <a16:creationId xmlns="" xmlns:a16="http://schemas.microsoft.com/office/drawing/2014/main" id="{00000000-0008-0000-0100-00009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20</xdr:row>
          <xdr:rowOff>0</xdr:rowOff>
        </xdr:from>
        <xdr:to>
          <xdr:col>13</xdr:col>
          <xdr:colOff>12700</xdr:colOff>
          <xdr:row>21</xdr:row>
          <xdr:rowOff>0</xdr:rowOff>
        </xdr:to>
        <xdr:sp macro="" textlink="">
          <xdr:nvSpPr>
            <xdr:cNvPr id="2208" name="Button 160" hidden="1">
              <a:extLst>
                <a:ext uri="{63B3BB69-23CF-44E3-9099-C40C66FF867C}">
                  <a14:compatExt spid="_x0000_s2208"/>
                </a:ext>
                <a:ext uri="{FF2B5EF4-FFF2-40B4-BE49-F238E27FC236}">
                  <a16:creationId xmlns="" xmlns:a16="http://schemas.microsoft.com/office/drawing/2014/main" id="{00000000-0008-0000-0100-0000A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21</xdr:row>
          <xdr:rowOff>0</xdr:rowOff>
        </xdr:from>
        <xdr:to>
          <xdr:col>13</xdr:col>
          <xdr:colOff>12700</xdr:colOff>
          <xdr:row>22</xdr:row>
          <xdr:rowOff>0</xdr:rowOff>
        </xdr:to>
        <xdr:sp macro="" textlink="">
          <xdr:nvSpPr>
            <xdr:cNvPr id="2209" name="Button 161" hidden="1">
              <a:extLst>
                <a:ext uri="{63B3BB69-23CF-44E3-9099-C40C66FF867C}">
                  <a14:compatExt spid="_x0000_s2209"/>
                </a:ext>
                <a:ext uri="{FF2B5EF4-FFF2-40B4-BE49-F238E27FC236}">
                  <a16:creationId xmlns="" xmlns:a16="http://schemas.microsoft.com/office/drawing/2014/main" id="{00000000-0008-0000-0100-0000A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22</xdr:row>
          <xdr:rowOff>0</xdr:rowOff>
        </xdr:from>
        <xdr:to>
          <xdr:col>13</xdr:col>
          <xdr:colOff>12700</xdr:colOff>
          <xdr:row>23</xdr:row>
          <xdr:rowOff>0</xdr:rowOff>
        </xdr:to>
        <xdr:sp macro="" textlink="">
          <xdr:nvSpPr>
            <xdr:cNvPr id="2210" name="Button 162" hidden="1">
              <a:extLst>
                <a:ext uri="{63B3BB69-23CF-44E3-9099-C40C66FF867C}">
                  <a14:compatExt spid="_x0000_s2210"/>
                </a:ext>
                <a:ext uri="{FF2B5EF4-FFF2-40B4-BE49-F238E27FC236}">
                  <a16:creationId xmlns="" xmlns:a16="http://schemas.microsoft.com/office/drawing/2014/main" id="{00000000-0008-0000-0100-0000A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23</xdr:row>
          <xdr:rowOff>0</xdr:rowOff>
        </xdr:from>
        <xdr:to>
          <xdr:col>13</xdr:col>
          <xdr:colOff>12700</xdr:colOff>
          <xdr:row>24</xdr:row>
          <xdr:rowOff>0</xdr:rowOff>
        </xdr:to>
        <xdr:sp macro="" textlink="">
          <xdr:nvSpPr>
            <xdr:cNvPr id="2211" name="Button 163" hidden="1">
              <a:extLst>
                <a:ext uri="{63B3BB69-23CF-44E3-9099-C40C66FF867C}">
                  <a14:compatExt spid="_x0000_s2211"/>
                </a:ext>
                <a:ext uri="{FF2B5EF4-FFF2-40B4-BE49-F238E27FC236}">
                  <a16:creationId xmlns="" xmlns:a16="http://schemas.microsoft.com/office/drawing/2014/main" id="{00000000-0008-0000-0100-0000A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24</xdr:row>
          <xdr:rowOff>0</xdr:rowOff>
        </xdr:from>
        <xdr:to>
          <xdr:col>13</xdr:col>
          <xdr:colOff>12700</xdr:colOff>
          <xdr:row>25</xdr:row>
          <xdr:rowOff>0</xdr:rowOff>
        </xdr:to>
        <xdr:sp macro="" textlink="">
          <xdr:nvSpPr>
            <xdr:cNvPr id="2212" name="Button 164" hidden="1">
              <a:extLst>
                <a:ext uri="{63B3BB69-23CF-44E3-9099-C40C66FF867C}">
                  <a14:compatExt spid="_x0000_s2212"/>
                </a:ext>
                <a:ext uri="{FF2B5EF4-FFF2-40B4-BE49-F238E27FC236}">
                  <a16:creationId xmlns="" xmlns:a16="http://schemas.microsoft.com/office/drawing/2014/main" id="{00000000-0008-0000-0100-0000A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25</xdr:row>
          <xdr:rowOff>0</xdr:rowOff>
        </xdr:from>
        <xdr:to>
          <xdr:col>13</xdr:col>
          <xdr:colOff>12700</xdr:colOff>
          <xdr:row>26</xdr:row>
          <xdr:rowOff>0</xdr:rowOff>
        </xdr:to>
        <xdr:sp macro="" textlink="">
          <xdr:nvSpPr>
            <xdr:cNvPr id="2213" name="Button 165" hidden="1">
              <a:extLst>
                <a:ext uri="{63B3BB69-23CF-44E3-9099-C40C66FF867C}">
                  <a14:compatExt spid="_x0000_s2213"/>
                </a:ext>
                <a:ext uri="{FF2B5EF4-FFF2-40B4-BE49-F238E27FC236}">
                  <a16:creationId xmlns="" xmlns:a16="http://schemas.microsoft.com/office/drawing/2014/main" id="{00000000-0008-0000-0100-0000A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26</xdr:row>
          <xdr:rowOff>0</xdr:rowOff>
        </xdr:from>
        <xdr:to>
          <xdr:col>13</xdr:col>
          <xdr:colOff>12700</xdr:colOff>
          <xdr:row>27</xdr:row>
          <xdr:rowOff>0</xdr:rowOff>
        </xdr:to>
        <xdr:sp macro="" textlink="">
          <xdr:nvSpPr>
            <xdr:cNvPr id="2214" name="Button 166" hidden="1">
              <a:extLst>
                <a:ext uri="{63B3BB69-23CF-44E3-9099-C40C66FF867C}">
                  <a14:compatExt spid="_x0000_s2214"/>
                </a:ext>
                <a:ext uri="{FF2B5EF4-FFF2-40B4-BE49-F238E27FC236}">
                  <a16:creationId xmlns="" xmlns:a16="http://schemas.microsoft.com/office/drawing/2014/main" id="{00000000-0008-0000-0100-0000A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27</xdr:row>
          <xdr:rowOff>0</xdr:rowOff>
        </xdr:from>
        <xdr:to>
          <xdr:col>13</xdr:col>
          <xdr:colOff>12700</xdr:colOff>
          <xdr:row>28</xdr:row>
          <xdr:rowOff>0</xdr:rowOff>
        </xdr:to>
        <xdr:sp macro="" textlink="">
          <xdr:nvSpPr>
            <xdr:cNvPr id="2215" name="Button 167" hidden="1">
              <a:extLst>
                <a:ext uri="{63B3BB69-23CF-44E3-9099-C40C66FF867C}">
                  <a14:compatExt spid="_x0000_s2215"/>
                </a:ext>
                <a:ext uri="{FF2B5EF4-FFF2-40B4-BE49-F238E27FC236}">
                  <a16:creationId xmlns="" xmlns:a16="http://schemas.microsoft.com/office/drawing/2014/main" id="{00000000-0008-0000-0100-0000A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28</xdr:row>
          <xdr:rowOff>0</xdr:rowOff>
        </xdr:from>
        <xdr:to>
          <xdr:col>13</xdr:col>
          <xdr:colOff>12700</xdr:colOff>
          <xdr:row>29</xdr:row>
          <xdr:rowOff>0</xdr:rowOff>
        </xdr:to>
        <xdr:sp macro="" textlink="">
          <xdr:nvSpPr>
            <xdr:cNvPr id="2216" name="Button 168" hidden="1">
              <a:extLst>
                <a:ext uri="{63B3BB69-23CF-44E3-9099-C40C66FF867C}">
                  <a14:compatExt spid="_x0000_s2216"/>
                </a:ext>
                <a:ext uri="{FF2B5EF4-FFF2-40B4-BE49-F238E27FC236}">
                  <a16:creationId xmlns="" xmlns:a16="http://schemas.microsoft.com/office/drawing/2014/main" id="{00000000-0008-0000-0100-0000A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29</xdr:row>
          <xdr:rowOff>0</xdr:rowOff>
        </xdr:from>
        <xdr:to>
          <xdr:col>13</xdr:col>
          <xdr:colOff>12700</xdr:colOff>
          <xdr:row>30</xdr:row>
          <xdr:rowOff>0</xdr:rowOff>
        </xdr:to>
        <xdr:sp macro="" textlink="">
          <xdr:nvSpPr>
            <xdr:cNvPr id="2217" name="Button 169" hidden="1">
              <a:extLst>
                <a:ext uri="{63B3BB69-23CF-44E3-9099-C40C66FF867C}">
                  <a14:compatExt spid="_x0000_s2217"/>
                </a:ext>
                <a:ext uri="{FF2B5EF4-FFF2-40B4-BE49-F238E27FC236}">
                  <a16:creationId xmlns="" xmlns:a16="http://schemas.microsoft.com/office/drawing/2014/main" id="{00000000-0008-0000-0100-0000A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30</xdr:row>
          <xdr:rowOff>0</xdr:rowOff>
        </xdr:from>
        <xdr:to>
          <xdr:col>13</xdr:col>
          <xdr:colOff>12700</xdr:colOff>
          <xdr:row>31</xdr:row>
          <xdr:rowOff>0</xdr:rowOff>
        </xdr:to>
        <xdr:sp macro="" textlink="">
          <xdr:nvSpPr>
            <xdr:cNvPr id="2218" name="Button 170" hidden="1">
              <a:extLst>
                <a:ext uri="{63B3BB69-23CF-44E3-9099-C40C66FF867C}">
                  <a14:compatExt spid="_x0000_s2218"/>
                </a:ext>
                <a:ext uri="{FF2B5EF4-FFF2-40B4-BE49-F238E27FC236}">
                  <a16:creationId xmlns="" xmlns:a16="http://schemas.microsoft.com/office/drawing/2014/main" id="{00000000-0008-0000-0100-0000A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31</xdr:row>
          <xdr:rowOff>0</xdr:rowOff>
        </xdr:from>
        <xdr:to>
          <xdr:col>13</xdr:col>
          <xdr:colOff>12700</xdr:colOff>
          <xdr:row>32</xdr:row>
          <xdr:rowOff>0</xdr:rowOff>
        </xdr:to>
        <xdr:sp macro="" textlink="">
          <xdr:nvSpPr>
            <xdr:cNvPr id="2219" name="Button 171" hidden="1">
              <a:extLst>
                <a:ext uri="{63B3BB69-23CF-44E3-9099-C40C66FF867C}">
                  <a14:compatExt spid="_x0000_s2219"/>
                </a:ext>
                <a:ext uri="{FF2B5EF4-FFF2-40B4-BE49-F238E27FC236}">
                  <a16:creationId xmlns="" xmlns:a16="http://schemas.microsoft.com/office/drawing/2014/main" id="{00000000-0008-0000-0100-0000A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32</xdr:row>
          <xdr:rowOff>0</xdr:rowOff>
        </xdr:from>
        <xdr:to>
          <xdr:col>13</xdr:col>
          <xdr:colOff>12700</xdr:colOff>
          <xdr:row>33</xdr:row>
          <xdr:rowOff>0</xdr:rowOff>
        </xdr:to>
        <xdr:sp macro="" textlink="">
          <xdr:nvSpPr>
            <xdr:cNvPr id="2220" name="Button 172" hidden="1">
              <a:extLst>
                <a:ext uri="{63B3BB69-23CF-44E3-9099-C40C66FF867C}">
                  <a14:compatExt spid="_x0000_s2220"/>
                </a:ext>
                <a:ext uri="{FF2B5EF4-FFF2-40B4-BE49-F238E27FC236}">
                  <a16:creationId xmlns="" xmlns:a16="http://schemas.microsoft.com/office/drawing/2014/main" id="{00000000-0008-0000-0100-0000A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33</xdr:row>
          <xdr:rowOff>0</xdr:rowOff>
        </xdr:from>
        <xdr:to>
          <xdr:col>13</xdr:col>
          <xdr:colOff>12700</xdr:colOff>
          <xdr:row>34</xdr:row>
          <xdr:rowOff>0</xdr:rowOff>
        </xdr:to>
        <xdr:sp macro="" textlink="">
          <xdr:nvSpPr>
            <xdr:cNvPr id="2221" name="Button 173" hidden="1">
              <a:extLst>
                <a:ext uri="{63B3BB69-23CF-44E3-9099-C40C66FF867C}">
                  <a14:compatExt spid="_x0000_s2221"/>
                </a:ext>
                <a:ext uri="{FF2B5EF4-FFF2-40B4-BE49-F238E27FC236}">
                  <a16:creationId xmlns="" xmlns:a16="http://schemas.microsoft.com/office/drawing/2014/main" id="{00000000-0008-0000-0100-0000A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34</xdr:row>
          <xdr:rowOff>0</xdr:rowOff>
        </xdr:from>
        <xdr:to>
          <xdr:col>13</xdr:col>
          <xdr:colOff>12700</xdr:colOff>
          <xdr:row>35</xdr:row>
          <xdr:rowOff>0</xdr:rowOff>
        </xdr:to>
        <xdr:sp macro="" textlink="">
          <xdr:nvSpPr>
            <xdr:cNvPr id="2222" name="Button 174" hidden="1">
              <a:extLst>
                <a:ext uri="{63B3BB69-23CF-44E3-9099-C40C66FF867C}">
                  <a14:compatExt spid="_x0000_s2222"/>
                </a:ext>
                <a:ext uri="{FF2B5EF4-FFF2-40B4-BE49-F238E27FC236}">
                  <a16:creationId xmlns="" xmlns:a16="http://schemas.microsoft.com/office/drawing/2014/main" id="{00000000-0008-0000-0100-0000A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35</xdr:row>
          <xdr:rowOff>0</xdr:rowOff>
        </xdr:from>
        <xdr:to>
          <xdr:col>13</xdr:col>
          <xdr:colOff>12700</xdr:colOff>
          <xdr:row>36</xdr:row>
          <xdr:rowOff>0</xdr:rowOff>
        </xdr:to>
        <xdr:sp macro="" textlink="">
          <xdr:nvSpPr>
            <xdr:cNvPr id="2223" name="Button 175" hidden="1">
              <a:extLst>
                <a:ext uri="{63B3BB69-23CF-44E3-9099-C40C66FF867C}">
                  <a14:compatExt spid="_x0000_s2223"/>
                </a:ext>
                <a:ext uri="{FF2B5EF4-FFF2-40B4-BE49-F238E27FC236}">
                  <a16:creationId xmlns="" xmlns:a16="http://schemas.microsoft.com/office/drawing/2014/main" id="{00000000-0008-0000-0100-0000A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36</xdr:row>
          <xdr:rowOff>0</xdr:rowOff>
        </xdr:from>
        <xdr:to>
          <xdr:col>13</xdr:col>
          <xdr:colOff>12700</xdr:colOff>
          <xdr:row>37</xdr:row>
          <xdr:rowOff>0</xdr:rowOff>
        </xdr:to>
        <xdr:sp macro="" textlink="">
          <xdr:nvSpPr>
            <xdr:cNvPr id="2224" name="Button 176" hidden="1">
              <a:extLst>
                <a:ext uri="{63B3BB69-23CF-44E3-9099-C40C66FF867C}">
                  <a14:compatExt spid="_x0000_s2224"/>
                </a:ext>
                <a:ext uri="{FF2B5EF4-FFF2-40B4-BE49-F238E27FC236}">
                  <a16:creationId xmlns="" xmlns:a16="http://schemas.microsoft.com/office/drawing/2014/main" id="{00000000-0008-0000-0100-0000B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12700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2225" name="Button 177" hidden="1">
              <a:extLst>
                <a:ext uri="{63B3BB69-23CF-44E3-9099-C40C66FF867C}">
                  <a14:compatExt spid="_x0000_s2225"/>
                </a:ext>
                <a:ext uri="{FF2B5EF4-FFF2-40B4-BE49-F238E27FC236}">
                  <a16:creationId xmlns="" xmlns:a16="http://schemas.microsoft.com/office/drawing/2014/main" id="{00000000-0008-0000-0100-0000B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12700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2226" name="Button 178" hidden="1">
              <a:extLst>
                <a:ext uri="{63B3BB69-23CF-44E3-9099-C40C66FF867C}">
                  <a14:compatExt spid="_x0000_s2226"/>
                </a:ext>
                <a:ext uri="{FF2B5EF4-FFF2-40B4-BE49-F238E27FC236}">
                  <a16:creationId xmlns="" xmlns:a16="http://schemas.microsoft.com/office/drawing/2014/main" id="{00000000-0008-0000-0100-0000B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12700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2227" name="Button 179" hidden="1">
              <a:extLst>
                <a:ext uri="{63B3BB69-23CF-44E3-9099-C40C66FF867C}">
                  <a14:compatExt spid="_x0000_s2227"/>
                </a:ext>
                <a:ext uri="{FF2B5EF4-FFF2-40B4-BE49-F238E27FC236}">
                  <a16:creationId xmlns="" xmlns:a16="http://schemas.microsoft.com/office/drawing/2014/main" id="{00000000-0008-0000-0100-0000B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12700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2228" name="Button 180" hidden="1">
              <a:extLst>
                <a:ext uri="{63B3BB69-23CF-44E3-9099-C40C66FF867C}">
                  <a14:compatExt spid="_x0000_s2228"/>
                </a:ext>
                <a:ext uri="{FF2B5EF4-FFF2-40B4-BE49-F238E27FC236}">
                  <a16:creationId xmlns="" xmlns:a16="http://schemas.microsoft.com/office/drawing/2014/main" id="{00000000-0008-0000-0100-0000B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12700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2229" name="Button 181" hidden="1">
              <a:extLst>
                <a:ext uri="{63B3BB69-23CF-44E3-9099-C40C66FF867C}">
                  <a14:compatExt spid="_x0000_s2229"/>
                </a:ext>
                <a:ext uri="{FF2B5EF4-FFF2-40B4-BE49-F238E27FC236}">
                  <a16:creationId xmlns="" xmlns:a16="http://schemas.microsoft.com/office/drawing/2014/main" id="{00000000-0008-0000-0100-0000B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12700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2230" name="Button 182" hidden="1">
              <a:extLst>
                <a:ext uri="{63B3BB69-23CF-44E3-9099-C40C66FF867C}">
                  <a14:compatExt spid="_x0000_s2230"/>
                </a:ext>
                <a:ext uri="{FF2B5EF4-FFF2-40B4-BE49-F238E27FC236}">
                  <a16:creationId xmlns="" xmlns:a16="http://schemas.microsoft.com/office/drawing/2014/main" id="{00000000-0008-0000-0100-0000B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12700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2231" name="Button 183" hidden="1">
              <a:extLst>
                <a:ext uri="{63B3BB69-23CF-44E3-9099-C40C66FF867C}">
                  <a14:compatExt spid="_x0000_s2231"/>
                </a:ext>
                <a:ext uri="{FF2B5EF4-FFF2-40B4-BE49-F238E27FC236}">
                  <a16:creationId xmlns="" xmlns:a16="http://schemas.microsoft.com/office/drawing/2014/main" id="{00000000-0008-0000-0100-0000B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12700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2232" name="Button 184" hidden="1">
              <a:extLst>
                <a:ext uri="{63B3BB69-23CF-44E3-9099-C40C66FF867C}">
                  <a14:compatExt spid="_x0000_s2232"/>
                </a:ext>
                <a:ext uri="{FF2B5EF4-FFF2-40B4-BE49-F238E27FC236}">
                  <a16:creationId xmlns="" xmlns:a16="http://schemas.microsoft.com/office/drawing/2014/main" id="{00000000-0008-0000-0100-0000B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12700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2233" name="Button 185" hidden="1">
              <a:extLst>
                <a:ext uri="{63B3BB69-23CF-44E3-9099-C40C66FF867C}">
                  <a14:compatExt spid="_x0000_s2233"/>
                </a:ext>
                <a:ext uri="{FF2B5EF4-FFF2-40B4-BE49-F238E27FC236}">
                  <a16:creationId xmlns="" xmlns:a16="http://schemas.microsoft.com/office/drawing/2014/main" id="{00000000-0008-0000-0100-0000B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12700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2234" name="Button 186" hidden="1">
              <a:extLst>
                <a:ext uri="{63B3BB69-23CF-44E3-9099-C40C66FF867C}">
                  <a14:compatExt spid="_x0000_s2234"/>
                </a:ext>
                <a:ext uri="{FF2B5EF4-FFF2-40B4-BE49-F238E27FC236}">
                  <a16:creationId xmlns="" xmlns:a16="http://schemas.microsoft.com/office/drawing/2014/main" id="{00000000-0008-0000-0100-0000B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12700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2235" name="Button 187" hidden="1">
              <a:extLst>
                <a:ext uri="{63B3BB69-23CF-44E3-9099-C40C66FF867C}">
                  <a14:compatExt spid="_x0000_s2235"/>
                </a:ext>
                <a:ext uri="{FF2B5EF4-FFF2-40B4-BE49-F238E27FC236}">
                  <a16:creationId xmlns="" xmlns:a16="http://schemas.microsoft.com/office/drawing/2014/main" id="{00000000-0008-0000-0100-0000B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12700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2236" name="Button 188" hidden="1">
              <a:extLst>
                <a:ext uri="{63B3BB69-23CF-44E3-9099-C40C66FF867C}">
                  <a14:compatExt spid="_x0000_s2236"/>
                </a:ext>
                <a:ext uri="{FF2B5EF4-FFF2-40B4-BE49-F238E27FC236}">
                  <a16:creationId xmlns="" xmlns:a16="http://schemas.microsoft.com/office/drawing/2014/main" id="{00000000-0008-0000-0100-0000B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12700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2237" name="Button 189" hidden="1">
              <a:extLst>
                <a:ext uri="{63B3BB69-23CF-44E3-9099-C40C66FF867C}">
                  <a14:compatExt spid="_x0000_s2237"/>
                </a:ext>
                <a:ext uri="{FF2B5EF4-FFF2-40B4-BE49-F238E27FC236}">
                  <a16:creationId xmlns="" xmlns:a16="http://schemas.microsoft.com/office/drawing/2014/main" id="{00000000-0008-0000-0100-0000B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12700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2238" name="Button 190" hidden="1">
              <a:extLst>
                <a:ext uri="{63B3BB69-23CF-44E3-9099-C40C66FF867C}">
                  <a14:compatExt spid="_x0000_s2238"/>
                </a:ext>
                <a:ext uri="{FF2B5EF4-FFF2-40B4-BE49-F238E27FC236}">
                  <a16:creationId xmlns="" xmlns:a16="http://schemas.microsoft.com/office/drawing/2014/main" id="{00000000-0008-0000-0100-0000B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12700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2239" name="Button 191" hidden="1">
              <a:extLst>
                <a:ext uri="{63B3BB69-23CF-44E3-9099-C40C66FF867C}">
                  <a14:compatExt spid="_x0000_s2239"/>
                </a:ext>
                <a:ext uri="{FF2B5EF4-FFF2-40B4-BE49-F238E27FC236}">
                  <a16:creationId xmlns="" xmlns:a16="http://schemas.microsoft.com/office/drawing/2014/main" id="{00000000-0008-0000-0100-0000B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12700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2240" name="Button 192" hidden="1">
              <a:extLst>
                <a:ext uri="{63B3BB69-23CF-44E3-9099-C40C66FF867C}">
                  <a14:compatExt spid="_x0000_s2240"/>
                </a:ext>
                <a:ext uri="{FF2B5EF4-FFF2-40B4-BE49-F238E27FC236}">
                  <a16:creationId xmlns="" xmlns:a16="http://schemas.microsoft.com/office/drawing/2014/main" id="{00000000-0008-0000-0100-0000C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12700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2241" name="Button 193" hidden="1">
              <a:extLst>
                <a:ext uri="{63B3BB69-23CF-44E3-9099-C40C66FF867C}">
                  <a14:compatExt spid="_x0000_s2241"/>
                </a:ext>
                <a:ext uri="{FF2B5EF4-FFF2-40B4-BE49-F238E27FC236}">
                  <a16:creationId xmlns="" xmlns:a16="http://schemas.microsoft.com/office/drawing/2014/main" id="{00000000-0008-0000-0100-0000C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12700</xdr:colOff>
          <xdr:row>18</xdr:row>
          <xdr:rowOff>12700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2242" name="Button 194" hidden="1">
              <a:extLst>
                <a:ext uri="{63B3BB69-23CF-44E3-9099-C40C66FF867C}">
                  <a14:compatExt spid="_x0000_s2242"/>
                </a:ext>
                <a:ext uri="{FF2B5EF4-FFF2-40B4-BE49-F238E27FC236}">
                  <a16:creationId xmlns="" xmlns:a16="http://schemas.microsoft.com/office/drawing/2014/main" id="{00000000-0008-0000-0100-0000C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12700</xdr:colOff>
          <xdr:row>19</xdr:row>
          <xdr:rowOff>12700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2243" name="Button 195" hidden="1">
              <a:extLst>
                <a:ext uri="{63B3BB69-23CF-44E3-9099-C40C66FF867C}">
                  <a14:compatExt spid="_x0000_s2243"/>
                </a:ext>
                <a:ext uri="{FF2B5EF4-FFF2-40B4-BE49-F238E27FC236}">
                  <a16:creationId xmlns="" xmlns:a16="http://schemas.microsoft.com/office/drawing/2014/main" id="{00000000-0008-0000-0100-0000C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12700</xdr:colOff>
          <xdr:row>20</xdr:row>
          <xdr:rowOff>12700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2244" name="Button 196" hidden="1">
              <a:extLst>
                <a:ext uri="{63B3BB69-23CF-44E3-9099-C40C66FF867C}">
                  <a14:compatExt spid="_x0000_s2244"/>
                </a:ext>
                <a:ext uri="{FF2B5EF4-FFF2-40B4-BE49-F238E27FC236}">
                  <a16:creationId xmlns="" xmlns:a16="http://schemas.microsoft.com/office/drawing/2014/main" id="{00000000-0008-0000-0100-0000C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12700</xdr:colOff>
          <xdr:row>21</xdr:row>
          <xdr:rowOff>12700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2245" name="Button 197" hidden="1">
              <a:extLst>
                <a:ext uri="{63B3BB69-23CF-44E3-9099-C40C66FF867C}">
                  <a14:compatExt spid="_x0000_s2245"/>
                </a:ext>
                <a:ext uri="{FF2B5EF4-FFF2-40B4-BE49-F238E27FC236}">
                  <a16:creationId xmlns="" xmlns:a16="http://schemas.microsoft.com/office/drawing/2014/main" id="{00000000-0008-0000-0100-0000C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12700</xdr:colOff>
          <xdr:row>22</xdr:row>
          <xdr:rowOff>12700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2246" name="Button 198" hidden="1">
              <a:extLst>
                <a:ext uri="{63B3BB69-23CF-44E3-9099-C40C66FF867C}">
                  <a14:compatExt spid="_x0000_s2246"/>
                </a:ext>
                <a:ext uri="{FF2B5EF4-FFF2-40B4-BE49-F238E27FC236}">
                  <a16:creationId xmlns="" xmlns:a16="http://schemas.microsoft.com/office/drawing/2014/main" id="{00000000-0008-0000-0100-0000C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12700</xdr:colOff>
          <xdr:row>23</xdr:row>
          <xdr:rowOff>12700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2247" name="Button 199" hidden="1">
              <a:extLst>
                <a:ext uri="{63B3BB69-23CF-44E3-9099-C40C66FF867C}">
                  <a14:compatExt spid="_x0000_s2247"/>
                </a:ext>
                <a:ext uri="{FF2B5EF4-FFF2-40B4-BE49-F238E27FC236}">
                  <a16:creationId xmlns="" xmlns:a16="http://schemas.microsoft.com/office/drawing/2014/main" id="{00000000-0008-0000-0100-0000C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12700</xdr:colOff>
          <xdr:row>24</xdr:row>
          <xdr:rowOff>12700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2248" name="Button 200" hidden="1">
              <a:extLst>
                <a:ext uri="{63B3BB69-23CF-44E3-9099-C40C66FF867C}">
                  <a14:compatExt spid="_x0000_s2248"/>
                </a:ext>
                <a:ext uri="{FF2B5EF4-FFF2-40B4-BE49-F238E27FC236}">
                  <a16:creationId xmlns="" xmlns:a16="http://schemas.microsoft.com/office/drawing/2014/main" id="{00000000-0008-0000-0100-0000C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12700</xdr:colOff>
          <xdr:row>25</xdr:row>
          <xdr:rowOff>12700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2249" name="Button 201" hidden="1">
              <a:extLst>
                <a:ext uri="{63B3BB69-23CF-44E3-9099-C40C66FF867C}">
                  <a14:compatExt spid="_x0000_s2249"/>
                </a:ext>
                <a:ext uri="{FF2B5EF4-FFF2-40B4-BE49-F238E27FC236}">
                  <a16:creationId xmlns="" xmlns:a16="http://schemas.microsoft.com/office/drawing/2014/main" id="{00000000-0008-0000-0100-0000C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12700</xdr:colOff>
          <xdr:row>26</xdr:row>
          <xdr:rowOff>12700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2250" name="Button 202" hidden="1">
              <a:extLst>
                <a:ext uri="{63B3BB69-23CF-44E3-9099-C40C66FF867C}">
                  <a14:compatExt spid="_x0000_s2250"/>
                </a:ext>
                <a:ext uri="{FF2B5EF4-FFF2-40B4-BE49-F238E27FC236}">
                  <a16:creationId xmlns="" xmlns:a16="http://schemas.microsoft.com/office/drawing/2014/main" id="{00000000-0008-0000-0100-0000C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12700</xdr:colOff>
          <xdr:row>27</xdr:row>
          <xdr:rowOff>12700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2251" name="Button 203" hidden="1">
              <a:extLst>
                <a:ext uri="{63B3BB69-23CF-44E3-9099-C40C66FF867C}">
                  <a14:compatExt spid="_x0000_s2251"/>
                </a:ext>
                <a:ext uri="{FF2B5EF4-FFF2-40B4-BE49-F238E27FC236}">
                  <a16:creationId xmlns="" xmlns:a16="http://schemas.microsoft.com/office/drawing/2014/main" id="{00000000-0008-0000-0100-0000C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12700</xdr:colOff>
          <xdr:row>28</xdr:row>
          <xdr:rowOff>12700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2252" name="Button 204" hidden="1">
              <a:extLst>
                <a:ext uri="{63B3BB69-23CF-44E3-9099-C40C66FF867C}">
                  <a14:compatExt spid="_x0000_s2252"/>
                </a:ext>
                <a:ext uri="{FF2B5EF4-FFF2-40B4-BE49-F238E27FC236}">
                  <a16:creationId xmlns="" xmlns:a16="http://schemas.microsoft.com/office/drawing/2014/main" id="{00000000-0008-0000-0100-0000C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12700</xdr:colOff>
          <xdr:row>29</xdr:row>
          <xdr:rowOff>12700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2253" name="Button 205" hidden="1">
              <a:extLst>
                <a:ext uri="{63B3BB69-23CF-44E3-9099-C40C66FF867C}">
                  <a14:compatExt spid="_x0000_s2253"/>
                </a:ext>
                <a:ext uri="{FF2B5EF4-FFF2-40B4-BE49-F238E27FC236}">
                  <a16:creationId xmlns="" xmlns:a16="http://schemas.microsoft.com/office/drawing/2014/main" id="{00000000-0008-0000-0100-0000C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12700</xdr:colOff>
          <xdr:row>30</xdr:row>
          <xdr:rowOff>12700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2254" name="Button 206" hidden="1">
              <a:extLst>
                <a:ext uri="{63B3BB69-23CF-44E3-9099-C40C66FF867C}">
                  <a14:compatExt spid="_x0000_s2254"/>
                </a:ext>
                <a:ext uri="{FF2B5EF4-FFF2-40B4-BE49-F238E27FC236}">
                  <a16:creationId xmlns="" xmlns:a16="http://schemas.microsoft.com/office/drawing/2014/main" id="{00000000-0008-0000-0100-0000C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12700</xdr:colOff>
          <xdr:row>31</xdr:row>
          <xdr:rowOff>12700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2255" name="Button 207" hidden="1">
              <a:extLst>
                <a:ext uri="{63B3BB69-23CF-44E3-9099-C40C66FF867C}">
                  <a14:compatExt spid="_x0000_s2255"/>
                </a:ext>
                <a:ext uri="{FF2B5EF4-FFF2-40B4-BE49-F238E27FC236}">
                  <a16:creationId xmlns="" xmlns:a16="http://schemas.microsoft.com/office/drawing/2014/main" id="{00000000-0008-0000-0100-0000C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12700</xdr:colOff>
          <xdr:row>32</xdr:row>
          <xdr:rowOff>12700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2256" name="Button 208" hidden="1">
              <a:extLst>
                <a:ext uri="{63B3BB69-23CF-44E3-9099-C40C66FF867C}">
                  <a14:compatExt spid="_x0000_s2256"/>
                </a:ext>
                <a:ext uri="{FF2B5EF4-FFF2-40B4-BE49-F238E27FC236}">
                  <a16:creationId xmlns="" xmlns:a16="http://schemas.microsoft.com/office/drawing/2014/main" id="{00000000-0008-0000-0100-0000D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12700</xdr:colOff>
          <xdr:row>33</xdr:row>
          <xdr:rowOff>12700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2257" name="Button 209" hidden="1">
              <a:extLst>
                <a:ext uri="{63B3BB69-23CF-44E3-9099-C40C66FF867C}">
                  <a14:compatExt spid="_x0000_s2257"/>
                </a:ext>
                <a:ext uri="{FF2B5EF4-FFF2-40B4-BE49-F238E27FC236}">
                  <a16:creationId xmlns="" xmlns:a16="http://schemas.microsoft.com/office/drawing/2014/main" id="{00000000-0008-0000-0100-0000D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12700</xdr:colOff>
          <xdr:row>34</xdr:row>
          <xdr:rowOff>12700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2258" name="Button 210" hidden="1">
              <a:extLst>
                <a:ext uri="{63B3BB69-23CF-44E3-9099-C40C66FF867C}">
                  <a14:compatExt spid="_x0000_s2258"/>
                </a:ext>
                <a:ext uri="{FF2B5EF4-FFF2-40B4-BE49-F238E27FC236}">
                  <a16:creationId xmlns="" xmlns:a16="http://schemas.microsoft.com/office/drawing/2014/main" id="{00000000-0008-0000-0100-0000D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12700</xdr:colOff>
          <xdr:row>35</xdr:row>
          <xdr:rowOff>12700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2259" name="Button 211" hidden="1">
              <a:extLst>
                <a:ext uri="{63B3BB69-23CF-44E3-9099-C40C66FF867C}">
                  <a14:compatExt spid="_x0000_s2259"/>
                </a:ext>
                <a:ext uri="{FF2B5EF4-FFF2-40B4-BE49-F238E27FC236}">
                  <a16:creationId xmlns="" xmlns:a16="http://schemas.microsoft.com/office/drawing/2014/main" id="{00000000-0008-0000-0100-0000D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12700</xdr:colOff>
          <xdr:row>36</xdr:row>
          <xdr:rowOff>12700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2260" name="Button 212" hidden="1">
              <a:extLst>
                <a:ext uri="{63B3BB69-23CF-44E3-9099-C40C66FF867C}">
                  <a14:compatExt spid="_x0000_s2260"/>
                </a:ext>
                <a:ext uri="{FF2B5EF4-FFF2-40B4-BE49-F238E27FC236}">
                  <a16:creationId xmlns="" xmlns:a16="http://schemas.microsoft.com/office/drawing/2014/main" id="{00000000-0008-0000-0100-0000D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18</xdr:row>
          <xdr:rowOff>12700</xdr:rowOff>
        </xdr:from>
        <xdr:to>
          <xdr:col>7</xdr:col>
          <xdr:colOff>12700</xdr:colOff>
          <xdr:row>18</xdr:row>
          <xdr:rowOff>190500</xdr:rowOff>
        </xdr:to>
        <xdr:sp macro="" textlink="">
          <xdr:nvSpPr>
            <xdr:cNvPr id="2272" name="Button 224" hidden="1">
              <a:extLst>
                <a:ext uri="{63B3BB69-23CF-44E3-9099-C40C66FF867C}">
                  <a14:compatExt spid="_x0000_s2272"/>
                </a:ext>
                <a:ext uri="{FF2B5EF4-FFF2-40B4-BE49-F238E27FC236}">
                  <a16:creationId xmlns="" xmlns:a16="http://schemas.microsoft.com/office/drawing/2014/main" id="{00000000-0008-0000-0100-0000E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19</xdr:row>
          <xdr:rowOff>12700</xdr:rowOff>
        </xdr:from>
        <xdr:to>
          <xdr:col>7</xdr:col>
          <xdr:colOff>12700</xdr:colOff>
          <xdr:row>19</xdr:row>
          <xdr:rowOff>190500</xdr:rowOff>
        </xdr:to>
        <xdr:sp macro="" textlink="">
          <xdr:nvSpPr>
            <xdr:cNvPr id="2" name="Button 225" hidden="1">
              <a:extLst>
                <a:ext uri="{63B3BB69-23CF-44E3-9099-C40C66FF867C}">
                  <a14:compatExt spid="_x0000_s2273"/>
                </a:ext>
                <a:ext uri="{FF2B5EF4-FFF2-40B4-BE49-F238E27FC236}">
                  <a16:creationId xmlns="" xmlns:a16="http://schemas.microsoft.com/office/drawing/2014/main" id="{00000000-0008-0000-01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20</xdr:row>
          <xdr:rowOff>12700</xdr:rowOff>
        </xdr:from>
        <xdr:to>
          <xdr:col>7</xdr:col>
          <xdr:colOff>12700</xdr:colOff>
          <xdr:row>20</xdr:row>
          <xdr:rowOff>190500</xdr:rowOff>
        </xdr:to>
        <xdr:sp macro="" textlink="">
          <xdr:nvSpPr>
            <xdr:cNvPr id="2274" name="Button 226" hidden="1">
              <a:extLst>
                <a:ext uri="{63B3BB69-23CF-44E3-9099-C40C66FF867C}">
                  <a14:compatExt spid="_x0000_s2274"/>
                </a:ext>
                <a:ext uri="{FF2B5EF4-FFF2-40B4-BE49-F238E27FC236}">
                  <a16:creationId xmlns="" xmlns:a16="http://schemas.microsoft.com/office/drawing/2014/main" id="{00000000-0008-0000-0100-0000E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21</xdr:row>
          <xdr:rowOff>12700</xdr:rowOff>
        </xdr:from>
        <xdr:to>
          <xdr:col>7</xdr:col>
          <xdr:colOff>12700</xdr:colOff>
          <xdr:row>21</xdr:row>
          <xdr:rowOff>190500</xdr:rowOff>
        </xdr:to>
        <xdr:sp macro="" textlink="">
          <xdr:nvSpPr>
            <xdr:cNvPr id="2275" name="Button 227" hidden="1">
              <a:extLst>
                <a:ext uri="{63B3BB69-23CF-44E3-9099-C40C66FF867C}">
                  <a14:compatExt spid="_x0000_s2275"/>
                </a:ext>
                <a:ext uri="{FF2B5EF4-FFF2-40B4-BE49-F238E27FC236}">
                  <a16:creationId xmlns="" xmlns:a16="http://schemas.microsoft.com/office/drawing/2014/main" id="{00000000-0008-0000-0100-0000E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22</xdr:row>
          <xdr:rowOff>12700</xdr:rowOff>
        </xdr:from>
        <xdr:to>
          <xdr:col>7</xdr:col>
          <xdr:colOff>12700</xdr:colOff>
          <xdr:row>22</xdr:row>
          <xdr:rowOff>190500</xdr:rowOff>
        </xdr:to>
        <xdr:sp macro="" textlink="">
          <xdr:nvSpPr>
            <xdr:cNvPr id="2276" name="Button 228" hidden="1">
              <a:extLst>
                <a:ext uri="{63B3BB69-23CF-44E3-9099-C40C66FF867C}">
                  <a14:compatExt spid="_x0000_s2276"/>
                </a:ext>
                <a:ext uri="{FF2B5EF4-FFF2-40B4-BE49-F238E27FC236}">
                  <a16:creationId xmlns="" xmlns:a16="http://schemas.microsoft.com/office/drawing/2014/main" id="{00000000-0008-0000-0100-0000E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23</xdr:row>
          <xdr:rowOff>12700</xdr:rowOff>
        </xdr:from>
        <xdr:to>
          <xdr:col>7</xdr:col>
          <xdr:colOff>12700</xdr:colOff>
          <xdr:row>23</xdr:row>
          <xdr:rowOff>190500</xdr:rowOff>
        </xdr:to>
        <xdr:sp macro="" textlink="">
          <xdr:nvSpPr>
            <xdr:cNvPr id="2277" name="Button 229" hidden="1">
              <a:extLst>
                <a:ext uri="{63B3BB69-23CF-44E3-9099-C40C66FF867C}">
                  <a14:compatExt spid="_x0000_s2277"/>
                </a:ext>
                <a:ext uri="{FF2B5EF4-FFF2-40B4-BE49-F238E27FC236}">
                  <a16:creationId xmlns="" xmlns:a16="http://schemas.microsoft.com/office/drawing/2014/main" id="{00000000-0008-0000-0100-0000E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24</xdr:row>
          <xdr:rowOff>12700</xdr:rowOff>
        </xdr:from>
        <xdr:to>
          <xdr:col>7</xdr:col>
          <xdr:colOff>12700</xdr:colOff>
          <xdr:row>24</xdr:row>
          <xdr:rowOff>190500</xdr:rowOff>
        </xdr:to>
        <xdr:sp macro="" textlink="">
          <xdr:nvSpPr>
            <xdr:cNvPr id="2278" name="Button 230" hidden="1">
              <a:extLst>
                <a:ext uri="{63B3BB69-23CF-44E3-9099-C40C66FF867C}">
                  <a14:compatExt spid="_x0000_s2278"/>
                </a:ext>
                <a:ext uri="{FF2B5EF4-FFF2-40B4-BE49-F238E27FC236}">
                  <a16:creationId xmlns="" xmlns:a16="http://schemas.microsoft.com/office/drawing/2014/main" id="{00000000-0008-0000-0100-0000E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25</xdr:row>
          <xdr:rowOff>12700</xdr:rowOff>
        </xdr:from>
        <xdr:to>
          <xdr:col>7</xdr:col>
          <xdr:colOff>12700</xdr:colOff>
          <xdr:row>25</xdr:row>
          <xdr:rowOff>190500</xdr:rowOff>
        </xdr:to>
        <xdr:sp macro="" textlink="">
          <xdr:nvSpPr>
            <xdr:cNvPr id="2279" name="Button 231" hidden="1">
              <a:extLst>
                <a:ext uri="{63B3BB69-23CF-44E3-9099-C40C66FF867C}">
                  <a14:compatExt spid="_x0000_s2279"/>
                </a:ext>
                <a:ext uri="{FF2B5EF4-FFF2-40B4-BE49-F238E27FC236}">
                  <a16:creationId xmlns="" xmlns:a16="http://schemas.microsoft.com/office/drawing/2014/main" id="{00000000-0008-0000-0100-0000E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26</xdr:row>
          <xdr:rowOff>12700</xdr:rowOff>
        </xdr:from>
        <xdr:to>
          <xdr:col>7</xdr:col>
          <xdr:colOff>12700</xdr:colOff>
          <xdr:row>26</xdr:row>
          <xdr:rowOff>190500</xdr:rowOff>
        </xdr:to>
        <xdr:sp macro="" textlink="">
          <xdr:nvSpPr>
            <xdr:cNvPr id="2280" name="Button 232" hidden="1">
              <a:extLst>
                <a:ext uri="{63B3BB69-23CF-44E3-9099-C40C66FF867C}">
                  <a14:compatExt spid="_x0000_s2280"/>
                </a:ext>
                <a:ext uri="{FF2B5EF4-FFF2-40B4-BE49-F238E27FC236}">
                  <a16:creationId xmlns="" xmlns:a16="http://schemas.microsoft.com/office/drawing/2014/main" id="{00000000-0008-0000-0100-0000E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27</xdr:row>
          <xdr:rowOff>12700</xdr:rowOff>
        </xdr:from>
        <xdr:to>
          <xdr:col>7</xdr:col>
          <xdr:colOff>12700</xdr:colOff>
          <xdr:row>27</xdr:row>
          <xdr:rowOff>190500</xdr:rowOff>
        </xdr:to>
        <xdr:sp macro="" textlink="">
          <xdr:nvSpPr>
            <xdr:cNvPr id="2281" name="Button 233" hidden="1">
              <a:extLst>
                <a:ext uri="{63B3BB69-23CF-44E3-9099-C40C66FF867C}">
                  <a14:compatExt spid="_x0000_s2281"/>
                </a:ext>
                <a:ext uri="{FF2B5EF4-FFF2-40B4-BE49-F238E27FC236}">
                  <a16:creationId xmlns="" xmlns:a16="http://schemas.microsoft.com/office/drawing/2014/main" id="{00000000-0008-0000-0100-0000E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24</xdr:row>
          <xdr:rowOff>0</xdr:rowOff>
        </xdr:from>
        <xdr:to>
          <xdr:col>7</xdr:col>
          <xdr:colOff>12700</xdr:colOff>
          <xdr:row>25</xdr:row>
          <xdr:rowOff>0</xdr:rowOff>
        </xdr:to>
        <xdr:sp macro="" textlink="">
          <xdr:nvSpPr>
            <xdr:cNvPr id="2282" name="Button 234" hidden="1">
              <a:extLst>
                <a:ext uri="{63B3BB69-23CF-44E3-9099-C40C66FF867C}">
                  <a14:compatExt spid="_x0000_s2282"/>
                </a:ext>
                <a:ext uri="{FF2B5EF4-FFF2-40B4-BE49-F238E27FC236}">
                  <a16:creationId xmlns="" xmlns:a16="http://schemas.microsoft.com/office/drawing/2014/main" id="{00000000-0008-0000-0100-0000E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25</xdr:row>
          <xdr:rowOff>0</xdr:rowOff>
        </xdr:from>
        <xdr:to>
          <xdr:col>7</xdr:col>
          <xdr:colOff>12700</xdr:colOff>
          <xdr:row>26</xdr:row>
          <xdr:rowOff>0</xdr:rowOff>
        </xdr:to>
        <xdr:sp macro="" textlink="">
          <xdr:nvSpPr>
            <xdr:cNvPr id="2283" name="Button 235" hidden="1">
              <a:extLst>
                <a:ext uri="{63B3BB69-23CF-44E3-9099-C40C66FF867C}">
                  <a14:compatExt spid="_x0000_s2283"/>
                </a:ext>
                <a:ext uri="{FF2B5EF4-FFF2-40B4-BE49-F238E27FC236}">
                  <a16:creationId xmlns="" xmlns:a16="http://schemas.microsoft.com/office/drawing/2014/main" id="{00000000-0008-0000-0100-0000E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24</xdr:row>
          <xdr:rowOff>12700</xdr:rowOff>
        </xdr:from>
        <xdr:to>
          <xdr:col>7</xdr:col>
          <xdr:colOff>12700</xdr:colOff>
          <xdr:row>24</xdr:row>
          <xdr:rowOff>190500</xdr:rowOff>
        </xdr:to>
        <xdr:sp macro="" textlink="">
          <xdr:nvSpPr>
            <xdr:cNvPr id="2284" name="Button 236" hidden="1">
              <a:extLst>
                <a:ext uri="{63B3BB69-23CF-44E3-9099-C40C66FF867C}">
                  <a14:compatExt spid="_x0000_s2284"/>
                </a:ext>
                <a:ext uri="{FF2B5EF4-FFF2-40B4-BE49-F238E27FC236}">
                  <a16:creationId xmlns="" xmlns:a16="http://schemas.microsoft.com/office/drawing/2014/main" id="{00000000-0008-0000-0100-0000E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25</xdr:row>
          <xdr:rowOff>12700</xdr:rowOff>
        </xdr:from>
        <xdr:to>
          <xdr:col>7</xdr:col>
          <xdr:colOff>12700</xdr:colOff>
          <xdr:row>25</xdr:row>
          <xdr:rowOff>190500</xdr:rowOff>
        </xdr:to>
        <xdr:sp macro="" textlink="">
          <xdr:nvSpPr>
            <xdr:cNvPr id="2285" name="Button 237" hidden="1">
              <a:extLst>
                <a:ext uri="{63B3BB69-23CF-44E3-9099-C40C66FF867C}">
                  <a14:compatExt spid="_x0000_s2285"/>
                </a:ext>
                <a:ext uri="{FF2B5EF4-FFF2-40B4-BE49-F238E27FC236}">
                  <a16:creationId xmlns="" xmlns:a16="http://schemas.microsoft.com/office/drawing/2014/main" id="{00000000-0008-0000-0100-0000E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26</xdr:row>
          <xdr:rowOff>0</xdr:rowOff>
        </xdr:from>
        <xdr:to>
          <xdr:col>7</xdr:col>
          <xdr:colOff>12700</xdr:colOff>
          <xdr:row>27</xdr:row>
          <xdr:rowOff>0</xdr:rowOff>
        </xdr:to>
        <xdr:sp macro="" textlink="">
          <xdr:nvSpPr>
            <xdr:cNvPr id="2286" name="Button 238" hidden="1">
              <a:extLst>
                <a:ext uri="{63B3BB69-23CF-44E3-9099-C40C66FF867C}">
                  <a14:compatExt spid="_x0000_s2286"/>
                </a:ext>
                <a:ext uri="{FF2B5EF4-FFF2-40B4-BE49-F238E27FC236}">
                  <a16:creationId xmlns="" xmlns:a16="http://schemas.microsoft.com/office/drawing/2014/main" id="{00000000-0008-0000-0100-0000E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27</xdr:row>
          <xdr:rowOff>0</xdr:rowOff>
        </xdr:from>
        <xdr:to>
          <xdr:col>7</xdr:col>
          <xdr:colOff>12700</xdr:colOff>
          <xdr:row>28</xdr:row>
          <xdr:rowOff>0</xdr:rowOff>
        </xdr:to>
        <xdr:sp macro="" textlink="">
          <xdr:nvSpPr>
            <xdr:cNvPr id="2287" name="Button 239" hidden="1">
              <a:extLst>
                <a:ext uri="{63B3BB69-23CF-44E3-9099-C40C66FF867C}">
                  <a14:compatExt spid="_x0000_s2287"/>
                </a:ext>
                <a:ext uri="{FF2B5EF4-FFF2-40B4-BE49-F238E27FC236}">
                  <a16:creationId xmlns="" xmlns:a16="http://schemas.microsoft.com/office/drawing/2014/main" id="{00000000-0008-0000-0100-0000E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28</xdr:row>
          <xdr:rowOff>0</xdr:rowOff>
        </xdr:from>
        <xdr:to>
          <xdr:col>7</xdr:col>
          <xdr:colOff>12700</xdr:colOff>
          <xdr:row>29</xdr:row>
          <xdr:rowOff>0</xdr:rowOff>
        </xdr:to>
        <xdr:sp macro="" textlink="">
          <xdr:nvSpPr>
            <xdr:cNvPr id="2288" name="Button 240" hidden="1">
              <a:extLst>
                <a:ext uri="{63B3BB69-23CF-44E3-9099-C40C66FF867C}">
                  <a14:compatExt spid="_x0000_s2288"/>
                </a:ext>
                <a:ext uri="{FF2B5EF4-FFF2-40B4-BE49-F238E27FC236}">
                  <a16:creationId xmlns="" xmlns:a16="http://schemas.microsoft.com/office/drawing/2014/main" id="{00000000-0008-0000-0100-0000F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29</xdr:row>
          <xdr:rowOff>0</xdr:rowOff>
        </xdr:from>
        <xdr:to>
          <xdr:col>7</xdr:col>
          <xdr:colOff>12700</xdr:colOff>
          <xdr:row>30</xdr:row>
          <xdr:rowOff>0</xdr:rowOff>
        </xdr:to>
        <xdr:sp macro="" textlink="">
          <xdr:nvSpPr>
            <xdr:cNvPr id="2289" name="Button 241" hidden="1">
              <a:extLst>
                <a:ext uri="{63B3BB69-23CF-44E3-9099-C40C66FF867C}">
                  <a14:compatExt spid="_x0000_s2289"/>
                </a:ext>
                <a:ext uri="{FF2B5EF4-FFF2-40B4-BE49-F238E27FC236}">
                  <a16:creationId xmlns="" xmlns:a16="http://schemas.microsoft.com/office/drawing/2014/main" id="{00000000-0008-0000-0100-0000F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18</xdr:row>
          <xdr:rowOff>0</xdr:rowOff>
        </xdr:from>
        <xdr:to>
          <xdr:col>7</xdr:col>
          <xdr:colOff>12700</xdr:colOff>
          <xdr:row>19</xdr:row>
          <xdr:rowOff>0</xdr:rowOff>
        </xdr:to>
        <xdr:sp macro="" textlink="">
          <xdr:nvSpPr>
            <xdr:cNvPr id="2290" name="Button 242" hidden="1">
              <a:extLst>
                <a:ext uri="{63B3BB69-23CF-44E3-9099-C40C66FF867C}">
                  <a14:compatExt spid="_x0000_s2290"/>
                </a:ext>
                <a:ext uri="{FF2B5EF4-FFF2-40B4-BE49-F238E27FC236}">
                  <a16:creationId xmlns="" xmlns:a16="http://schemas.microsoft.com/office/drawing/2014/main" id="{00000000-0008-0000-0100-0000F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19</xdr:row>
          <xdr:rowOff>0</xdr:rowOff>
        </xdr:from>
        <xdr:to>
          <xdr:col>7</xdr:col>
          <xdr:colOff>12700</xdr:colOff>
          <xdr:row>20</xdr:row>
          <xdr:rowOff>0</xdr:rowOff>
        </xdr:to>
        <xdr:sp macro="" textlink="">
          <xdr:nvSpPr>
            <xdr:cNvPr id="2291" name="Button 243" hidden="1">
              <a:extLst>
                <a:ext uri="{63B3BB69-23CF-44E3-9099-C40C66FF867C}">
                  <a14:compatExt spid="_x0000_s2291"/>
                </a:ext>
                <a:ext uri="{FF2B5EF4-FFF2-40B4-BE49-F238E27FC236}">
                  <a16:creationId xmlns="" xmlns:a16="http://schemas.microsoft.com/office/drawing/2014/main" id="{00000000-0008-0000-0100-0000F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20</xdr:row>
          <xdr:rowOff>0</xdr:rowOff>
        </xdr:from>
        <xdr:to>
          <xdr:col>7</xdr:col>
          <xdr:colOff>12700</xdr:colOff>
          <xdr:row>21</xdr:row>
          <xdr:rowOff>0</xdr:rowOff>
        </xdr:to>
        <xdr:sp macro="" textlink="">
          <xdr:nvSpPr>
            <xdr:cNvPr id="2292" name="Button 244" hidden="1">
              <a:extLst>
                <a:ext uri="{63B3BB69-23CF-44E3-9099-C40C66FF867C}">
                  <a14:compatExt spid="_x0000_s2292"/>
                </a:ext>
                <a:ext uri="{FF2B5EF4-FFF2-40B4-BE49-F238E27FC236}">
                  <a16:creationId xmlns="" xmlns:a16="http://schemas.microsoft.com/office/drawing/2014/main" id="{00000000-0008-0000-0100-0000F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21</xdr:row>
          <xdr:rowOff>0</xdr:rowOff>
        </xdr:from>
        <xdr:to>
          <xdr:col>7</xdr:col>
          <xdr:colOff>12700</xdr:colOff>
          <xdr:row>22</xdr:row>
          <xdr:rowOff>0</xdr:rowOff>
        </xdr:to>
        <xdr:sp macro="" textlink="">
          <xdr:nvSpPr>
            <xdr:cNvPr id="2293" name="Button 245" hidden="1">
              <a:extLst>
                <a:ext uri="{63B3BB69-23CF-44E3-9099-C40C66FF867C}">
                  <a14:compatExt spid="_x0000_s2293"/>
                </a:ext>
                <a:ext uri="{FF2B5EF4-FFF2-40B4-BE49-F238E27FC236}">
                  <a16:creationId xmlns="" xmlns:a16="http://schemas.microsoft.com/office/drawing/2014/main" id="{00000000-0008-0000-0100-0000F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22</xdr:row>
          <xdr:rowOff>0</xdr:rowOff>
        </xdr:from>
        <xdr:to>
          <xdr:col>7</xdr:col>
          <xdr:colOff>12700</xdr:colOff>
          <xdr:row>23</xdr:row>
          <xdr:rowOff>0</xdr:rowOff>
        </xdr:to>
        <xdr:sp macro="" textlink="">
          <xdr:nvSpPr>
            <xdr:cNvPr id="2294" name="Button 246" hidden="1">
              <a:extLst>
                <a:ext uri="{63B3BB69-23CF-44E3-9099-C40C66FF867C}">
                  <a14:compatExt spid="_x0000_s2294"/>
                </a:ext>
                <a:ext uri="{FF2B5EF4-FFF2-40B4-BE49-F238E27FC236}">
                  <a16:creationId xmlns="" xmlns:a16="http://schemas.microsoft.com/office/drawing/2014/main" id="{00000000-0008-0000-0100-0000F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23</xdr:row>
          <xdr:rowOff>0</xdr:rowOff>
        </xdr:from>
        <xdr:to>
          <xdr:col>7</xdr:col>
          <xdr:colOff>12700</xdr:colOff>
          <xdr:row>24</xdr:row>
          <xdr:rowOff>0</xdr:rowOff>
        </xdr:to>
        <xdr:sp macro="" textlink="">
          <xdr:nvSpPr>
            <xdr:cNvPr id="2295" name="Button 247" hidden="1">
              <a:extLst>
                <a:ext uri="{63B3BB69-23CF-44E3-9099-C40C66FF867C}">
                  <a14:compatExt spid="_x0000_s2295"/>
                </a:ext>
                <a:ext uri="{FF2B5EF4-FFF2-40B4-BE49-F238E27FC236}">
                  <a16:creationId xmlns="" xmlns:a16="http://schemas.microsoft.com/office/drawing/2014/main" id="{00000000-0008-0000-0100-0000F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24</xdr:row>
          <xdr:rowOff>0</xdr:rowOff>
        </xdr:from>
        <xdr:to>
          <xdr:col>7</xdr:col>
          <xdr:colOff>12700</xdr:colOff>
          <xdr:row>25</xdr:row>
          <xdr:rowOff>0</xdr:rowOff>
        </xdr:to>
        <xdr:sp macro="" textlink="">
          <xdr:nvSpPr>
            <xdr:cNvPr id="2296" name="Button 248" hidden="1">
              <a:extLst>
                <a:ext uri="{63B3BB69-23CF-44E3-9099-C40C66FF867C}">
                  <a14:compatExt spid="_x0000_s2296"/>
                </a:ext>
                <a:ext uri="{FF2B5EF4-FFF2-40B4-BE49-F238E27FC236}">
                  <a16:creationId xmlns="" xmlns:a16="http://schemas.microsoft.com/office/drawing/2014/main" id="{00000000-0008-0000-0100-0000F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25</xdr:row>
          <xdr:rowOff>0</xdr:rowOff>
        </xdr:from>
        <xdr:to>
          <xdr:col>7</xdr:col>
          <xdr:colOff>12700</xdr:colOff>
          <xdr:row>26</xdr:row>
          <xdr:rowOff>0</xdr:rowOff>
        </xdr:to>
        <xdr:sp macro="" textlink="">
          <xdr:nvSpPr>
            <xdr:cNvPr id="2297" name="Button 249" hidden="1">
              <a:extLst>
                <a:ext uri="{63B3BB69-23CF-44E3-9099-C40C66FF867C}">
                  <a14:compatExt spid="_x0000_s2297"/>
                </a:ext>
                <a:ext uri="{FF2B5EF4-FFF2-40B4-BE49-F238E27FC236}">
                  <a16:creationId xmlns="" xmlns:a16="http://schemas.microsoft.com/office/drawing/2014/main" id="{00000000-0008-0000-0100-0000F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26</xdr:row>
          <xdr:rowOff>0</xdr:rowOff>
        </xdr:from>
        <xdr:to>
          <xdr:col>7</xdr:col>
          <xdr:colOff>12700</xdr:colOff>
          <xdr:row>27</xdr:row>
          <xdr:rowOff>0</xdr:rowOff>
        </xdr:to>
        <xdr:sp macro="" textlink="">
          <xdr:nvSpPr>
            <xdr:cNvPr id="2298" name="Button 250" hidden="1">
              <a:extLst>
                <a:ext uri="{63B3BB69-23CF-44E3-9099-C40C66FF867C}">
                  <a14:compatExt spid="_x0000_s2298"/>
                </a:ext>
                <a:ext uri="{FF2B5EF4-FFF2-40B4-BE49-F238E27FC236}">
                  <a16:creationId xmlns="" xmlns:a16="http://schemas.microsoft.com/office/drawing/2014/main" id="{00000000-0008-0000-0100-0000F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27</xdr:row>
          <xdr:rowOff>0</xdr:rowOff>
        </xdr:from>
        <xdr:to>
          <xdr:col>7</xdr:col>
          <xdr:colOff>12700</xdr:colOff>
          <xdr:row>28</xdr:row>
          <xdr:rowOff>0</xdr:rowOff>
        </xdr:to>
        <xdr:sp macro="" textlink="">
          <xdr:nvSpPr>
            <xdr:cNvPr id="2299" name="Button 251" hidden="1">
              <a:extLst>
                <a:ext uri="{63B3BB69-23CF-44E3-9099-C40C66FF867C}">
                  <a14:compatExt spid="_x0000_s2299"/>
                </a:ext>
                <a:ext uri="{FF2B5EF4-FFF2-40B4-BE49-F238E27FC236}">
                  <a16:creationId xmlns="" xmlns:a16="http://schemas.microsoft.com/office/drawing/2014/main" id="{00000000-0008-0000-0100-0000F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28</xdr:row>
          <xdr:rowOff>0</xdr:rowOff>
        </xdr:from>
        <xdr:to>
          <xdr:col>7</xdr:col>
          <xdr:colOff>12700</xdr:colOff>
          <xdr:row>29</xdr:row>
          <xdr:rowOff>0</xdr:rowOff>
        </xdr:to>
        <xdr:sp macro="" textlink="">
          <xdr:nvSpPr>
            <xdr:cNvPr id="2300" name="Button 252" hidden="1">
              <a:extLst>
                <a:ext uri="{63B3BB69-23CF-44E3-9099-C40C66FF867C}">
                  <a14:compatExt spid="_x0000_s2300"/>
                </a:ext>
                <a:ext uri="{FF2B5EF4-FFF2-40B4-BE49-F238E27FC236}">
                  <a16:creationId xmlns="" xmlns:a16="http://schemas.microsoft.com/office/drawing/2014/main" id="{00000000-0008-0000-0100-0000F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29</xdr:row>
          <xdr:rowOff>0</xdr:rowOff>
        </xdr:from>
        <xdr:to>
          <xdr:col>7</xdr:col>
          <xdr:colOff>12700</xdr:colOff>
          <xdr:row>30</xdr:row>
          <xdr:rowOff>0</xdr:rowOff>
        </xdr:to>
        <xdr:sp macro="" textlink="">
          <xdr:nvSpPr>
            <xdr:cNvPr id="2301" name="Button 253" hidden="1">
              <a:extLst>
                <a:ext uri="{63B3BB69-23CF-44E3-9099-C40C66FF867C}">
                  <a14:compatExt spid="_x0000_s2301"/>
                </a:ext>
                <a:ext uri="{FF2B5EF4-FFF2-40B4-BE49-F238E27FC236}">
                  <a16:creationId xmlns="" xmlns:a16="http://schemas.microsoft.com/office/drawing/2014/main" id="{00000000-0008-0000-0100-0000F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18</xdr:row>
          <xdr:rowOff>12700</xdr:rowOff>
        </xdr:from>
        <xdr:to>
          <xdr:col>7</xdr:col>
          <xdr:colOff>12700</xdr:colOff>
          <xdr:row>18</xdr:row>
          <xdr:rowOff>190500</xdr:rowOff>
        </xdr:to>
        <xdr:sp macro="" textlink="">
          <xdr:nvSpPr>
            <xdr:cNvPr id="2302" name="Button 254" hidden="1">
              <a:extLst>
                <a:ext uri="{63B3BB69-23CF-44E3-9099-C40C66FF867C}">
                  <a14:compatExt spid="_x0000_s2302"/>
                </a:ext>
                <a:ext uri="{FF2B5EF4-FFF2-40B4-BE49-F238E27FC236}">
                  <a16:creationId xmlns="" xmlns:a16="http://schemas.microsoft.com/office/drawing/2014/main" id="{00000000-0008-0000-0100-0000F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19</xdr:row>
          <xdr:rowOff>12700</xdr:rowOff>
        </xdr:from>
        <xdr:to>
          <xdr:col>7</xdr:col>
          <xdr:colOff>12700</xdr:colOff>
          <xdr:row>19</xdr:row>
          <xdr:rowOff>190500</xdr:rowOff>
        </xdr:to>
        <xdr:sp macro="" textlink="">
          <xdr:nvSpPr>
            <xdr:cNvPr id="2303" name="Button 255" hidden="1">
              <a:extLst>
                <a:ext uri="{63B3BB69-23CF-44E3-9099-C40C66FF867C}">
                  <a14:compatExt spid="_x0000_s2303"/>
                </a:ext>
                <a:ext uri="{FF2B5EF4-FFF2-40B4-BE49-F238E27FC236}">
                  <a16:creationId xmlns="" xmlns:a16="http://schemas.microsoft.com/office/drawing/2014/main" id="{00000000-0008-0000-0100-0000F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20</xdr:row>
          <xdr:rowOff>12700</xdr:rowOff>
        </xdr:from>
        <xdr:to>
          <xdr:col>7</xdr:col>
          <xdr:colOff>12700</xdr:colOff>
          <xdr:row>20</xdr:row>
          <xdr:rowOff>190500</xdr:rowOff>
        </xdr:to>
        <xdr:sp macro="" textlink="">
          <xdr:nvSpPr>
            <xdr:cNvPr id="2304" name="Button 256" hidden="1">
              <a:extLst>
                <a:ext uri="{63B3BB69-23CF-44E3-9099-C40C66FF867C}">
                  <a14:compatExt spid="_x0000_s2304"/>
                </a:ext>
                <a:ext uri="{FF2B5EF4-FFF2-40B4-BE49-F238E27FC236}">
                  <a16:creationId xmlns="" xmlns:a16="http://schemas.microsoft.com/office/drawing/2014/main" id="{00000000-0008-0000-0100-00000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21</xdr:row>
          <xdr:rowOff>12700</xdr:rowOff>
        </xdr:from>
        <xdr:to>
          <xdr:col>7</xdr:col>
          <xdr:colOff>12700</xdr:colOff>
          <xdr:row>21</xdr:row>
          <xdr:rowOff>190500</xdr:rowOff>
        </xdr:to>
        <xdr:sp macro="" textlink="">
          <xdr:nvSpPr>
            <xdr:cNvPr id="2305" name="Button 257" hidden="1">
              <a:extLst>
                <a:ext uri="{63B3BB69-23CF-44E3-9099-C40C66FF867C}">
                  <a14:compatExt spid="_x0000_s2305"/>
                </a:ext>
                <a:ext uri="{FF2B5EF4-FFF2-40B4-BE49-F238E27FC236}">
                  <a16:creationId xmlns="" xmlns:a16="http://schemas.microsoft.com/office/drawing/2014/main" id="{00000000-0008-0000-0100-00000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22</xdr:row>
          <xdr:rowOff>12700</xdr:rowOff>
        </xdr:from>
        <xdr:to>
          <xdr:col>7</xdr:col>
          <xdr:colOff>12700</xdr:colOff>
          <xdr:row>22</xdr:row>
          <xdr:rowOff>190500</xdr:rowOff>
        </xdr:to>
        <xdr:sp macro="" textlink="">
          <xdr:nvSpPr>
            <xdr:cNvPr id="2306" name="Button 258" hidden="1">
              <a:extLst>
                <a:ext uri="{63B3BB69-23CF-44E3-9099-C40C66FF867C}">
                  <a14:compatExt spid="_x0000_s2306"/>
                </a:ext>
                <a:ext uri="{FF2B5EF4-FFF2-40B4-BE49-F238E27FC236}">
                  <a16:creationId xmlns="" xmlns:a16="http://schemas.microsoft.com/office/drawing/2014/main" id="{00000000-0008-0000-0100-00000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23</xdr:row>
          <xdr:rowOff>12700</xdr:rowOff>
        </xdr:from>
        <xdr:to>
          <xdr:col>7</xdr:col>
          <xdr:colOff>12700</xdr:colOff>
          <xdr:row>23</xdr:row>
          <xdr:rowOff>190500</xdr:rowOff>
        </xdr:to>
        <xdr:sp macro="" textlink="">
          <xdr:nvSpPr>
            <xdr:cNvPr id="2307" name="Button 259" hidden="1">
              <a:extLst>
                <a:ext uri="{63B3BB69-23CF-44E3-9099-C40C66FF867C}">
                  <a14:compatExt spid="_x0000_s2307"/>
                </a:ext>
                <a:ext uri="{FF2B5EF4-FFF2-40B4-BE49-F238E27FC236}">
                  <a16:creationId xmlns="" xmlns:a16="http://schemas.microsoft.com/office/drawing/2014/main" id="{00000000-0008-0000-0100-00000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24</xdr:row>
          <xdr:rowOff>12700</xdr:rowOff>
        </xdr:from>
        <xdr:to>
          <xdr:col>7</xdr:col>
          <xdr:colOff>12700</xdr:colOff>
          <xdr:row>24</xdr:row>
          <xdr:rowOff>190500</xdr:rowOff>
        </xdr:to>
        <xdr:sp macro="" textlink="">
          <xdr:nvSpPr>
            <xdr:cNvPr id="2308" name="Button 260" hidden="1">
              <a:extLst>
                <a:ext uri="{63B3BB69-23CF-44E3-9099-C40C66FF867C}">
                  <a14:compatExt spid="_x0000_s2308"/>
                </a:ext>
                <a:ext uri="{FF2B5EF4-FFF2-40B4-BE49-F238E27FC236}">
                  <a16:creationId xmlns="" xmlns:a16="http://schemas.microsoft.com/office/drawing/2014/main" id="{00000000-0008-0000-0100-00000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25</xdr:row>
          <xdr:rowOff>12700</xdr:rowOff>
        </xdr:from>
        <xdr:to>
          <xdr:col>7</xdr:col>
          <xdr:colOff>12700</xdr:colOff>
          <xdr:row>25</xdr:row>
          <xdr:rowOff>190500</xdr:rowOff>
        </xdr:to>
        <xdr:sp macro="" textlink="">
          <xdr:nvSpPr>
            <xdr:cNvPr id="2309" name="Button 261" hidden="1">
              <a:extLst>
                <a:ext uri="{63B3BB69-23CF-44E3-9099-C40C66FF867C}">
                  <a14:compatExt spid="_x0000_s2309"/>
                </a:ext>
                <a:ext uri="{FF2B5EF4-FFF2-40B4-BE49-F238E27FC236}">
                  <a16:creationId xmlns="" xmlns:a16="http://schemas.microsoft.com/office/drawing/2014/main" id="{00000000-0008-0000-0100-00000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26</xdr:row>
          <xdr:rowOff>12700</xdr:rowOff>
        </xdr:from>
        <xdr:to>
          <xdr:col>7</xdr:col>
          <xdr:colOff>12700</xdr:colOff>
          <xdr:row>26</xdr:row>
          <xdr:rowOff>190500</xdr:rowOff>
        </xdr:to>
        <xdr:sp macro="" textlink="">
          <xdr:nvSpPr>
            <xdr:cNvPr id="2310" name="Button 262" hidden="1">
              <a:extLst>
                <a:ext uri="{63B3BB69-23CF-44E3-9099-C40C66FF867C}">
                  <a14:compatExt spid="_x0000_s2310"/>
                </a:ext>
                <a:ext uri="{FF2B5EF4-FFF2-40B4-BE49-F238E27FC236}">
                  <a16:creationId xmlns="" xmlns:a16="http://schemas.microsoft.com/office/drawing/2014/main" id="{00000000-0008-0000-0100-00000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23</xdr:row>
          <xdr:rowOff>0</xdr:rowOff>
        </xdr:from>
        <xdr:to>
          <xdr:col>7</xdr:col>
          <xdr:colOff>12700</xdr:colOff>
          <xdr:row>24</xdr:row>
          <xdr:rowOff>0</xdr:rowOff>
        </xdr:to>
        <xdr:sp macro="" textlink="">
          <xdr:nvSpPr>
            <xdr:cNvPr id="2311" name="Button 263" hidden="1">
              <a:extLst>
                <a:ext uri="{63B3BB69-23CF-44E3-9099-C40C66FF867C}">
                  <a14:compatExt spid="_x0000_s2311"/>
                </a:ext>
                <a:ext uri="{FF2B5EF4-FFF2-40B4-BE49-F238E27FC236}">
                  <a16:creationId xmlns="" xmlns:a16="http://schemas.microsoft.com/office/drawing/2014/main" id="{00000000-0008-0000-0100-00000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24</xdr:row>
          <xdr:rowOff>0</xdr:rowOff>
        </xdr:from>
        <xdr:to>
          <xdr:col>7</xdr:col>
          <xdr:colOff>12700</xdr:colOff>
          <xdr:row>25</xdr:row>
          <xdr:rowOff>0</xdr:rowOff>
        </xdr:to>
        <xdr:sp macro="" textlink="">
          <xdr:nvSpPr>
            <xdr:cNvPr id="2312" name="Button 264" hidden="1">
              <a:extLst>
                <a:ext uri="{63B3BB69-23CF-44E3-9099-C40C66FF867C}">
                  <a14:compatExt spid="_x0000_s2312"/>
                </a:ext>
                <a:ext uri="{FF2B5EF4-FFF2-40B4-BE49-F238E27FC236}">
                  <a16:creationId xmlns="" xmlns:a16="http://schemas.microsoft.com/office/drawing/2014/main" id="{00000000-0008-0000-0100-00000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23</xdr:row>
          <xdr:rowOff>12700</xdr:rowOff>
        </xdr:from>
        <xdr:to>
          <xdr:col>7</xdr:col>
          <xdr:colOff>12700</xdr:colOff>
          <xdr:row>23</xdr:row>
          <xdr:rowOff>190500</xdr:rowOff>
        </xdr:to>
        <xdr:sp macro="" textlink="">
          <xdr:nvSpPr>
            <xdr:cNvPr id="2313" name="Button 265" hidden="1">
              <a:extLst>
                <a:ext uri="{63B3BB69-23CF-44E3-9099-C40C66FF867C}">
                  <a14:compatExt spid="_x0000_s2313"/>
                </a:ext>
                <a:ext uri="{FF2B5EF4-FFF2-40B4-BE49-F238E27FC236}">
                  <a16:creationId xmlns="" xmlns:a16="http://schemas.microsoft.com/office/drawing/2014/main" id="{00000000-0008-0000-0100-00000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24</xdr:row>
          <xdr:rowOff>12700</xdr:rowOff>
        </xdr:from>
        <xdr:to>
          <xdr:col>7</xdr:col>
          <xdr:colOff>12700</xdr:colOff>
          <xdr:row>24</xdr:row>
          <xdr:rowOff>190500</xdr:rowOff>
        </xdr:to>
        <xdr:sp macro="" textlink="">
          <xdr:nvSpPr>
            <xdr:cNvPr id="2314" name="Button 266" hidden="1">
              <a:extLst>
                <a:ext uri="{63B3BB69-23CF-44E3-9099-C40C66FF867C}">
                  <a14:compatExt spid="_x0000_s2314"/>
                </a:ext>
                <a:ext uri="{FF2B5EF4-FFF2-40B4-BE49-F238E27FC236}">
                  <a16:creationId xmlns="" xmlns:a16="http://schemas.microsoft.com/office/drawing/2014/main" id="{00000000-0008-0000-0100-00000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25</xdr:row>
          <xdr:rowOff>0</xdr:rowOff>
        </xdr:from>
        <xdr:to>
          <xdr:col>7</xdr:col>
          <xdr:colOff>12700</xdr:colOff>
          <xdr:row>26</xdr:row>
          <xdr:rowOff>0</xdr:rowOff>
        </xdr:to>
        <xdr:sp macro="" textlink="">
          <xdr:nvSpPr>
            <xdr:cNvPr id="2315" name="Button 267" hidden="1">
              <a:extLst>
                <a:ext uri="{63B3BB69-23CF-44E3-9099-C40C66FF867C}">
                  <a14:compatExt spid="_x0000_s2315"/>
                </a:ext>
                <a:ext uri="{FF2B5EF4-FFF2-40B4-BE49-F238E27FC236}">
                  <a16:creationId xmlns="" xmlns:a16="http://schemas.microsoft.com/office/drawing/2014/main" id="{00000000-0008-0000-0100-00000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26</xdr:row>
          <xdr:rowOff>0</xdr:rowOff>
        </xdr:from>
        <xdr:to>
          <xdr:col>7</xdr:col>
          <xdr:colOff>12700</xdr:colOff>
          <xdr:row>27</xdr:row>
          <xdr:rowOff>0</xdr:rowOff>
        </xdr:to>
        <xdr:sp macro="" textlink="">
          <xdr:nvSpPr>
            <xdr:cNvPr id="2316" name="Button 268" hidden="1">
              <a:extLst>
                <a:ext uri="{63B3BB69-23CF-44E3-9099-C40C66FF867C}">
                  <a14:compatExt spid="_x0000_s2316"/>
                </a:ext>
                <a:ext uri="{FF2B5EF4-FFF2-40B4-BE49-F238E27FC236}">
                  <a16:creationId xmlns="" xmlns:a16="http://schemas.microsoft.com/office/drawing/2014/main" id="{00000000-0008-0000-0100-00000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27</xdr:row>
          <xdr:rowOff>0</xdr:rowOff>
        </xdr:from>
        <xdr:to>
          <xdr:col>7</xdr:col>
          <xdr:colOff>12700</xdr:colOff>
          <xdr:row>28</xdr:row>
          <xdr:rowOff>0</xdr:rowOff>
        </xdr:to>
        <xdr:sp macro="" textlink="">
          <xdr:nvSpPr>
            <xdr:cNvPr id="2317" name="Button 269" hidden="1">
              <a:extLst>
                <a:ext uri="{63B3BB69-23CF-44E3-9099-C40C66FF867C}">
                  <a14:compatExt spid="_x0000_s2317"/>
                </a:ext>
                <a:ext uri="{FF2B5EF4-FFF2-40B4-BE49-F238E27FC236}">
                  <a16:creationId xmlns="" xmlns:a16="http://schemas.microsoft.com/office/drawing/2014/main" id="{00000000-0008-0000-0100-00000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28</xdr:row>
          <xdr:rowOff>0</xdr:rowOff>
        </xdr:from>
        <xdr:to>
          <xdr:col>7</xdr:col>
          <xdr:colOff>12700</xdr:colOff>
          <xdr:row>29</xdr:row>
          <xdr:rowOff>0</xdr:rowOff>
        </xdr:to>
        <xdr:sp macro="" textlink="">
          <xdr:nvSpPr>
            <xdr:cNvPr id="2318" name="Button 270" hidden="1">
              <a:extLst>
                <a:ext uri="{63B3BB69-23CF-44E3-9099-C40C66FF867C}">
                  <a14:compatExt spid="_x0000_s2318"/>
                </a:ext>
                <a:ext uri="{FF2B5EF4-FFF2-40B4-BE49-F238E27FC236}">
                  <a16:creationId xmlns="" xmlns:a16="http://schemas.microsoft.com/office/drawing/2014/main" id="{00000000-0008-0000-0100-00000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30</xdr:row>
          <xdr:rowOff>0</xdr:rowOff>
        </xdr:from>
        <xdr:to>
          <xdr:col>7</xdr:col>
          <xdr:colOff>12700</xdr:colOff>
          <xdr:row>31</xdr:row>
          <xdr:rowOff>0</xdr:rowOff>
        </xdr:to>
        <xdr:sp macro="" textlink="">
          <xdr:nvSpPr>
            <xdr:cNvPr id="2319" name="Button 271" hidden="1">
              <a:extLst>
                <a:ext uri="{63B3BB69-23CF-44E3-9099-C40C66FF867C}">
                  <a14:compatExt spid="_x0000_s2319"/>
                </a:ext>
                <a:ext uri="{FF2B5EF4-FFF2-40B4-BE49-F238E27FC236}">
                  <a16:creationId xmlns="" xmlns:a16="http://schemas.microsoft.com/office/drawing/2014/main" id="{00000000-0008-0000-0100-00000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31</xdr:row>
          <xdr:rowOff>0</xdr:rowOff>
        </xdr:from>
        <xdr:to>
          <xdr:col>7</xdr:col>
          <xdr:colOff>12700</xdr:colOff>
          <xdr:row>32</xdr:row>
          <xdr:rowOff>0</xdr:rowOff>
        </xdr:to>
        <xdr:sp macro="" textlink="">
          <xdr:nvSpPr>
            <xdr:cNvPr id="2320" name="Button 272" hidden="1">
              <a:extLst>
                <a:ext uri="{63B3BB69-23CF-44E3-9099-C40C66FF867C}">
                  <a14:compatExt spid="_x0000_s2320"/>
                </a:ext>
                <a:ext uri="{FF2B5EF4-FFF2-40B4-BE49-F238E27FC236}">
                  <a16:creationId xmlns="" xmlns:a16="http://schemas.microsoft.com/office/drawing/2014/main" id="{00000000-0008-0000-0100-00001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32</xdr:row>
          <xdr:rowOff>0</xdr:rowOff>
        </xdr:from>
        <xdr:to>
          <xdr:col>7</xdr:col>
          <xdr:colOff>12700</xdr:colOff>
          <xdr:row>33</xdr:row>
          <xdr:rowOff>0</xdr:rowOff>
        </xdr:to>
        <xdr:sp macro="" textlink="">
          <xdr:nvSpPr>
            <xdr:cNvPr id="2321" name="Button 273" hidden="1">
              <a:extLst>
                <a:ext uri="{63B3BB69-23CF-44E3-9099-C40C66FF867C}">
                  <a14:compatExt spid="_x0000_s2321"/>
                </a:ext>
                <a:ext uri="{FF2B5EF4-FFF2-40B4-BE49-F238E27FC236}">
                  <a16:creationId xmlns="" xmlns:a16="http://schemas.microsoft.com/office/drawing/2014/main" id="{00000000-0008-0000-0100-00001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22</xdr:row>
          <xdr:rowOff>0</xdr:rowOff>
        </xdr:from>
        <xdr:to>
          <xdr:col>7</xdr:col>
          <xdr:colOff>12700</xdr:colOff>
          <xdr:row>23</xdr:row>
          <xdr:rowOff>0</xdr:rowOff>
        </xdr:to>
        <xdr:sp macro="" textlink="">
          <xdr:nvSpPr>
            <xdr:cNvPr id="2322" name="Button 274" hidden="1">
              <a:extLst>
                <a:ext uri="{63B3BB69-23CF-44E3-9099-C40C66FF867C}">
                  <a14:compatExt spid="_x0000_s2322"/>
                </a:ext>
                <a:ext uri="{FF2B5EF4-FFF2-40B4-BE49-F238E27FC236}">
                  <a16:creationId xmlns="" xmlns:a16="http://schemas.microsoft.com/office/drawing/2014/main" id="{00000000-0008-0000-01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Unidades%20compartidas\Zooplancton%20CCCP\LISTADO%20OFICIAL%20ZOOPLANKT\Listado_Zoo_Oficial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Fabio/Google%20Drive/CIOH-P/P%20Laura%20_Fabio/Listado%20zoo/Listado_Zoo_Oficial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xonomía_General"/>
      <sheetName val="Spp_X_ADD"/>
    </sheetNames>
    <sheetDataSet>
      <sheetData sheetId="0">
        <row r="4">
          <cell r="B4" t="str">
            <v>Acari</v>
          </cell>
          <cell r="C4" t="str">
            <v>urn:lsid:marinespecies.org:taxname:292684</v>
          </cell>
          <cell r="K4" t="str">
            <v>Acari Leach, 1817</v>
          </cell>
        </row>
        <row r="5">
          <cell r="B5" t="str">
            <v>Amphipoda</v>
          </cell>
          <cell r="C5" t="str">
            <v>urn:lsid:marinespecies.org:taxname:1135</v>
          </cell>
          <cell r="K5" t="str">
            <v>Amphipoda Latreille, 1816</v>
          </cell>
        </row>
        <row r="6">
          <cell r="B6" t="str">
            <v>Amphipoda (Hyperiidae)</v>
          </cell>
          <cell r="C6" t="str">
            <v>urn:lsid:marinespecies.org:taxname:101417</v>
          </cell>
          <cell r="K6" t="str">
            <v>Hyperiidae Dana, 1852</v>
          </cell>
        </row>
        <row r="7">
          <cell r="B7" t="str">
            <v>Amphipoda (Platysceloidea)</v>
          </cell>
          <cell r="C7" t="str">
            <v>urn:lsid:marinespecies.org:taxname:155698</v>
          </cell>
          <cell r="K7" t="str">
            <v>Platysceloidea Spence Bate, 1862</v>
          </cell>
        </row>
        <row r="8">
          <cell r="B8" t="str">
            <v>Amphipoda (Vibilioidea)</v>
          </cell>
          <cell r="C8" t="str">
            <v>urn:lsid:marinespecies.org:taxname:155694</v>
          </cell>
          <cell r="K8" t="str">
            <v>Vibilioidea Dana, 1852</v>
          </cell>
        </row>
        <row r="9">
          <cell r="B9" t="str">
            <v>Appendicularia</v>
          </cell>
          <cell r="C9" t="str">
            <v>urn:lsid:marinespecies.org:taxname:146421</v>
          </cell>
          <cell r="K9" t="str">
            <v>Appendicularia Hopcroft, 2021</v>
          </cell>
        </row>
        <row r="10">
          <cell r="B10" t="str">
            <v>Brachiopoda (Lingula)</v>
          </cell>
          <cell r="C10" t="str">
            <v>urn:lsid:marinespecies.org:taxname:235158</v>
          </cell>
          <cell r="K10" t="str">
            <v>Lingula Bruguière, 1791</v>
          </cell>
        </row>
        <row r="11">
          <cell r="B11" t="str">
            <v>Chaetognatha</v>
          </cell>
          <cell r="C11" t="str">
            <v>urn:lsid:marinespecies.org:taxname:2081</v>
          </cell>
          <cell r="K11" t="str">
            <v>Chaetognatha Leuckart, 1854</v>
          </cell>
        </row>
        <row r="12">
          <cell r="B12" t="str">
            <v>Cirripedia (Larva)</v>
          </cell>
          <cell r="C12" t="str">
            <v>urn:lsid:marinespecies.org:taxname:1082</v>
          </cell>
          <cell r="K12" t="str">
            <v>Cirripedia Burmeister, 1834</v>
          </cell>
        </row>
        <row r="13">
          <cell r="B13" t="str">
            <v>Cladocera</v>
          </cell>
          <cell r="C13" t="str">
            <v>urn:lsid:marinespecies.org:taxname:1076</v>
          </cell>
          <cell r="K13" t="str">
            <v>Cladocera Latreille, 1829</v>
          </cell>
        </row>
        <row r="14">
          <cell r="B14" t="str">
            <v>Copepoda</v>
          </cell>
          <cell r="C14" t="str">
            <v>urn:lsid:marinespecies.org:taxname:1080</v>
          </cell>
          <cell r="K14" t="str">
            <v>Copepoda Milne Edwards, 1840</v>
          </cell>
        </row>
        <row r="15">
          <cell r="B15" t="str">
            <v>Copepoda (Calanoida)</v>
          </cell>
          <cell r="C15" t="str">
            <v>urn:lsid:marinespecies.org:taxname:1100</v>
          </cell>
          <cell r="K15" t="str">
            <v>Calanoida Sars G. O., 1903</v>
          </cell>
        </row>
        <row r="16">
          <cell r="B16" t="str">
            <v>Copepoda (Cyclopoida)</v>
          </cell>
          <cell r="C16" t="str">
            <v>urn:lsid:marinespecies.org:taxname:1101</v>
          </cell>
          <cell r="K16" t="str">
            <v>Cyclopoida Burmeister, 1834</v>
          </cell>
        </row>
        <row r="17">
          <cell r="B17" t="str">
            <v>Copepoda (Cyclopoida-Sapphirina)</v>
          </cell>
          <cell r="C17" t="str">
            <v>urn:lsid:marinespecies.org:taxname:128722</v>
          </cell>
          <cell r="K17" t="str">
            <v>Sapphirina Thompson J., 1829</v>
          </cell>
        </row>
        <row r="18">
          <cell r="B18" t="str">
            <v>Copepoda (Farranula)</v>
          </cell>
          <cell r="C18" t="str">
            <v>urn:lsid:marinespecies.org:taxname:128636</v>
          </cell>
          <cell r="K18" t="str">
            <v>Farranula Wilson C.B., 1932</v>
          </cell>
        </row>
        <row r="19">
          <cell r="B19" t="str">
            <v>Copepoda (Harpacticoida)</v>
          </cell>
          <cell r="C19" t="str">
            <v>urn:lsid:marinespecies.org:taxname:1102</v>
          </cell>
          <cell r="K19" t="str">
            <v>Harpacticoida Sars G.O., 1903</v>
          </cell>
        </row>
        <row r="20">
          <cell r="B20" t="str">
            <v>Copepoda (Oncaeidae)</v>
          </cell>
          <cell r="C20" t="str">
            <v>urn:lsid:marinespecies.org:taxname:128586</v>
          </cell>
          <cell r="K20" t="str">
            <v>Oncaeidae Giesbrecht, 1893</v>
          </cell>
        </row>
        <row r="21">
          <cell r="B21" t="str">
            <v>Copepoda (Pontellidae)</v>
          </cell>
          <cell r="C21" t="str">
            <v>urn:lsid:marinespecies.org:taxname:104097</v>
          </cell>
          <cell r="K21" t="str">
            <v>Pontellidae Dana, 1852</v>
          </cell>
        </row>
        <row r="22">
          <cell r="B22" t="str">
            <v>Ctenophora</v>
          </cell>
          <cell r="C22" t="str">
            <v>urn:lsid:marinespecies.org:taxname:1248</v>
          </cell>
          <cell r="K22" t="str">
            <v>Ctenophora Eschscholtz, 1829</v>
          </cell>
        </row>
        <row r="23">
          <cell r="B23" t="str">
            <v>Decapoda (Alpheidae Zoea)</v>
          </cell>
          <cell r="C23" t="str">
            <v>urn:lsid:marinespecies.org:taxname:106776</v>
          </cell>
          <cell r="K23" t="str">
            <v>Alpheidae Rafinesque, 1815</v>
          </cell>
        </row>
        <row r="24">
          <cell r="B24" t="str">
            <v>Decapoda (Anomura Zoea)</v>
          </cell>
          <cell r="C24" t="str">
            <v>urn:lsid:marinespecies.org:taxname:106671</v>
          </cell>
          <cell r="K24" t="str">
            <v>Anomura MacLeay, 1838</v>
          </cell>
        </row>
        <row r="25">
          <cell r="B25" t="str">
            <v>Decapoda (Brachyura Megalopa)</v>
          </cell>
          <cell r="C25" t="str">
            <v>urn:lsid:marinespecies.org:taxname:106673</v>
          </cell>
          <cell r="K25" t="str">
            <v>Brachyura Latreille, 1802</v>
          </cell>
        </row>
        <row r="26">
          <cell r="B26" t="str">
            <v>Decapoda (Brachyura Zoea)</v>
          </cell>
          <cell r="C26" t="str">
            <v>urn:lsid:marinespecies.org:taxname:106673</v>
          </cell>
          <cell r="K26" t="str">
            <v>Brachyura Latreille, 1802</v>
          </cell>
        </row>
        <row r="27">
          <cell r="B27" t="str">
            <v>Decapoda (Caridea Zoea)</v>
          </cell>
          <cell r="C27" t="str">
            <v>urn:lsid:marinespecies.org:taxname:106674</v>
          </cell>
          <cell r="K27" t="str">
            <v>Caridea Dana, 1852</v>
          </cell>
        </row>
        <row r="28">
          <cell r="B28" t="str">
            <v>Decapoda (Caridea)</v>
          </cell>
          <cell r="C28" t="str">
            <v>urn:lsid:marinespecies.org:taxname:106674</v>
          </cell>
          <cell r="K28" t="str">
            <v>Caridea Dana, 1852</v>
          </cell>
        </row>
        <row r="29">
          <cell r="B29" t="str">
            <v>Decapoda (Megalopa)</v>
          </cell>
          <cell r="C29" t="str">
            <v>urn:lsid:marinespecies.org:taxname:1130</v>
          </cell>
          <cell r="K29" t="str">
            <v>Decapoda Latreille, 1802</v>
          </cell>
        </row>
        <row r="30">
          <cell r="B30" t="str">
            <v>Decapoda (Nauplio)</v>
          </cell>
          <cell r="C30" t="str">
            <v>urn:lsid:marinespecies.org:taxname:1130</v>
          </cell>
          <cell r="K30" t="str">
            <v>Decapoda Latreille, 1802</v>
          </cell>
        </row>
        <row r="31">
          <cell r="B31" t="str">
            <v>Decapoda (Phyllosoma)</v>
          </cell>
          <cell r="C31" t="str">
            <v>urn:lsid:marinespecies.org:taxname:1130</v>
          </cell>
          <cell r="K31" t="str">
            <v>Decapoda Latreille, 1802</v>
          </cell>
        </row>
        <row r="32">
          <cell r="B32" t="str">
            <v>Decapoda (Protozoea)</v>
          </cell>
          <cell r="C32" t="str">
            <v>urn:lsid:marinespecies.org:taxname:1130</v>
          </cell>
          <cell r="K32" t="str">
            <v>Decapoda Latreille, 1802</v>
          </cell>
        </row>
        <row r="33">
          <cell r="B33" t="str">
            <v>Decapoda (Stenopodidea)</v>
          </cell>
          <cell r="C33" t="str">
            <v>urn:lsid:marinespecies.org:taxname:106676</v>
          </cell>
          <cell r="K33" t="str">
            <v>Stenopodidea Spence Bate, 1888</v>
          </cell>
        </row>
        <row r="34">
          <cell r="B34" t="str">
            <v>Decapoda (Zoea)</v>
          </cell>
          <cell r="C34" t="str">
            <v>urn:lsid:marinespecies.org:taxname:1130</v>
          </cell>
          <cell r="K34" t="str">
            <v>Decapoda Latreille, 1802</v>
          </cell>
        </row>
        <row r="35">
          <cell r="B35" t="str">
            <v>Doliolida</v>
          </cell>
          <cell r="C35" t="str">
            <v>urn:lsid:marinespecies.org:taxname:137212</v>
          </cell>
          <cell r="K35" t="str">
            <v>Doliolida Delage &amp; Hérouard, 1898</v>
          </cell>
        </row>
        <row r="36">
          <cell r="B36" t="str">
            <v>Doliolidae</v>
          </cell>
          <cell r="C36" t="str">
            <v>urn:lsid:marinespecies.org:taxname:137215)</v>
          </cell>
          <cell r="K36" t="str">
            <v>Doliolidae Bronn, 1862</v>
          </cell>
        </row>
        <row r="37">
          <cell r="B37" t="str">
            <v>Echinodermata</v>
          </cell>
          <cell r="C37" t="str">
            <v>urn:lsid:marinespecies.org:taxname:1806</v>
          </cell>
          <cell r="K37" t="str">
            <v>Echinodermata Bruguiére, 1791 [ex Klein, 1734]</v>
          </cell>
        </row>
        <row r="38">
          <cell r="B38" t="str">
            <v>Echinodermata (Larva)</v>
          </cell>
          <cell r="C38" t="str">
            <v>urn:lsid:marinespecies.org:taxname:1806</v>
          </cell>
          <cell r="K38" t="str">
            <v>Echinodermata Bruguiére, 1791 [ex Klein, 1734]</v>
          </cell>
        </row>
        <row r="39">
          <cell r="B39" t="str">
            <v>Euphausiacea</v>
          </cell>
          <cell r="C39" t="str">
            <v>urn:lsid:marinespecies.org:taxname:1128</v>
          </cell>
          <cell r="K39" t="str">
            <v>Euphausiacea Dana, 1852</v>
          </cell>
        </row>
        <row r="40">
          <cell r="B40" t="str">
            <v>Euphausiacea</v>
          </cell>
          <cell r="C40" t="str">
            <v>urn:lsid:marinespecies.org:taxname:110671</v>
          </cell>
          <cell r="K40" t="str">
            <v>Euphausiidae Dana, 1852</v>
          </cell>
        </row>
        <row r="41">
          <cell r="B41" t="str">
            <v>Foraminifera</v>
          </cell>
          <cell r="C41" t="str">
            <v>urn:lsid:marinespecies.org:taxname:1410</v>
          </cell>
          <cell r="K41" t="str">
            <v>Foraminifera d'Orbigny, 1826</v>
          </cell>
        </row>
        <row r="42">
          <cell r="B42" t="str">
            <v>Foraminifera (Cancris)</v>
          </cell>
          <cell r="C42" t="str">
            <v>urn:lsid:marinespecies.org:taxname:112098</v>
          </cell>
          <cell r="K42" t="str">
            <v>Cancris Montfort, 1808</v>
          </cell>
        </row>
        <row r="43">
          <cell r="B43" t="str">
            <v>Foraminifera (Cancris)</v>
          </cell>
          <cell r="C43" t="str">
            <v>urn:lsid:marinespecies.org:taxname:112098</v>
          </cell>
          <cell r="K43" t="str">
            <v>Cancris Montfort, 1808</v>
          </cell>
        </row>
        <row r="44">
          <cell r="B44" t="str">
            <v>Foraminifera (Globigerinida)</v>
          </cell>
          <cell r="C44" t="str">
            <v>urn:lsid:marinespecies.org:taxname:111929</v>
          </cell>
          <cell r="K44" t="str">
            <v>Globigerinidae Carpenter et al., 1862</v>
          </cell>
        </row>
        <row r="45">
          <cell r="B45" t="str">
            <v>Foraminifera (Globoritalia)</v>
          </cell>
          <cell r="C45" t="str">
            <v>urn:lsid:marinespecies.org:taxname:112200</v>
          </cell>
          <cell r="K45" t="str">
            <v>Globorotalia Cushman, 1927</v>
          </cell>
        </row>
        <row r="46">
          <cell r="B46" t="str">
            <v>Hidroide (Campanulariidae)</v>
          </cell>
          <cell r="C46" t="str">
            <v>urn:lsid:marinespecies.org:taxname:1606</v>
          </cell>
          <cell r="K46" t="str">
            <v>Campanulariidae Johnston, 1836</v>
          </cell>
        </row>
        <row r="47">
          <cell r="B47" t="str">
            <v>Huevos desconocidos (morph 2)</v>
          </cell>
          <cell r="C47" t="str">
            <v>-</v>
          </cell>
          <cell r="K47" t="str">
            <v>Huevos desconocidos (morph 2)</v>
          </cell>
        </row>
        <row r="48">
          <cell r="B48" t="str">
            <v>Medusa (Amphinema)</v>
          </cell>
          <cell r="C48" t="str">
            <v>urn:lsid:marinespecies.org:taxname:117178</v>
          </cell>
          <cell r="K48" t="str">
            <v>Amphinema Haeckel,1879</v>
          </cell>
        </row>
        <row r="49">
          <cell r="B49" t="str">
            <v>Medusa (Amphinema)</v>
          </cell>
          <cell r="C49" t="str">
            <v>urn:lsid:marinespecies.org:taxname:117178</v>
          </cell>
          <cell r="K49" t="str">
            <v>Amphinema Haeckel,1879</v>
          </cell>
        </row>
        <row r="50">
          <cell r="B50" t="str">
            <v>Medusa (Anthomedusae)</v>
          </cell>
          <cell r="C50" t="str">
            <v>urn:lsid:marinespecies.org:taxname:117178</v>
          </cell>
          <cell r="K50" t="str">
            <v>Anthothetaca Cornelius, 1992</v>
          </cell>
        </row>
        <row r="51">
          <cell r="B51" t="str">
            <v>Medusa (Cubozoa)</v>
          </cell>
          <cell r="C51" t="str">
            <v>urn:lsid:marinespecies.org:taxname:135219</v>
          </cell>
          <cell r="K51" t="str">
            <v>Cubozoa Werner, 1973</v>
          </cell>
        </row>
        <row r="52">
          <cell r="B52" t="str">
            <v>Medusa (Cubozoa)</v>
          </cell>
          <cell r="C52" t="str">
            <v>urn:lsid:marinespecies.org:taxname:135219</v>
          </cell>
          <cell r="K52" t="str">
            <v>Cubozoa Werner, 1973</v>
          </cell>
        </row>
        <row r="53">
          <cell r="B53" t="str">
            <v>Medusa (Geryoniidae)</v>
          </cell>
          <cell r="C53" t="str">
            <v>urn:lsid:marinespecies.org:taxname:16843</v>
          </cell>
          <cell r="K53" t="str">
            <v>Geryoniidae Eschscholtz, 1829</v>
          </cell>
        </row>
        <row r="54">
          <cell r="B54" t="str">
            <v>Medusa (Hydrozoa)</v>
          </cell>
          <cell r="C54" t="str">
            <v>urn:lsid:marinespecies.org:taxname:1337</v>
          </cell>
          <cell r="K54" t="str">
            <v>Hydrozoa Owen, 1843</v>
          </cell>
        </row>
        <row r="55">
          <cell r="B55" t="str">
            <v>Medusa (Scyphozoa)</v>
          </cell>
          <cell r="C55" t="str">
            <v>urn:lsid:marinespecies.org:taxname:135240</v>
          </cell>
          <cell r="K55" t="str">
            <v xml:space="preserve"> Pelagiidae Gegenbaur, 1856</v>
          </cell>
        </row>
        <row r="56">
          <cell r="B56" t="str">
            <v>Mollusca</v>
          </cell>
          <cell r="C56" t="str">
            <v>urn:lsid:marinespecies.org:taxname:51</v>
          </cell>
          <cell r="K56" t="str">
            <v>Mollusca</v>
          </cell>
        </row>
        <row r="57">
          <cell r="B57" t="str">
            <v>Mollusca (Atlanta)</v>
          </cell>
          <cell r="C57" t="str">
            <v>urn:lsid:marinespecies.org:taxname:137687</v>
          </cell>
          <cell r="K57" t="str">
            <v>Atlanta Lesueur, 1817</v>
          </cell>
        </row>
        <row r="58">
          <cell r="B58" t="str">
            <v>Mollusca (Bivalvia)</v>
          </cell>
          <cell r="C58" t="str">
            <v>urn:lsid:marinespecies.org:taxname:105</v>
          </cell>
          <cell r="K58" t="str">
            <v>Bivalvia Linnaeus, 1758</v>
          </cell>
        </row>
        <row r="59">
          <cell r="B59" t="str">
            <v>Mollusca (Cavolinia uncinata)</v>
          </cell>
          <cell r="C59" t="str">
            <v>urn:lsid:marinespecies.org:taxname:139031</v>
          </cell>
          <cell r="K59" t="str">
            <v>Cavolinia uncinata (d'Orbigny, 1835)</v>
          </cell>
        </row>
        <row r="60">
          <cell r="B60" t="str">
            <v>Mollusca (Cavolinia)</v>
          </cell>
          <cell r="C60" t="str">
            <v>urn:lsid:marinespecies.org:taxname:137750</v>
          </cell>
          <cell r="K60" t="str">
            <v>Cavolinia Abildgaard, 1791</v>
          </cell>
        </row>
        <row r="61">
          <cell r="B61" t="str">
            <v>Mollusca (Cavoliniidae)</v>
          </cell>
          <cell r="C61" t="str">
            <v>urn:lsid:marinespecies.org:taxname:23000</v>
          </cell>
          <cell r="K61" t="str">
            <v>Cavoliniidae Gray, 1850 (1815)</v>
          </cell>
        </row>
        <row r="62">
          <cell r="B62" t="str">
            <v>Mollusca (Cephalopoda)</v>
          </cell>
          <cell r="C62" t="str">
            <v>urn:lsid:marinespecies.org:taxname:11707</v>
          </cell>
          <cell r="K62" t="str">
            <v>Cephalopoda Cuvier, 1795</v>
          </cell>
        </row>
        <row r="63">
          <cell r="B63" t="str">
            <v>Mollusca (Clio chaptalii)</v>
          </cell>
          <cell r="C63" t="str">
            <v>urn:lsid:marinespecies.org:taxname:224430</v>
          </cell>
          <cell r="K63" t="str">
            <v>Clio chaptalii Gray, 1850</v>
          </cell>
        </row>
        <row r="64">
          <cell r="B64" t="str">
            <v>Mollusca (Clio pyramidata) </v>
          </cell>
          <cell r="C64" t="str">
            <v>urn:lsid:marinespecies.org:taxname:139033</v>
          </cell>
          <cell r="K64" t="str">
            <v>Clio pyramidata Linnaeus, 1767</v>
          </cell>
        </row>
        <row r="65">
          <cell r="B65" t="str">
            <v>Mollusca (Clio)</v>
          </cell>
          <cell r="C65" t="str">
            <v>urn:lsid:marinespecies.org:taxname:137751</v>
          </cell>
          <cell r="K65" t="str">
            <v>Clio Linnaeus, 1767</v>
          </cell>
        </row>
        <row r="66">
          <cell r="B66" t="str">
            <v>Mollusca (Clione limacina)</v>
          </cell>
          <cell r="C66" t="str">
            <v>urn:lsid:marinespecies.org:taxname:139178</v>
          </cell>
          <cell r="K66" t="str">
            <v>Clione limacina (Phipps, 1774)</v>
          </cell>
        </row>
        <row r="67">
          <cell r="B67" t="str">
            <v>Mollusca (Creseis)</v>
          </cell>
          <cell r="C67" t="str">
            <v>urn:lsid:marinespecies.org:taxname:137752</v>
          </cell>
          <cell r="K67" t="str">
            <v>Creseis Rang, 1828</v>
          </cell>
        </row>
        <row r="68">
          <cell r="B68" t="str">
            <v>Mollusca (Diacria)</v>
          </cell>
          <cell r="C68" t="str">
            <v>urn:lsid:marinespecies.org:taxname:137755</v>
          </cell>
          <cell r="K68" t="str">
            <v>Diacria J.E. Gray, 1840</v>
          </cell>
        </row>
        <row r="69">
          <cell r="B69" t="str">
            <v>Mollusca (Firoloida desmarestia)</v>
          </cell>
          <cell r="C69" t="str">
            <v>urn:lsid:marinespecies.org:taxname:139943</v>
          </cell>
          <cell r="K69" t="str">
            <v>Firoloida desmarestia Lesueur, 1817</v>
          </cell>
        </row>
        <row r="70">
          <cell r="B70" t="str">
            <v>Mollusca (Gastropoda)</v>
          </cell>
          <cell r="C70" t="str">
            <v>urn:lsid:marinespecies.org:taxname:101</v>
          </cell>
          <cell r="K70" t="str">
            <v xml:space="preserve"> Gastropoda Cuvier, 1795</v>
          </cell>
        </row>
        <row r="71">
          <cell r="B71" t="str">
            <v>Mollusca (Heliconoides inflatus)</v>
          </cell>
          <cell r="C71" t="str">
            <v>urn:lsid:marinespecies.org:taxname:605965</v>
          </cell>
          <cell r="K71" t="str">
            <v>Heliconoides inflatus d'Orbigny, 1835</v>
          </cell>
        </row>
        <row r="72">
          <cell r="B72" t="str">
            <v>Mollusca (Heliconoides inflatus)</v>
          </cell>
          <cell r="C72" t="str">
            <v>urn:lsid:marinespecies.org:taxname:605965</v>
          </cell>
          <cell r="K72" t="str">
            <v>Heliconoides inflatus d'Orbigny, 1835</v>
          </cell>
        </row>
        <row r="73">
          <cell r="B73" t="str">
            <v>Mollusca (Limacina lesueurii)</v>
          </cell>
          <cell r="C73" t="str">
            <v>urn:lsid:marinespecies.org:taxname:140226</v>
          </cell>
          <cell r="K73" t="str">
            <v>Limacina lesueurii (d'Orbigny, 1836)</v>
          </cell>
        </row>
        <row r="74">
          <cell r="B74" t="str">
            <v>Mollusca (Limacina retroversa)</v>
          </cell>
          <cell r="C74" t="str">
            <v>urn:lsid:marinespecies.org:taxname:140227</v>
          </cell>
          <cell r="K74" t="str">
            <v>Limacina retroversa (J. Fleming, 1823)</v>
          </cell>
        </row>
        <row r="75">
          <cell r="B75" t="str">
            <v>Mollusca (Limacina trochiformis)</v>
          </cell>
          <cell r="C75" t="str">
            <v>urn:lsid:marinespecies.org:taxname:140228</v>
          </cell>
          <cell r="K75" t="str">
            <v>Limacina trochiformis (d'Orbigny, 1835)</v>
          </cell>
        </row>
        <row r="76">
          <cell r="B76" t="str">
            <v>Mollusca (Limacina)</v>
          </cell>
          <cell r="C76" t="str">
            <v>urn:lsid:marinespecies.org:taxname:138122</v>
          </cell>
          <cell r="K76" t="str">
            <v>Limacina Bosc, 1817</v>
          </cell>
        </row>
        <row r="77">
          <cell r="B77" t="str">
            <v>Mollusca (Nudibranchia)</v>
          </cell>
          <cell r="C77" t="str">
            <v>urn:lsid:marinespecies.org:taxname:1762</v>
          </cell>
          <cell r="K77" t="str">
            <v>Nudibranchia Cuvier, 1817</v>
          </cell>
        </row>
        <row r="78">
          <cell r="B78" t="str">
            <v>Mollusca (Peracle)</v>
          </cell>
          <cell r="C78" t="str">
            <v>urn:lsid:marinespecies.org:taxname:138327</v>
          </cell>
          <cell r="K78" t="str">
            <v>Peracle Forbes, 1844</v>
          </cell>
        </row>
        <row r="79">
          <cell r="B79" t="str">
            <v>Mollusca (Protatlanta)</v>
          </cell>
          <cell r="C79" t="str">
            <v>urn:lsid:marinespecies.org:taxname:137689</v>
          </cell>
          <cell r="K79" t="str">
            <v>Protatlanta Tesch, 1908</v>
          </cell>
        </row>
        <row r="80">
          <cell r="B80" t="str">
            <v>Mollusca (Pterotracheidae)</v>
          </cell>
          <cell r="C80" t="str">
            <v>urn:lsid:marinespecies.org:taxname:225072</v>
          </cell>
          <cell r="K80" t="str">
            <v>Pterotracheidae Rafinesque, 1814</v>
          </cell>
        </row>
        <row r="81">
          <cell r="B81" t="str">
            <v>Mollusca (Telodiacria danae)</v>
          </cell>
          <cell r="C81" t="str">
            <v>urn:lsid:marinespecies.org:taxname:1419959</v>
          </cell>
          <cell r="K81" t="str">
            <v>Telodiacria danae (van Leyen &amp; van der Spoel, 1982</v>
          </cell>
        </row>
        <row r="82">
          <cell r="B82" t="str">
            <v>Mollusca (Thielea helicoides)</v>
          </cell>
          <cell r="C82" t="str">
            <v>urn:lsid:marinespecies.org:taxname:729876</v>
          </cell>
          <cell r="K82" t="str">
            <v>Thielea helicoides (Jeffreys, 1877)</v>
          </cell>
        </row>
        <row r="83">
          <cell r="B83" t="str">
            <v>Mysidacea</v>
          </cell>
          <cell r="C83" t="str">
            <v>urn:lsid:marinespecies.org:taxname:2824</v>
          </cell>
          <cell r="K83" t="str">
            <v>Mysidacea Haworth, 1825 accepted as Mysida Boas, 1883</v>
          </cell>
        </row>
        <row r="84">
          <cell r="B84" t="str">
            <v>Mysidasea (Zoea)</v>
          </cell>
          <cell r="C84" t="str">
            <v>urn:lsid:marinespecies.org:taxname:149668</v>
          </cell>
          <cell r="K84" t="str">
            <v>Mysidacea Haworth, 1825 accepted as Mysida Boas, 1883</v>
          </cell>
        </row>
        <row r="85">
          <cell r="B85" t="str">
            <v>Nematoda</v>
          </cell>
          <cell r="C85" t="str">
            <v>urn:lsid:marinespecies.org:taxname:799</v>
          </cell>
          <cell r="K85" t="str">
            <v>-</v>
          </cell>
        </row>
        <row r="86">
          <cell r="B86" t="str">
            <v>Nemertea</v>
          </cell>
          <cell r="C86" t="str">
            <v>urn:lsid:marinespecies.org:taxname:152391</v>
          </cell>
          <cell r="K86" t="str">
            <v>-</v>
          </cell>
        </row>
        <row r="87">
          <cell r="B87" t="str">
            <v>Echinodermata (Ophiuroidea Larva)</v>
          </cell>
          <cell r="C87" t="str">
            <v>urn:lsid:marinespecies.org:taxname:123084</v>
          </cell>
          <cell r="K87" t="str">
            <v>Ophiuroidea Gray, 1840</v>
          </cell>
        </row>
        <row r="88">
          <cell r="B88" t="str">
            <v>Ostracoda</v>
          </cell>
          <cell r="C88" t="str">
            <v>urn:lsid:marinespecies.org:taxname:1078</v>
          </cell>
          <cell r="K88" t="str">
            <v>Ostracoda Latreille, 1802</v>
          </cell>
        </row>
        <row r="89">
          <cell r="B89" t="str">
            <v>Ostracoda (Rutiderma)</v>
          </cell>
          <cell r="C89" t="str">
            <v>urn:lsid:marinespecies.org:taxname:127563</v>
          </cell>
          <cell r="K89" t="str">
            <v>Rutiderma Brady &amp; Norman, 1896</v>
          </cell>
        </row>
        <row r="90">
          <cell r="B90" t="str">
            <v>Pez (Bothidae)</v>
          </cell>
          <cell r="C90" t="str">
            <v>urn:lsid:marinespecies.org:taxname:125576</v>
          </cell>
          <cell r="K90" t="str">
            <v>Bothidae Smitt, 1892</v>
          </cell>
        </row>
        <row r="91">
          <cell r="B91" t="str">
            <v>Pez (Eucinostomus dowii)</v>
          </cell>
          <cell r="C91" t="str">
            <v>urn:lsid:marinespecies.org:taxname:276417</v>
          </cell>
          <cell r="K91" t="str">
            <v>Eucinostomus dowii (Gill, 1863)</v>
          </cell>
        </row>
        <row r="92">
          <cell r="B92" t="str">
            <v>Pez (Haemulon californiensis)</v>
          </cell>
          <cell r="C92" t="str">
            <v>urn:lsid:marinespecies.org:taxname:1020317</v>
          </cell>
          <cell r="K92" t="str">
            <v>Haemulon californiensis (Steindachner, 1876)</v>
          </cell>
        </row>
        <row r="93">
          <cell r="B93" t="str">
            <v>Pez (Huevo)</v>
          </cell>
          <cell r="C93" t="str">
            <v>urn:lsid:marinespecies.org:taxname:10194</v>
          </cell>
          <cell r="K93" t="str">
            <v>Actinopterygii </v>
          </cell>
        </row>
        <row r="94">
          <cell r="B94" t="str">
            <v>Pez (Larva)</v>
          </cell>
          <cell r="C94" t="str">
            <v>urn:lsid:marinespecies.org:taxname:10194</v>
          </cell>
          <cell r="K94" t="str">
            <v>Actinopterygii </v>
          </cell>
        </row>
        <row r="95">
          <cell r="B95" t="str">
            <v>Pez (Myctophum aurolaternatum)</v>
          </cell>
          <cell r="C95" t="str">
            <v>urn:lsid:marinespecies.org:taxname:217715</v>
          </cell>
          <cell r="K95" t="str">
            <v>Myctophum aurolaternatum Garman, 1899</v>
          </cell>
        </row>
        <row r="96">
          <cell r="B96" t="str">
            <v>Pez (Oligoplites saurus)</v>
          </cell>
          <cell r="C96" t="str">
            <v>urn:lsid:marinespecies.org:taxname:159645</v>
          </cell>
          <cell r="K96" t="str">
            <v>Oligoplites saurus (Bloch &amp; Schneider, 1801)</v>
          </cell>
        </row>
        <row r="97">
          <cell r="B97" t="str">
            <v>Pez (Ophichthidae )</v>
          </cell>
          <cell r="C97" t="str">
            <v>urn:lsid:marinespecies.org:taxname:125434</v>
          </cell>
          <cell r="K97" t="str">
            <v>Ophichthidae Günther, 1870</v>
          </cell>
        </row>
        <row r="98">
          <cell r="B98" t="str">
            <v>Pez (Perciformes)</v>
          </cell>
          <cell r="C98" t="str">
            <v>urn:lsid:marinespecies.org:taxname:11014</v>
          </cell>
          <cell r="K98" t="str">
            <v>Perciformes</v>
          </cell>
        </row>
        <row r="99">
          <cell r="B99" t="str">
            <v>Pez (Symphurus atramentatus)</v>
          </cell>
          <cell r="C99" t="str">
            <v>urn:lsid:marinespecies.org:taxname:274233</v>
          </cell>
          <cell r="K99" t="str">
            <v>Symphurus atramentatus Jordan &amp; Bollman, 1890</v>
          </cell>
        </row>
        <row r="100">
          <cell r="B100" t="str">
            <v>Pez (Vinciguerria lucetia)</v>
          </cell>
          <cell r="C100" t="str">
            <v>urn:lsid:marinespecies.org:taxname:274961</v>
          </cell>
          <cell r="K100" t="str">
            <v>Vinciguerria lucetia (Garman, 1899)</v>
          </cell>
        </row>
        <row r="101">
          <cell r="B101" t="str">
            <v>Polychaeta (Huevo)</v>
          </cell>
          <cell r="C101" t="str">
            <v>urn:lsid:marinespecies.org:taxname:883</v>
          </cell>
          <cell r="K101" t="str">
            <v>Polychaeta Grube, 1850</v>
          </cell>
        </row>
        <row r="102">
          <cell r="B102" t="str">
            <v>Polychaeta (Larva)</v>
          </cell>
          <cell r="C102" t="str">
            <v>urn:lsid:marinespecies.org:taxname:883</v>
          </cell>
          <cell r="K102" t="str">
            <v>Polychaeta Grube, 1850</v>
          </cell>
        </row>
        <row r="103">
          <cell r="B103" t="str">
            <v>Pyrocystis fusiformis </v>
          </cell>
          <cell r="C103" t="str">
            <v>urn:lsid:marinespecies.org:taxname:110328</v>
          </cell>
          <cell r="K103" t="str">
            <v>Pyrocystis fusiformis C.W.Thomson, 1876</v>
          </cell>
        </row>
        <row r="104">
          <cell r="B104" t="str">
            <v>Pyrocystis pseudonoctiluca</v>
          </cell>
          <cell r="C104" t="str">
            <v>urn:lsid:marinespecies.org:taxname:573782</v>
          </cell>
          <cell r="K104" t="str">
            <v>Pyrocystis pseudonoctiluca Wyville-Thompson, 1876</v>
          </cell>
        </row>
        <row r="105">
          <cell r="B105" t="str">
            <v>Radiolaria</v>
          </cell>
          <cell r="C105" t="str">
            <v>urn:lsid:marinespecies.org:taxname:582421</v>
          </cell>
          <cell r="K105" t="str">
            <v>Radiolaria o Radiozoa Müller, 1858 emend.</v>
          </cell>
        </row>
        <row r="106">
          <cell r="B106" t="str">
            <v>Radiolaria (Spongodiscidae)</v>
          </cell>
          <cell r="C106" t="str">
            <v>urn:lsid:marinespecies.org:taxname:345858</v>
          </cell>
          <cell r="K106" t="str">
            <v>Spongodiscidae Haeckel, 1862 emend. Riedel, 1967</v>
          </cell>
        </row>
        <row r="107">
          <cell r="B107" t="str">
            <v>Salpidae</v>
          </cell>
          <cell r="C107" t="str">
            <v>urn:lsid:marinespecies.org:taxname:137217</v>
          </cell>
          <cell r="K107" t="str">
            <v>Salpidae Lahille, 1888</v>
          </cell>
        </row>
        <row r="108">
          <cell r="B108" t="str">
            <v>Siphonophora (Calycophorae)</v>
          </cell>
          <cell r="C108" t="str">
            <v>urn:lsid:marinespecies.org:taxname:135333</v>
          </cell>
          <cell r="K108" t="str">
            <v>Calycophorae Leuckart, 1854</v>
          </cell>
        </row>
        <row r="109">
          <cell r="B109" t="str">
            <v>Siphonophora (Diphyes)</v>
          </cell>
          <cell r="C109" t="str">
            <v>urn:lsid:marinespecies.org:taxname:135362</v>
          </cell>
          <cell r="K109" t="str">
            <v>Diphyes Cuvier, 1817</v>
          </cell>
        </row>
        <row r="110">
          <cell r="B110" t="str">
            <v>Siphonophora</v>
          </cell>
          <cell r="C110" t="str">
            <v>urn:lsid:marinespecies.org:taxname:1371</v>
          </cell>
          <cell r="K110" t="str">
            <v>Siphonophorae Eschscholtz, 1829</v>
          </cell>
        </row>
        <row r="111">
          <cell r="B111" t="str">
            <v>Siphonophora (Abylidae)</v>
          </cell>
          <cell r="C111" t="str">
            <v>urn:lsid:marinespecies.org:taxname:135336</v>
          </cell>
          <cell r="K111" t="str">
            <v>Abylidae L. Agassiz, 1862</v>
          </cell>
        </row>
        <row r="112">
          <cell r="B112" t="str">
            <v>Siphonophora (Abylopsis tetragona)</v>
          </cell>
          <cell r="C112" t="str">
            <v>urn:lsid:marinespecies.org:taxname:135403</v>
          </cell>
          <cell r="K112" t="str">
            <v>Abylopsis tetragona (Otto, 1823)</v>
          </cell>
        </row>
        <row r="113">
          <cell r="B113" t="str">
            <v>Siphonophora (Agalma okenii)</v>
          </cell>
          <cell r="C113" t="str">
            <v>urn:lsid:marinespecies.org:taxname:135485</v>
          </cell>
          <cell r="K113" t="str">
            <v>Agalma okenii Eschscholtz, 1825</v>
          </cell>
        </row>
        <row r="114">
          <cell r="B114" t="str">
            <v>Siphonophora (Agalmatidae)</v>
          </cell>
          <cell r="C114" t="str">
            <v>urn:lsid:marinespecies.org:taxname:135344</v>
          </cell>
          <cell r="K114" t="str">
            <v>Agalmatidae Brandt, 1834</v>
          </cell>
        </row>
        <row r="115">
          <cell r="B115" t="str">
            <v>Siphonophora (Bassia)</v>
          </cell>
          <cell r="C115" t="str">
            <v>urn:lsid:marinespecies.org:taxname:135353</v>
          </cell>
          <cell r="K115" t="str">
            <v>Bassia L. Agassiz, 1862</v>
          </cell>
        </row>
        <row r="116">
          <cell r="B116" t="str">
            <v>Siphonophora (Cystonectae)</v>
          </cell>
          <cell r="C116" t="str">
            <v>urn:lsid:marinespecies.org:taxname:135334</v>
          </cell>
          <cell r="K116" t="str">
            <v>Cystonectae Haeckel, 1887</v>
          </cell>
        </row>
        <row r="117">
          <cell r="B117" t="str">
            <v>Siphonophora (Diphyidae)</v>
          </cell>
          <cell r="C117" t="str">
            <v>urn:lsid:marinespecies.org:taxname:135338</v>
          </cell>
          <cell r="K117" t="str">
            <v>Diphyidae Quoy &amp; Gaimard, 1827</v>
          </cell>
        </row>
        <row r="118">
          <cell r="B118" t="str">
            <v>Siphonophora (Erenna richardi)</v>
          </cell>
          <cell r="C118" t="str">
            <v>urn:lsid:marinespecies.org:taxname:135487</v>
          </cell>
          <cell r="K118" t="str">
            <v>Erenna richardi Bedot, 1904</v>
          </cell>
        </row>
        <row r="119">
          <cell r="B119" t="str">
            <v>Siphonophora (Eudoxoides mitra)</v>
          </cell>
          <cell r="C119" t="str">
            <v>urn:lsid:marinespecies.org:taxname:135423</v>
          </cell>
          <cell r="K119" t="str">
            <v>Eudoxoides mitra Huxley, 1859</v>
          </cell>
        </row>
        <row r="120">
          <cell r="B120" t="str">
            <v>Siphonophora (Eudoxoides spiralis)</v>
          </cell>
          <cell r="C120" t="str">
            <v>urn:lsid:marinespecies.org:taxname:135424</v>
          </cell>
          <cell r="K120" t="str">
            <v>Eudoxoides spiralis (Bigelow, 1911)</v>
          </cell>
        </row>
        <row r="121">
          <cell r="B121" t="str">
            <v>Siphonophora (Hippopodius hippopus)</v>
          </cell>
          <cell r="C121" t="str">
            <v>urn:lsid:marinespecies.org:taxname:135449</v>
          </cell>
          <cell r="K121" t="str">
            <v>Hippopodius hippopus (Forsskål, 1776)</v>
          </cell>
        </row>
        <row r="122">
          <cell r="B122" t="str">
            <v>Siphonophora (Lensia fowleri)</v>
          </cell>
          <cell r="C122" t="str">
            <v>urn:lsid:marinespecies.org:taxname:135429</v>
          </cell>
          <cell r="K122" t="str">
            <v>Lensia fowleri (Bigelow, 1911)</v>
          </cell>
        </row>
        <row r="123">
          <cell r="B123" t="str">
            <v>Siphonophora (Lensia multicristata)</v>
          </cell>
          <cell r="C123" t="str">
            <v>urn:lsid:marinespecies.org:taxname:135436</v>
          </cell>
          <cell r="K123" t="str">
            <v>Lensia multicristata Moser, 1925</v>
          </cell>
        </row>
        <row r="124">
          <cell r="B124" t="str">
            <v>Siphonophora (Lensia subtiloides)</v>
          </cell>
          <cell r="C124" t="str">
            <v>urn:lsid:marinespecies.org:taxname:135440</v>
          </cell>
          <cell r="K124" t="str">
            <v>Lensia subtiloides (Lens &amp; van Riemsdijk, 1908)</v>
          </cell>
        </row>
        <row r="125">
          <cell r="B125" t="str">
            <v>Siphonophora (Lensia)</v>
          </cell>
          <cell r="C125" t="str">
            <v>urn:lsid:marinespecies.org:taxname:135365</v>
          </cell>
          <cell r="K125" t="str">
            <v>Lensia Totton, 1932</v>
          </cell>
        </row>
        <row r="126">
          <cell r="B126" t="str">
            <v>Siphonophora (Muggiaea)</v>
          </cell>
          <cell r="C126" t="str">
            <v>urn:lsid:marinespecies.org:taxname:135366</v>
          </cell>
          <cell r="K126" t="str">
            <v>Muggiaea Busch, 1851</v>
          </cell>
        </row>
        <row r="127">
          <cell r="B127" t="str">
            <v>Siphonophora (Prayidae)</v>
          </cell>
          <cell r="C127" t="str">
            <v>urn:lsid:marinespecies.org:taxname:135340</v>
          </cell>
          <cell r="K127" t="str">
            <v>Prayidae Kölliker, 1853</v>
          </cell>
        </row>
        <row r="128">
          <cell r="B128" t="str">
            <v>Siphonophora (Resomiidae)</v>
          </cell>
          <cell r="C128" t="str">
            <v>urn:lsid:marinespecies.org:taxname:708919</v>
          </cell>
          <cell r="K128" t="str">
            <v>Resomiidae Pugh, 2006</v>
          </cell>
        </row>
        <row r="129">
          <cell r="B129" t="str">
            <v>Siphonophora (Rhizophysa filiformis)</v>
          </cell>
          <cell r="C129" t="str">
            <v>urn:lsid:marinespecies.org:taxname:135482</v>
          </cell>
          <cell r="K129" t="str">
            <v>Rhizophysa filiformis Forsskål, 1775</v>
          </cell>
        </row>
        <row r="130">
          <cell r="B130" t="str">
            <v>Siphonophora (Vogtia spinosa)</v>
          </cell>
          <cell r="C130" t="str">
            <v>urn:lsid:marinespecies.org:taxname:135453</v>
          </cell>
          <cell r="K130" t="str">
            <v>Vogtia spinosa Keferstein &amp; Ehlers, 1861</v>
          </cell>
        </row>
        <row r="131">
          <cell r="B131" t="str">
            <v>Sipunculida</v>
          </cell>
          <cell r="C131" t="str">
            <v>urn:lsid:marinespecies.org:taxname:1648</v>
          </cell>
          <cell r="K131" t="str">
            <v>Sipunculidae Rafinesque, 1814</v>
          </cell>
        </row>
        <row r="132">
          <cell r="B132" t="str">
            <v>Sipunculida (Larva)</v>
          </cell>
          <cell r="C132" t="str">
            <v>urn:lsid:marinespecies.org:taxname:1648</v>
          </cell>
          <cell r="K132" t="str">
            <v>Sipunculidae Rafinesque, 1814</v>
          </cell>
        </row>
        <row r="133">
          <cell r="B133" t="str">
            <v>Stomatopoda</v>
          </cell>
          <cell r="C133" t="str">
            <v>urn:lsid:marinespecies.org:taxname:14355</v>
          </cell>
          <cell r="K133" t="str">
            <v>Stomatopoda Latreille, 1817</v>
          </cell>
        </row>
        <row r="134">
          <cell r="B134" t="str">
            <v>Medusa (Eutima)</v>
          </cell>
          <cell r="C134" t="str">
            <v>urn:lsid:marinespecies.org:taxname:117082</v>
          </cell>
          <cell r="K134" t="str">
            <v>Eutima McCrady, 1859</v>
          </cell>
        </row>
        <row r="135">
          <cell r="B135" t="str">
            <v>Pez (Gerreidae)</v>
          </cell>
          <cell r="C135" t="str">
            <v>urn:lsid:marinespecies.org:taxname:151456</v>
          </cell>
          <cell r="K135" t="str">
            <v>Gerreidae Bleeker, 1859</v>
          </cell>
        </row>
      </sheetData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xonomía_General"/>
      <sheetName val="Spp_X_ADD"/>
      <sheetName val="unmatch_9_julio"/>
    </sheetNames>
    <sheetDataSet>
      <sheetData sheetId="0"/>
      <sheetData sheetId="1"/>
      <sheetData sheetId="2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63" Type="http://schemas.openxmlformats.org/officeDocument/2006/relationships/ctrlProp" Target="../ctrlProps/ctrlProp60.xml"/><Relationship Id="rId159" Type="http://schemas.openxmlformats.org/officeDocument/2006/relationships/ctrlProp" Target="../ctrlProps/ctrlProp156.xml"/><Relationship Id="rId170" Type="http://schemas.openxmlformats.org/officeDocument/2006/relationships/ctrlProp" Target="../ctrlProps/ctrlProp167.xml"/><Relationship Id="rId226" Type="http://schemas.openxmlformats.org/officeDocument/2006/relationships/ctrlProp" Target="../ctrlProps/ctrlProp223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53" Type="http://schemas.openxmlformats.org/officeDocument/2006/relationships/ctrlProp" Target="../ctrlProps/ctrlProp50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149" Type="http://schemas.openxmlformats.org/officeDocument/2006/relationships/ctrlProp" Target="../ctrlProps/ctrlProp146.xml"/><Relationship Id="rId5" Type="http://schemas.openxmlformats.org/officeDocument/2006/relationships/ctrlProp" Target="../ctrlProps/ctrlProp2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181" Type="http://schemas.openxmlformats.org/officeDocument/2006/relationships/ctrlProp" Target="../ctrlProps/ctrlProp178.xml"/><Relationship Id="rId216" Type="http://schemas.openxmlformats.org/officeDocument/2006/relationships/ctrlProp" Target="../ctrlProps/ctrlProp213.xml"/><Relationship Id="rId237" Type="http://schemas.openxmlformats.org/officeDocument/2006/relationships/ctrlProp" Target="../ctrlProps/ctrlProp234.xml"/><Relationship Id="rId258" Type="http://schemas.openxmlformats.org/officeDocument/2006/relationships/ctrlProp" Target="../ctrlProps/ctrlProp255.xml"/><Relationship Id="rId22" Type="http://schemas.openxmlformats.org/officeDocument/2006/relationships/ctrlProp" Target="../ctrlProps/ctrlProp19.xml"/><Relationship Id="rId43" Type="http://schemas.openxmlformats.org/officeDocument/2006/relationships/ctrlProp" Target="../ctrlProps/ctrlProp40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139" Type="http://schemas.openxmlformats.org/officeDocument/2006/relationships/ctrlProp" Target="../ctrlProps/ctrlProp136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71" Type="http://schemas.openxmlformats.org/officeDocument/2006/relationships/ctrlProp" Target="../ctrlProps/ctrlProp168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227" Type="http://schemas.openxmlformats.org/officeDocument/2006/relationships/ctrlProp" Target="../ctrlProps/ctrlProp224.xml"/><Relationship Id="rId248" Type="http://schemas.openxmlformats.org/officeDocument/2006/relationships/ctrlProp" Target="../ctrlProps/ctrlProp245.xml"/><Relationship Id="rId12" Type="http://schemas.openxmlformats.org/officeDocument/2006/relationships/ctrlProp" Target="../ctrlProps/ctrlProp9.xml"/><Relationship Id="rId33" Type="http://schemas.openxmlformats.org/officeDocument/2006/relationships/ctrlProp" Target="../ctrlProps/ctrlProp30.xml"/><Relationship Id="rId108" Type="http://schemas.openxmlformats.org/officeDocument/2006/relationships/ctrlProp" Target="../ctrlProps/ctrlProp105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5" Type="http://schemas.openxmlformats.org/officeDocument/2006/relationships/ctrlProp" Target="../ctrlProps/ctrlProp72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61" Type="http://schemas.openxmlformats.org/officeDocument/2006/relationships/ctrlProp" Target="../ctrlProps/ctrlProp158.xml"/><Relationship Id="rId182" Type="http://schemas.openxmlformats.org/officeDocument/2006/relationships/ctrlProp" Target="../ctrlProps/ctrlProp179.xml"/><Relationship Id="rId217" Type="http://schemas.openxmlformats.org/officeDocument/2006/relationships/ctrlProp" Target="../ctrlProps/ctrlProp214.xml"/><Relationship Id="rId6" Type="http://schemas.openxmlformats.org/officeDocument/2006/relationships/ctrlProp" Target="../ctrlProps/ctrlProp3.xml"/><Relationship Id="rId238" Type="http://schemas.openxmlformats.org/officeDocument/2006/relationships/ctrlProp" Target="../ctrlProps/ctrlProp235.xml"/><Relationship Id="rId259" Type="http://schemas.openxmlformats.org/officeDocument/2006/relationships/ctrlProp" Target="../ctrlProps/ctrlProp256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5" Type="http://schemas.openxmlformats.org/officeDocument/2006/relationships/ctrlProp" Target="../ctrlProps/ctrlProp62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51" Type="http://schemas.openxmlformats.org/officeDocument/2006/relationships/ctrlProp" Target="../ctrlProps/ctrlProp148.xml"/><Relationship Id="rId172" Type="http://schemas.openxmlformats.org/officeDocument/2006/relationships/ctrlProp" Target="../ctrlProps/ctrlProp169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228" Type="http://schemas.openxmlformats.org/officeDocument/2006/relationships/ctrlProp" Target="../ctrlProps/ctrlProp225.xml"/><Relationship Id="rId249" Type="http://schemas.openxmlformats.org/officeDocument/2006/relationships/ctrlProp" Target="../ctrlProps/ctrlProp246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260" Type="http://schemas.openxmlformats.org/officeDocument/2006/relationships/ctrlProp" Target="../ctrlProps/ctrlProp257.xml"/><Relationship Id="rId34" Type="http://schemas.openxmlformats.org/officeDocument/2006/relationships/ctrlProp" Target="../ctrlProps/ctrlProp31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162" Type="http://schemas.openxmlformats.org/officeDocument/2006/relationships/ctrlProp" Target="../ctrlProps/ctrlProp159.xml"/><Relationship Id="rId183" Type="http://schemas.openxmlformats.org/officeDocument/2006/relationships/ctrlProp" Target="../ctrlProps/ctrlProp180.xml"/><Relationship Id="rId218" Type="http://schemas.openxmlformats.org/officeDocument/2006/relationships/ctrlProp" Target="../ctrlProps/ctrlProp215.xml"/><Relationship Id="rId239" Type="http://schemas.openxmlformats.org/officeDocument/2006/relationships/ctrlProp" Target="../ctrlProps/ctrlProp236.xml"/><Relationship Id="rId250" Type="http://schemas.openxmlformats.org/officeDocument/2006/relationships/ctrlProp" Target="../ctrlProps/ctrlProp247.xml"/><Relationship Id="rId24" Type="http://schemas.openxmlformats.org/officeDocument/2006/relationships/ctrlProp" Target="../ctrlProps/ctrlProp21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31" Type="http://schemas.openxmlformats.org/officeDocument/2006/relationships/ctrlProp" Target="../ctrlProps/ctrlProp128.xml"/><Relationship Id="rId152" Type="http://schemas.openxmlformats.org/officeDocument/2006/relationships/ctrlProp" Target="../ctrlProps/ctrlProp149.xml"/><Relationship Id="rId173" Type="http://schemas.openxmlformats.org/officeDocument/2006/relationships/ctrlProp" Target="../ctrlProps/ctrlProp170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229" Type="http://schemas.openxmlformats.org/officeDocument/2006/relationships/ctrlProp" Target="../ctrlProps/ctrlProp226.xml"/><Relationship Id="rId240" Type="http://schemas.openxmlformats.org/officeDocument/2006/relationships/ctrlProp" Target="../ctrlProps/ctrlProp237.xml"/><Relationship Id="rId261" Type="http://schemas.openxmlformats.org/officeDocument/2006/relationships/ctrlProp" Target="../ctrlProps/ctrlProp258.xml"/><Relationship Id="rId14" Type="http://schemas.openxmlformats.org/officeDocument/2006/relationships/ctrlProp" Target="../ctrlProps/ctrlProp11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8" Type="http://schemas.openxmlformats.org/officeDocument/2006/relationships/ctrlProp" Target="../ctrlProps/ctrlProp5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163" Type="http://schemas.openxmlformats.org/officeDocument/2006/relationships/ctrlProp" Target="../ctrlProps/ctrlProp160.xml"/><Relationship Id="rId184" Type="http://schemas.openxmlformats.org/officeDocument/2006/relationships/ctrlProp" Target="../ctrlProps/ctrlProp181.xml"/><Relationship Id="rId219" Type="http://schemas.openxmlformats.org/officeDocument/2006/relationships/ctrlProp" Target="../ctrlProps/ctrlProp216.xml"/><Relationship Id="rId230" Type="http://schemas.openxmlformats.org/officeDocument/2006/relationships/ctrlProp" Target="../ctrlProps/ctrlProp227.xml"/><Relationship Id="rId251" Type="http://schemas.openxmlformats.org/officeDocument/2006/relationships/ctrlProp" Target="../ctrlProps/ctrlProp248.x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74" Type="http://schemas.openxmlformats.org/officeDocument/2006/relationships/ctrlProp" Target="../ctrlProps/ctrlProp171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220" Type="http://schemas.openxmlformats.org/officeDocument/2006/relationships/ctrlProp" Target="../ctrlProps/ctrlProp217.xml"/><Relationship Id="rId241" Type="http://schemas.openxmlformats.org/officeDocument/2006/relationships/ctrlProp" Target="../ctrlProps/ctrlProp238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262" Type="http://schemas.openxmlformats.org/officeDocument/2006/relationships/ctrlProp" Target="../ctrlProps/ctrlProp259.xml"/><Relationship Id="rId78" Type="http://schemas.openxmlformats.org/officeDocument/2006/relationships/ctrlProp" Target="../ctrlProps/ctrlProp75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64" Type="http://schemas.openxmlformats.org/officeDocument/2006/relationships/ctrlProp" Target="../ctrlProps/ctrlProp161.xml"/><Relationship Id="rId185" Type="http://schemas.openxmlformats.org/officeDocument/2006/relationships/ctrlProp" Target="../ctrlProps/ctrlProp182.xml"/><Relationship Id="rId9" Type="http://schemas.openxmlformats.org/officeDocument/2006/relationships/ctrlProp" Target="../ctrlProps/ctrlProp6.xml"/><Relationship Id="rId210" Type="http://schemas.openxmlformats.org/officeDocument/2006/relationships/ctrlProp" Target="../ctrlProps/ctrlProp207.xml"/><Relationship Id="rId26" Type="http://schemas.openxmlformats.org/officeDocument/2006/relationships/ctrlProp" Target="../ctrlProps/ctrlProp23.xml"/><Relationship Id="rId231" Type="http://schemas.openxmlformats.org/officeDocument/2006/relationships/ctrlProp" Target="../ctrlProps/ctrlProp228.xml"/><Relationship Id="rId252" Type="http://schemas.openxmlformats.org/officeDocument/2006/relationships/ctrlProp" Target="../ctrlProps/ctrlProp249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75" Type="http://schemas.openxmlformats.org/officeDocument/2006/relationships/ctrlProp" Target="../ctrlProps/ctrlProp172.xml"/><Relationship Id="rId196" Type="http://schemas.openxmlformats.org/officeDocument/2006/relationships/ctrlProp" Target="../ctrlProps/ctrlProp193.xml"/><Relationship Id="rId200" Type="http://schemas.openxmlformats.org/officeDocument/2006/relationships/ctrlProp" Target="../ctrlProps/ctrlProp197.xml"/><Relationship Id="rId16" Type="http://schemas.openxmlformats.org/officeDocument/2006/relationships/ctrlProp" Target="../ctrlProps/ctrlProp13.xml"/><Relationship Id="rId221" Type="http://schemas.openxmlformats.org/officeDocument/2006/relationships/ctrlProp" Target="../ctrlProps/ctrlProp218.xml"/><Relationship Id="rId242" Type="http://schemas.openxmlformats.org/officeDocument/2006/relationships/ctrlProp" Target="../ctrlProps/ctrlProp239.xml"/><Relationship Id="rId263" Type="http://schemas.openxmlformats.org/officeDocument/2006/relationships/ctrlProp" Target="../ctrlProps/ctrlProp260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65" Type="http://schemas.openxmlformats.org/officeDocument/2006/relationships/ctrlProp" Target="../ctrlProps/ctrlProp162.xml"/><Relationship Id="rId186" Type="http://schemas.openxmlformats.org/officeDocument/2006/relationships/ctrlProp" Target="../ctrlProps/ctrlProp183.xml"/><Relationship Id="rId211" Type="http://schemas.openxmlformats.org/officeDocument/2006/relationships/ctrlProp" Target="../ctrlProps/ctrlProp208.xml"/><Relationship Id="rId232" Type="http://schemas.openxmlformats.org/officeDocument/2006/relationships/ctrlProp" Target="../ctrlProps/ctrlProp229.xml"/><Relationship Id="rId253" Type="http://schemas.openxmlformats.org/officeDocument/2006/relationships/ctrlProp" Target="../ctrlProps/ctrlProp250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Relationship Id="rId176" Type="http://schemas.openxmlformats.org/officeDocument/2006/relationships/ctrlProp" Target="../ctrlProps/ctrlProp173.xml"/><Relationship Id="rId197" Type="http://schemas.openxmlformats.org/officeDocument/2006/relationships/ctrlProp" Target="../ctrlProps/ctrlProp194.xml"/><Relationship Id="rId201" Type="http://schemas.openxmlformats.org/officeDocument/2006/relationships/ctrlProp" Target="../ctrlProps/ctrlProp198.xml"/><Relationship Id="rId222" Type="http://schemas.openxmlformats.org/officeDocument/2006/relationships/ctrlProp" Target="../ctrlProps/ctrlProp219.xml"/><Relationship Id="rId243" Type="http://schemas.openxmlformats.org/officeDocument/2006/relationships/ctrlProp" Target="../ctrlProps/ctrlProp240.xml"/><Relationship Id="rId264" Type="http://schemas.openxmlformats.org/officeDocument/2006/relationships/ctrlProp" Target="../ctrlProps/ctrlProp261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9.xml"/><Relationship Id="rId233" Type="http://schemas.openxmlformats.org/officeDocument/2006/relationships/ctrlProp" Target="../ctrlProps/ctrlProp230.xml"/><Relationship Id="rId254" Type="http://schemas.openxmlformats.org/officeDocument/2006/relationships/ctrlProp" Target="../ctrlProps/ctrlProp251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202" Type="http://schemas.openxmlformats.org/officeDocument/2006/relationships/ctrlProp" Target="../ctrlProps/ctrlProp199.xml"/><Relationship Id="rId223" Type="http://schemas.openxmlformats.org/officeDocument/2006/relationships/ctrlProp" Target="../ctrlProps/ctrlProp220.xml"/><Relationship Id="rId244" Type="http://schemas.openxmlformats.org/officeDocument/2006/relationships/ctrlProp" Target="../ctrlProps/ctrlProp241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265" Type="http://schemas.openxmlformats.org/officeDocument/2006/relationships/ctrlProp" Target="../ctrlProps/ctrlProp262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34" Type="http://schemas.openxmlformats.org/officeDocument/2006/relationships/ctrlProp" Target="../ctrlProps/ctrlProp231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55" Type="http://schemas.openxmlformats.org/officeDocument/2006/relationships/ctrlProp" Target="../ctrlProps/ctrlProp252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19" Type="http://schemas.openxmlformats.org/officeDocument/2006/relationships/ctrlProp" Target="../ctrlProps/ctrlProp16.xml"/><Relationship Id="rId224" Type="http://schemas.openxmlformats.org/officeDocument/2006/relationships/ctrlProp" Target="../ctrlProps/ctrlProp221.xml"/><Relationship Id="rId245" Type="http://schemas.openxmlformats.org/officeDocument/2006/relationships/ctrlProp" Target="../ctrlProps/ctrlProp242.xml"/><Relationship Id="rId266" Type="http://schemas.openxmlformats.org/officeDocument/2006/relationships/ctrlProp" Target="../ctrlProps/ctrlProp263.xml"/><Relationship Id="rId30" Type="http://schemas.openxmlformats.org/officeDocument/2006/relationships/ctrlProp" Target="../ctrlProps/ctrlProp2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189" Type="http://schemas.openxmlformats.org/officeDocument/2006/relationships/ctrlProp" Target="../ctrlProps/ctrlProp186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35" Type="http://schemas.openxmlformats.org/officeDocument/2006/relationships/ctrlProp" Target="../ctrlProps/ctrlProp232.xml"/><Relationship Id="rId256" Type="http://schemas.openxmlformats.org/officeDocument/2006/relationships/ctrlProp" Target="../ctrlProps/ctrlProp253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179" Type="http://schemas.openxmlformats.org/officeDocument/2006/relationships/ctrlProp" Target="../ctrlProps/ctrlProp176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225" Type="http://schemas.openxmlformats.org/officeDocument/2006/relationships/ctrlProp" Target="../ctrlProps/ctrlProp222.xml"/><Relationship Id="rId246" Type="http://schemas.openxmlformats.org/officeDocument/2006/relationships/ctrlProp" Target="../ctrlProps/ctrlProp243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94" Type="http://schemas.openxmlformats.org/officeDocument/2006/relationships/ctrlProp" Target="../ctrlProps/ctrlProp91.xml"/><Relationship Id="rId148" Type="http://schemas.openxmlformats.org/officeDocument/2006/relationships/ctrlProp" Target="../ctrlProps/ctrlProp145.xml"/><Relationship Id="rId169" Type="http://schemas.openxmlformats.org/officeDocument/2006/relationships/ctrlProp" Target="../ctrlProps/ctrlProp166.xml"/><Relationship Id="rId4" Type="http://schemas.openxmlformats.org/officeDocument/2006/relationships/ctrlProp" Target="../ctrlProps/ctrlProp1.xml"/><Relationship Id="rId180" Type="http://schemas.openxmlformats.org/officeDocument/2006/relationships/ctrlProp" Target="../ctrlProps/ctrlProp177.xml"/><Relationship Id="rId215" Type="http://schemas.openxmlformats.org/officeDocument/2006/relationships/ctrlProp" Target="../ctrlProps/ctrlProp212.xml"/><Relationship Id="rId236" Type="http://schemas.openxmlformats.org/officeDocument/2006/relationships/ctrlProp" Target="../ctrlProps/ctrlProp233.xml"/><Relationship Id="rId257" Type="http://schemas.openxmlformats.org/officeDocument/2006/relationships/ctrlProp" Target="../ctrlProps/ctrlProp254.xml"/><Relationship Id="rId42" Type="http://schemas.openxmlformats.org/officeDocument/2006/relationships/ctrlProp" Target="../ctrlProps/ctrlProp39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247" Type="http://schemas.openxmlformats.org/officeDocument/2006/relationships/ctrlProp" Target="../ctrlProps/ctrlProp24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377"/>
  <sheetViews>
    <sheetView topLeftCell="A104" workbookViewId="0">
      <selection activeCell="A105" sqref="A105"/>
    </sheetView>
  </sheetViews>
  <sheetFormatPr baseColWidth="10" defaultRowHeight="12.5" x14ac:dyDescent="0.25"/>
  <cols>
    <col min="1" max="1" width="29.54296875" customWidth="1"/>
    <col min="2" max="2" width="44.26953125" customWidth="1"/>
    <col min="3" max="3" width="43.81640625" customWidth="1"/>
  </cols>
  <sheetData>
    <row r="1" spans="1:3" x14ac:dyDescent="0.25">
      <c r="A1" t="str">
        <f>[1]Taxonomía_General!$B4</f>
        <v>Acari</v>
      </c>
      <c r="B1" t="str">
        <f>[1]Taxonomía_General!$K4</f>
        <v>Acari Leach, 1817</v>
      </c>
      <c r="C1" t="str">
        <f>[1]Taxonomía_General!$C4</f>
        <v>urn:lsid:marinespecies.org:taxname:292684</v>
      </c>
    </row>
    <row r="2" spans="1:3" x14ac:dyDescent="0.25">
      <c r="A2" t="str">
        <f>[1]Taxonomía_General!$B5</f>
        <v>Amphipoda</v>
      </c>
      <c r="B2" t="str">
        <f>[1]Taxonomía_General!$K5</f>
        <v>Amphipoda Latreille, 1816</v>
      </c>
      <c r="C2" t="str">
        <f>[1]Taxonomía_General!$C5</f>
        <v>urn:lsid:marinespecies.org:taxname:1135</v>
      </c>
    </row>
    <row r="3" spans="1:3" x14ac:dyDescent="0.25">
      <c r="A3" t="str">
        <f>[1]Taxonomía_General!$B6</f>
        <v>Amphipoda (Hyperiidae)</v>
      </c>
      <c r="B3" t="str">
        <f>[1]Taxonomía_General!$K6</f>
        <v>Hyperiidae Dana, 1852</v>
      </c>
      <c r="C3" t="str">
        <f>[1]Taxonomía_General!$C6</f>
        <v>urn:lsid:marinespecies.org:taxname:101417</v>
      </c>
    </row>
    <row r="4" spans="1:3" x14ac:dyDescent="0.25">
      <c r="A4" t="str">
        <f>[1]Taxonomía_General!$B7</f>
        <v>Amphipoda (Platysceloidea)</v>
      </c>
      <c r="B4" t="str">
        <f>[1]Taxonomía_General!$K7</f>
        <v>Platysceloidea Spence Bate, 1862</v>
      </c>
      <c r="C4" t="str">
        <f>[1]Taxonomía_General!$C7</f>
        <v>urn:lsid:marinespecies.org:taxname:155698</v>
      </c>
    </row>
    <row r="5" spans="1:3" x14ac:dyDescent="0.25">
      <c r="A5" t="str">
        <f>[1]Taxonomía_General!$B8</f>
        <v>Amphipoda (Vibilioidea)</v>
      </c>
      <c r="B5" t="str">
        <f>[1]Taxonomía_General!$K8</f>
        <v>Vibilioidea Dana, 1852</v>
      </c>
      <c r="C5" t="str">
        <f>[1]Taxonomía_General!$C8</f>
        <v>urn:lsid:marinespecies.org:taxname:155694</v>
      </c>
    </row>
    <row r="6" spans="1:3" x14ac:dyDescent="0.25">
      <c r="A6" t="str">
        <f>[1]Taxonomía_General!$B9</f>
        <v>Appendicularia</v>
      </c>
      <c r="B6" t="str">
        <f>[1]Taxonomía_General!$K9</f>
        <v>Appendicularia Hopcroft, 2021</v>
      </c>
      <c r="C6" t="str">
        <f>[1]Taxonomía_General!$C9</f>
        <v>urn:lsid:marinespecies.org:taxname:146421</v>
      </c>
    </row>
    <row r="7" spans="1:3" x14ac:dyDescent="0.25">
      <c r="A7" t="str">
        <f>[1]Taxonomía_General!$B10</f>
        <v>Brachiopoda (Lingula)</v>
      </c>
      <c r="B7" t="str">
        <f>[1]Taxonomía_General!$K10</f>
        <v>Lingula Bruguière, 1791</v>
      </c>
      <c r="C7" t="str">
        <f>[1]Taxonomía_General!$C10</f>
        <v>urn:lsid:marinespecies.org:taxname:235158</v>
      </c>
    </row>
    <row r="8" spans="1:3" x14ac:dyDescent="0.25">
      <c r="A8" t="str">
        <f>[1]Taxonomía_General!$B11</f>
        <v>Chaetognatha</v>
      </c>
      <c r="B8" t="str">
        <f>[1]Taxonomía_General!$K11</f>
        <v>Chaetognatha Leuckart, 1854</v>
      </c>
      <c r="C8" t="str">
        <f>[1]Taxonomía_General!$C11</f>
        <v>urn:lsid:marinespecies.org:taxname:2081</v>
      </c>
    </row>
    <row r="9" spans="1:3" x14ac:dyDescent="0.25">
      <c r="A9" t="str">
        <f>[1]Taxonomía_General!$B12</f>
        <v>Cirripedia (Larva)</v>
      </c>
      <c r="B9" t="str">
        <f>[1]Taxonomía_General!$K12</f>
        <v>Cirripedia Burmeister, 1834</v>
      </c>
      <c r="C9" t="str">
        <f>[1]Taxonomía_General!$C12</f>
        <v>urn:lsid:marinespecies.org:taxname:1082</v>
      </c>
    </row>
    <row r="10" spans="1:3" x14ac:dyDescent="0.25">
      <c r="A10" t="str">
        <f>[1]Taxonomía_General!$B13</f>
        <v>Cladocera</v>
      </c>
      <c r="B10" t="str">
        <f>[1]Taxonomía_General!$K13</f>
        <v>Cladocera Latreille, 1829</v>
      </c>
      <c r="C10" t="str">
        <f>[1]Taxonomía_General!$C13</f>
        <v>urn:lsid:marinespecies.org:taxname:1076</v>
      </c>
    </row>
    <row r="11" spans="1:3" x14ac:dyDescent="0.25">
      <c r="A11" t="str">
        <f>[1]Taxonomía_General!$B14</f>
        <v>Copepoda</v>
      </c>
      <c r="B11" t="str">
        <f>[1]Taxonomía_General!$K14</f>
        <v>Copepoda Milne Edwards, 1840</v>
      </c>
      <c r="C11" t="str">
        <f>[1]Taxonomía_General!$C14</f>
        <v>urn:lsid:marinespecies.org:taxname:1080</v>
      </c>
    </row>
    <row r="12" spans="1:3" x14ac:dyDescent="0.25">
      <c r="A12" t="str">
        <f>[1]Taxonomía_General!$B15</f>
        <v>Copepoda (Calanoida)</v>
      </c>
      <c r="B12" t="str">
        <f>[1]Taxonomía_General!$K15</f>
        <v>Calanoida Sars G. O., 1903</v>
      </c>
      <c r="C12" t="str">
        <f>[1]Taxonomía_General!$C15</f>
        <v>urn:lsid:marinespecies.org:taxname:1100</v>
      </c>
    </row>
    <row r="13" spans="1:3" x14ac:dyDescent="0.25">
      <c r="A13" t="str">
        <f>[1]Taxonomía_General!$B16</f>
        <v>Copepoda (Cyclopoida)</v>
      </c>
      <c r="B13" t="str">
        <f>[1]Taxonomía_General!$K16</f>
        <v>Cyclopoida Burmeister, 1834</v>
      </c>
      <c r="C13" t="str">
        <f>[1]Taxonomía_General!$C16</f>
        <v>urn:lsid:marinespecies.org:taxname:1101</v>
      </c>
    </row>
    <row r="14" spans="1:3" x14ac:dyDescent="0.25">
      <c r="A14" t="str">
        <f>[1]Taxonomía_General!$B17</f>
        <v>Copepoda (Cyclopoida-Sapphirina)</v>
      </c>
      <c r="B14" t="str">
        <f>[1]Taxonomía_General!$K17</f>
        <v>Sapphirina Thompson J., 1829</v>
      </c>
      <c r="C14" t="str">
        <f>[1]Taxonomía_General!$C17</f>
        <v>urn:lsid:marinespecies.org:taxname:128722</v>
      </c>
    </row>
    <row r="15" spans="1:3" x14ac:dyDescent="0.25">
      <c r="A15" t="str">
        <f>[1]Taxonomía_General!$B18</f>
        <v>Copepoda (Farranula)</v>
      </c>
      <c r="B15" t="str">
        <f>[1]Taxonomía_General!$K18</f>
        <v>Farranula Wilson C.B., 1932</v>
      </c>
      <c r="C15" t="str">
        <f>[1]Taxonomía_General!$C18</f>
        <v>urn:lsid:marinespecies.org:taxname:128636</v>
      </c>
    </row>
    <row r="16" spans="1:3" x14ac:dyDescent="0.25">
      <c r="A16" t="str">
        <f>[1]Taxonomía_General!$B19</f>
        <v>Copepoda (Harpacticoida)</v>
      </c>
      <c r="B16" t="str">
        <f>[1]Taxonomía_General!$K19</f>
        <v>Harpacticoida Sars G.O., 1903</v>
      </c>
      <c r="C16" t="str">
        <f>[1]Taxonomía_General!$C19</f>
        <v>urn:lsid:marinespecies.org:taxname:1102</v>
      </c>
    </row>
    <row r="17" spans="1:3" x14ac:dyDescent="0.25">
      <c r="A17" t="str">
        <f>[1]Taxonomía_General!$B20</f>
        <v>Copepoda (Oncaeidae)</v>
      </c>
      <c r="B17" t="str">
        <f>[1]Taxonomía_General!$K20</f>
        <v>Oncaeidae Giesbrecht, 1893</v>
      </c>
      <c r="C17" t="str">
        <f>[1]Taxonomía_General!$C20</f>
        <v>urn:lsid:marinespecies.org:taxname:128586</v>
      </c>
    </row>
    <row r="18" spans="1:3" x14ac:dyDescent="0.25">
      <c r="A18" t="str">
        <f>[1]Taxonomía_General!$B21</f>
        <v>Copepoda (Pontellidae)</v>
      </c>
      <c r="B18" t="str">
        <f>[1]Taxonomía_General!$K21</f>
        <v>Pontellidae Dana, 1852</v>
      </c>
      <c r="C18" t="str">
        <f>[1]Taxonomía_General!$C21</f>
        <v>urn:lsid:marinespecies.org:taxname:104097</v>
      </c>
    </row>
    <row r="19" spans="1:3" x14ac:dyDescent="0.25">
      <c r="A19" t="str">
        <f>[1]Taxonomía_General!$B22</f>
        <v>Ctenophora</v>
      </c>
      <c r="B19" t="str">
        <f>[1]Taxonomía_General!$K22</f>
        <v>Ctenophora Eschscholtz, 1829</v>
      </c>
      <c r="C19" t="str">
        <f>[1]Taxonomía_General!$C22</f>
        <v>urn:lsid:marinespecies.org:taxname:1248</v>
      </c>
    </row>
    <row r="20" spans="1:3" x14ac:dyDescent="0.25">
      <c r="A20" t="str">
        <f>[1]Taxonomía_General!$B23</f>
        <v>Decapoda (Alpheidae Zoea)</v>
      </c>
      <c r="B20" t="str">
        <f>[1]Taxonomía_General!$K23</f>
        <v>Alpheidae Rafinesque, 1815</v>
      </c>
      <c r="C20" t="str">
        <f>[1]Taxonomía_General!$C23</f>
        <v>urn:lsid:marinespecies.org:taxname:106776</v>
      </c>
    </row>
    <row r="21" spans="1:3" x14ac:dyDescent="0.25">
      <c r="A21" t="str">
        <f>[1]Taxonomía_General!$B24</f>
        <v>Decapoda (Anomura Zoea)</v>
      </c>
      <c r="B21" t="str">
        <f>[1]Taxonomía_General!$K24</f>
        <v>Anomura MacLeay, 1838</v>
      </c>
      <c r="C21" t="str">
        <f>[1]Taxonomía_General!$C24</f>
        <v>urn:lsid:marinespecies.org:taxname:106671</v>
      </c>
    </row>
    <row r="22" spans="1:3" x14ac:dyDescent="0.25">
      <c r="A22" t="str">
        <f>[1]Taxonomía_General!$B25</f>
        <v>Decapoda (Brachyura Megalopa)</v>
      </c>
      <c r="B22" t="str">
        <f>[1]Taxonomía_General!$K25</f>
        <v>Brachyura Latreille, 1802</v>
      </c>
      <c r="C22" t="str">
        <f>[1]Taxonomía_General!$C25</f>
        <v>urn:lsid:marinespecies.org:taxname:106673</v>
      </c>
    </row>
    <row r="23" spans="1:3" x14ac:dyDescent="0.25">
      <c r="A23" t="str">
        <f>[1]Taxonomía_General!$B26</f>
        <v>Decapoda (Brachyura Zoea)</v>
      </c>
      <c r="B23" t="str">
        <f>[1]Taxonomía_General!$K26</f>
        <v>Brachyura Latreille, 1802</v>
      </c>
      <c r="C23" t="str">
        <f>[1]Taxonomía_General!$C26</f>
        <v>urn:lsid:marinespecies.org:taxname:106673</v>
      </c>
    </row>
    <row r="24" spans="1:3" x14ac:dyDescent="0.25">
      <c r="A24" t="str">
        <f>[1]Taxonomía_General!$B27</f>
        <v>Decapoda (Caridea Zoea)</v>
      </c>
      <c r="B24" t="str">
        <f>[1]Taxonomía_General!$K27</f>
        <v>Caridea Dana, 1852</v>
      </c>
      <c r="C24" t="str">
        <f>[1]Taxonomía_General!$C27</f>
        <v>urn:lsid:marinespecies.org:taxname:106674</v>
      </c>
    </row>
    <row r="25" spans="1:3" x14ac:dyDescent="0.25">
      <c r="A25" t="str">
        <f>[1]Taxonomía_General!$B28</f>
        <v>Decapoda (Caridea)</v>
      </c>
      <c r="B25" t="str">
        <f>[1]Taxonomía_General!$K28</f>
        <v>Caridea Dana, 1852</v>
      </c>
      <c r="C25" t="str">
        <f>[1]Taxonomía_General!$C28</f>
        <v>urn:lsid:marinespecies.org:taxname:106674</v>
      </c>
    </row>
    <row r="26" spans="1:3" x14ac:dyDescent="0.25">
      <c r="A26" t="str">
        <f>[1]Taxonomía_General!$B29</f>
        <v>Decapoda (Megalopa)</v>
      </c>
      <c r="B26" t="str">
        <f>[1]Taxonomía_General!$K29</f>
        <v>Decapoda Latreille, 1802</v>
      </c>
      <c r="C26" t="str">
        <f>[1]Taxonomía_General!$C29</f>
        <v>urn:lsid:marinespecies.org:taxname:1130</v>
      </c>
    </row>
    <row r="27" spans="1:3" x14ac:dyDescent="0.25">
      <c r="A27" t="str">
        <f>[1]Taxonomía_General!$B30</f>
        <v>Decapoda (Nauplio)</v>
      </c>
      <c r="B27" t="str">
        <f>[1]Taxonomía_General!$K30</f>
        <v>Decapoda Latreille, 1802</v>
      </c>
      <c r="C27" t="str">
        <f>[1]Taxonomía_General!$C30</f>
        <v>urn:lsid:marinespecies.org:taxname:1130</v>
      </c>
    </row>
    <row r="28" spans="1:3" x14ac:dyDescent="0.25">
      <c r="A28" t="str">
        <f>[1]Taxonomía_General!$B31</f>
        <v>Decapoda (Phyllosoma)</v>
      </c>
      <c r="B28" t="str">
        <f>[1]Taxonomía_General!$K31</f>
        <v>Decapoda Latreille, 1802</v>
      </c>
      <c r="C28" t="str">
        <f>[1]Taxonomía_General!$C31</f>
        <v>urn:lsid:marinespecies.org:taxname:1130</v>
      </c>
    </row>
    <row r="29" spans="1:3" x14ac:dyDescent="0.25">
      <c r="A29" t="str">
        <f>[1]Taxonomía_General!$B32</f>
        <v>Decapoda (Protozoea)</v>
      </c>
      <c r="B29" t="str">
        <f>[1]Taxonomía_General!$K32</f>
        <v>Decapoda Latreille, 1802</v>
      </c>
      <c r="C29" t="str">
        <f>[1]Taxonomía_General!$C32</f>
        <v>urn:lsid:marinespecies.org:taxname:1130</v>
      </c>
    </row>
    <row r="30" spans="1:3" x14ac:dyDescent="0.25">
      <c r="A30" t="str">
        <f>[1]Taxonomía_General!$B33</f>
        <v>Decapoda (Stenopodidea)</v>
      </c>
      <c r="B30" t="str">
        <f>[1]Taxonomía_General!$K33</f>
        <v>Stenopodidea Spence Bate, 1888</v>
      </c>
      <c r="C30" t="str">
        <f>[1]Taxonomía_General!$C33</f>
        <v>urn:lsid:marinespecies.org:taxname:106676</v>
      </c>
    </row>
    <row r="31" spans="1:3" x14ac:dyDescent="0.25">
      <c r="A31" t="str">
        <f>[1]Taxonomía_General!$B34</f>
        <v>Decapoda (Zoea)</v>
      </c>
      <c r="B31" t="str">
        <f>[1]Taxonomía_General!$K34</f>
        <v>Decapoda Latreille, 1802</v>
      </c>
      <c r="C31" t="str">
        <f>[1]Taxonomía_General!$C34</f>
        <v>urn:lsid:marinespecies.org:taxname:1130</v>
      </c>
    </row>
    <row r="32" spans="1:3" x14ac:dyDescent="0.25">
      <c r="A32" t="str">
        <f>[1]Taxonomía_General!$B35</f>
        <v>Doliolida</v>
      </c>
      <c r="B32" t="str">
        <f>[1]Taxonomía_General!$K35</f>
        <v>Doliolida Delage &amp; Hérouard, 1898</v>
      </c>
      <c r="C32" t="str">
        <f>[1]Taxonomía_General!$C35</f>
        <v>urn:lsid:marinespecies.org:taxname:137212</v>
      </c>
    </row>
    <row r="33" spans="1:3" x14ac:dyDescent="0.25">
      <c r="A33" t="str">
        <f>[1]Taxonomía_General!$B36</f>
        <v>Doliolidae</v>
      </c>
      <c r="B33" t="str">
        <f>[1]Taxonomía_General!$K36</f>
        <v>Doliolidae Bronn, 1862</v>
      </c>
      <c r="C33" t="str">
        <f>[1]Taxonomía_General!$C36</f>
        <v>urn:lsid:marinespecies.org:taxname:137215)</v>
      </c>
    </row>
    <row r="34" spans="1:3" x14ac:dyDescent="0.25">
      <c r="A34" t="str">
        <f>[1]Taxonomía_General!$B37</f>
        <v>Echinodermata</v>
      </c>
      <c r="B34" t="str">
        <f>[1]Taxonomía_General!$K37</f>
        <v>Echinodermata Bruguiére, 1791 [ex Klein, 1734]</v>
      </c>
      <c r="C34" t="str">
        <f>[1]Taxonomía_General!$C37</f>
        <v>urn:lsid:marinespecies.org:taxname:1806</v>
      </c>
    </row>
    <row r="35" spans="1:3" x14ac:dyDescent="0.25">
      <c r="A35" t="str">
        <f>[1]Taxonomía_General!$B38</f>
        <v>Echinodermata (Larva)</v>
      </c>
      <c r="B35" t="str">
        <f>[1]Taxonomía_General!$K38</f>
        <v>Echinodermata Bruguiére, 1791 [ex Klein, 1734]</v>
      </c>
      <c r="C35" t="str">
        <f>[1]Taxonomía_General!$C38</f>
        <v>urn:lsid:marinespecies.org:taxname:1806</v>
      </c>
    </row>
    <row r="36" spans="1:3" x14ac:dyDescent="0.25">
      <c r="A36" t="str">
        <f>[1]Taxonomía_General!$B39</f>
        <v>Euphausiacea</v>
      </c>
      <c r="B36" t="str">
        <f>[1]Taxonomía_General!$K39</f>
        <v>Euphausiacea Dana, 1852</v>
      </c>
      <c r="C36" t="str">
        <f>[1]Taxonomía_General!$C39</f>
        <v>urn:lsid:marinespecies.org:taxname:1128</v>
      </c>
    </row>
    <row r="37" spans="1:3" x14ac:dyDescent="0.25">
      <c r="A37" t="str">
        <f>[1]Taxonomía_General!$B40</f>
        <v>Euphausiacea</v>
      </c>
      <c r="B37" t="str">
        <f>[1]Taxonomía_General!$K40</f>
        <v>Euphausiidae Dana, 1852</v>
      </c>
      <c r="C37" t="str">
        <f>[1]Taxonomía_General!$C40</f>
        <v>urn:lsid:marinespecies.org:taxname:110671</v>
      </c>
    </row>
    <row r="38" spans="1:3" x14ac:dyDescent="0.25">
      <c r="A38" t="str">
        <f>[1]Taxonomía_General!$B41</f>
        <v>Foraminifera</v>
      </c>
      <c r="B38" t="str">
        <f>[1]Taxonomía_General!$K41</f>
        <v>Foraminifera d'Orbigny, 1826</v>
      </c>
      <c r="C38" t="str">
        <f>[1]Taxonomía_General!$C41</f>
        <v>urn:lsid:marinespecies.org:taxname:1410</v>
      </c>
    </row>
    <row r="39" spans="1:3" x14ac:dyDescent="0.25">
      <c r="A39" t="str">
        <f>[1]Taxonomía_General!$B42</f>
        <v>Foraminifera (Cancris)</v>
      </c>
      <c r="B39" t="str">
        <f>[1]Taxonomía_General!$K42</f>
        <v>Cancris Montfort, 1808</v>
      </c>
      <c r="C39" t="str">
        <f>[1]Taxonomía_General!$C42</f>
        <v>urn:lsid:marinespecies.org:taxname:112098</v>
      </c>
    </row>
    <row r="40" spans="1:3" x14ac:dyDescent="0.25">
      <c r="A40" t="str">
        <f>[1]Taxonomía_General!$B43</f>
        <v>Foraminifera (Cancris)</v>
      </c>
      <c r="B40" t="str">
        <f>[1]Taxonomía_General!$K43</f>
        <v>Cancris Montfort, 1808</v>
      </c>
      <c r="C40" t="str">
        <f>[1]Taxonomía_General!$C43</f>
        <v>urn:lsid:marinespecies.org:taxname:112098</v>
      </c>
    </row>
    <row r="41" spans="1:3" x14ac:dyDescent="0.25">
      <c r="A41" t="str">
        <f>[1]Taxonomía_General!$B44</f>
        <v>Foraminifera (Globigerinida)</v>
      </c>
      <c r="B41" t="str">
        <f>[1]Taxonomía_General!$K44</f>
        <v>Globigerinidae Carpenter et al., 1862</v>
      </c>
      <c r="C41" t="str">
        <f>[1]Taxonomía_General!$C44</f>
        <v>urn:lsid:marinespecies.org:taxname:111929</v>
      </c>
    </row>
    <row r="42" spans="1:3" x14ac:dyDescent="0.25">
      <c r="A42" t="str">
        <f>[1]Taxonomía_General!$B45</f>
        <v>Foraminifera (Globoritalia)</v>
      </c>
      <c r="B42" t="str">
        <f>[1]Taxonomía_General!$K45</f>
        <v>Globorotalia Cushman, 1927</v>
      </c>
      <c r="C42" t="str">
        <f>[1]Taxonomía_General!$C45</f>
        <v>urn:lsid:marinespecies.org:taxname:112200</v>
      </c>
    </row>
    <row r="43" spans="1:3" x14ac:dyDescent="0.25">
      <c r="A43" t="str">
        <f>[1]Taxonomía_General!$B46</f>
        <v>Hidroide (Campanulariidae)</v>
      </c>
      <c r="B43" t="str">
        <f>[1]Taxonomía_General!$K46</f>
        <v>Campanulariidae Johnston, 1836</v>
      </c>
      <c r="C43" t="str">
        <f>[1]Taxonomía_General!$C46</f>
        <v>urn:lsid:marinespecies.org:taxname:1606</v>
      </c>
    </row>
    <row r="44" spans="1:3" x14ac:dyDescent="0.25">
      <c r="A44" t="str">
        <f>[1]Taxonomía_General!$B47</f>
        <v>Huevos desconocidos (morph 2)</v>
      </c>
      <c r="B44" t="str">
        <f>[1]Taxonomía_General!$K47</f>
        <v>Huevos desconocidos (morph 2)</v>
      </c>
      <c r="C44" t="str">
        <f>[1]Taxonomía_General!$C47</f>
        <v>-</v>
      </c>
    </row>
    <row r="45" spans="1:3" x14ac:dyDescent="0.25">
      <c r="A45" t="str">
        <f>[1]Taxonomía_General!$B48</f>
        <v>Medusa (Amphinema)</v>
      </c>
      <c r="B45" t="str">
        <f>[1]Taxonomía_General!$K48</f>
        <v>Amphinema Haeckel,1879</v>
      </c>
      <c r="C45" t="str">
        <f>[1]Taxonomía_General!$C48</f>
        <v>urn:lsid:marinespecies.org:taxname:117178</v>
      </c>
    </row>
    <row r="46" spans="1:3" x14ac:dyDescent="0.25">
      <c r="A46" t="str">
        <f>[1]Taxonomía_General!$B49</f>
        <v>Medusa (Amphinema)</v>
      </c>
      <c r="B46" t="str">
        <f>[1]Taxonomía_General!$K49</f>
        <v>Amphinema Haeckel,1879</v>
      </c>
      <c r="C46" t="str">
        <f>[1]Taxonomía_General!$C49</f>
        <v>urn:lsid:marinespecies.org:taxname:117178</v>
      </c>
    </row>
    <row r="47" spans="1:3" x14ac:dyDescent="0.25">
      <c r="A47" t="str">
        <f>[1]Taxonomía_General!$B50</f>
        <v>Medusa (Anthomedusae)</v>
      </c>
      <c r="B47" t="str">
        <f>[1]Taxonomía_General!$K50</f>
        <v>Anthothetaca Cornelius, 1992</v>
      </c>
      <c r="C47" t="str">
        <f>[1]Taxonomía_General!$C50</f>
        <v>urn:lsid:marinespecies.org:taxname:117178</v>
      </c>
    </row>
    <row r="48" spans="1:3" x14ac:dyDescent="0.25">
      <c r="A48" t="str">
        <f>[1]Taxonomía_General!$B51</f>
        <v>Medusa (Cubozoa)</v>
      </c>
      <c r="B48" t="str">
        <f>[1]Taxonomía_General!$K51</f>
        <v>Cubozoa Werner, 1973</v>
      </c>
      <c r="C48" t="str">
        <f>[1]Taxonomía_General!$C51</f>
        <v>urn:lsid:marinespecies.org:taxname:135219</v>
      </c>
    </row>
    <row r="49" spans="1:3" x14ac:dyDescent="0.25">
      <c r="A49" t="str">
        <f>[1]Taxonomía_General!$B52</f>
        <v>Medusa (Cubozoa)</v>
      </c>
      <c r="B49" t="str">
        <f>[1]Taxonomía_General!$K52</f>
        <v>Cubozoa Werner, 1973</v>
      </c>
      <c r="C49" t="str">
        <f>[1]Taxonomía_General!$C52</f>
        <v>urn:lsid:marinespecies.org:taxname:135219</v>
      </c>
    </row>
    <row r="50" spans="1:3" x14ac:dyDescent="0.25">
      <c r="A50" t="str">
        <f>[1]Taxonomía_General!$B53</f>
        <v>Medusa (Geryoniidae)</v>
      </c>
      <c r="B50" t="str">
        <f>[1]Taxonomía_General!$K53</f>
        <v>Geryoniidae Eschscholtz, 1829</v>
      </c>
      <c r="C50" t="str">
        <f>[1]Taxonomía_General!$C53</f>
        <v>urn:lsid:marinespecies.org:taxname:16843</v>
      </c>
    </row>
    <row r="51" spans="1:3" x14ac:dyDescent="0.25">
      <c r="A51" t="str">
        <f>[1]Taxonomía_General!$B54</f>
        <v>Medusa (Hydrozoa)</v>
      </c>
      <c r="B51" t="str">
        <f>[1]Taxonomía_General!$K54</f>
        <v>Hydrozoa Owen, 1843</v>
      </c>
      <c r="C51" t="str">
        <f>[1]Taxonomía_General!$C54</f>
        <v>urn:lsid:marinespecies.org:taxname:1337</v>
      </c>
    </row>
    <row r="52" spans="1:3" x14ac:dyDescent="0.25">
      <c r="A52" t="str">
        <f>[1]Taxonomía_General!$B55</f>
        <v>Medusa (Scyphozoa)</v>
      </c>
      <c r="B52" t="str">
        <f>[1]Taxonomía_General!$K55</f>
        <v xml:space="preserve"> Pelagiidae Gegenbaur, 1856</v>
      </c>
      <c r="C52" t="str">
        <f>[1]Taxonomía_General!$C55</f>
        <v>urn:lsid:marinespecies.org:taxname:135240</v>
      </c>
    </row>
    <row r="53" spans="1:3" x14ac:dyDescent="0.25">
      <c r="A53" t="str">
        <f>[1]Taxonomía_General!$B56</f>
        <v>Mollusca</v>
      </c>
      <c r="B53" t="str">
        <f>[1]Taxonomía_General!$K56</f>
        <v>Mollusca</v>
      </c>
      <c r="C53" t="str">
        <f>[1]Taxonomía_General!$C56</f>
        <v>urn:lsid:marinespecies.org:taxname:51</v>
      </c>
    </row>
    <row r="54" spans="1:3" x14ac:dyDescent="0.25">
      <c r="A54" t="str">
        <f>[1]Taxonomía_General!$B57</f>
        <v>Mollusca (Atlanta)</v>
      </c>
      <c r="B54" t="str">
        <f>[1]Taxonomía_General!$K57</f>
        <v>Atlanta Lesueur, 1817</v>
      </c>
      <c r="C54" t="str">
        <f>[1]Taxonomía_General!$C57</f>
        <v>urn:lsid:marinespecies.org:taxname:137687</v>
      </c>
    </row>
    <row r="55" spans="1:3" x14ac:dyDescent="0.25">
      <c r="A55" t="str">
        <f>[1]Taxonomía_General!$B58</f>
        <v>Mollusca (Bivalvia)</v>
      </c>
      <c r="B55" t="str">
        <f>[1]Taxonomía_General!$K58</f>
        <v>Bivalvia Linnaeus, 1758</v>
      </c>
      <c r="C55" t="str">
        <f>[1]Taxonomía_General!$C58</f>
        <v>urn:lsid:marinespecies.org:taxname:105</v>
      </c>
    </row>
    <row r="56" spans="1:3" x14ac:dyDescent="0.25">
      <c r="A56" t="str">
        <f>[1]Taxonomía_General!$B59</f>
        <v>Mollusca (Cavolinia uncinata)</v>
      </c>
      <c r="B56" t="str">
        <f>[1]Taxonomía_General!$K59</f>
        <v>Cavolinia uncinata (d'Orbigny, 1835)</v>
      </c>
      <c r="C56" t="str">
        <f>[1]Taxonomía_General!$C59</f>
        <v>urn:lsid:marinespecies.org:taxname:139031</v>
      </c>
    </row>
    <row r="57" spans="1:3" x14ac:dyDescent="0.25">
      <c r="A57" t="str">
        <f>[1]Taxonomía_General!$B60</f>
        <v>Mollusca (Cavolinia)</v>
      </c>
      <c r="B57" t="str">
        <f>[1]Taxonomía_General!$K60</f>
        <v>Cavolinia Abildgaard, 1791</v>
      </c>
      <c r="C57" t="str">
        <f>[1]Taxonomía_General!$C60</f>
        <v>urn:lsid:marinespecies.org:taxname:137750</v>
      </c>
    </row>
    <row r="58" spans="1:3" x14ac:dyDescent="0.25">
      <c r="A58" t="str">
        <f>[1]Taxonomía_General!$B61</f>
        <v>Mollusca (Cavoliniidae)</v>
      </c>
      <c r="B58" t="str">
        <f>[1]Taxonomía_General!$K61</f>
        <v>Cavoliniidae Gray, 1850 (1815)</v>
      </c>
      <c r="C58" t="str">
        <f>[1]Taxonomía_General!$C61</f>
        <v>urn:lsid:marinespecies.org:taxname:23000</v>
      </c>
    </row>
    <row r="59" spans="1:3" x14ac:dyDescent="0.25">
      <c r="A59" t="str">
        <f>[1]Taxonomía_General!$B62</f>
        <v>Mollusca (Cephalopoda)</v>
      </c>
      <c r="B59" t="str">
        <f>[1]Taxonomía_General!$K62</f>
        <v>Cephalopoda Cuvier, 1795</v>
      </c>
      <c r="C59" t="str">
        <f>[1]Taxonomía_General!$C62</f>
        <v>urn:lsid:marinespecies.org:taxname:11707</v>
      </c>
    </row>
    <row r="60" spans="1:3" x14ac:dyDescent="0.25">
      <c r="A60" t="str">
        <f>[1]Taxonomía_General!$B63</f>
        <v>Mollusca (Clio chaptalii)</v>
      </c>
      <c r="B60" t="str">
        <f>[1]Taxonomía_General!$K63</f>
        <v>Clio chaptalii Gray, 1850</v>
      </c>
      <c r="C60" t="str">
        <f>[1]Taxonomía_General!$C63</f>
        <v>urn:lsid:marinespecies.org:taxname:224430</v>
      </c>
    </row>
    <row r="61" spans="1:3" x14ac:dyDescent="0.25">
      <c r="A61" t="str">
        <f>[1]Taxonomía_General!$B64</f>
        <v>Mollusca (Clio pyramidata) </v>
      </c>
      <c r="B61" t="str">
        <f>[1]Taxonomía_General!$K64</f>
        <v>Clio pyramidata Linnaeus, 1767</v>
      </c>
      <c r="C61" t="str">
        <f>[1]Taxonomía_General!$C64</f>
        <v>urn:lsid:marinespecies.org:taxname:139033</v>
      </c>
    </row>
    <row r="62" spans="1:3" x14ac:dyDescent="0.25">
      <c r="A62" t="str">
        <f>[1]Taxonomía_General!$B65</f>
        <v>Mollusca (Clio)</v>
      </c>
      <c r="B62" t="str">
        <f>[1]Taxonomía_General!$K65</f>
        <v>Clio Linnaeus, 1767</v>
      </c>
      <c r="C62" t="str">
        <f>[1]Taxonomía_General!$C65</f>
        <v>urn:lsid:marinespecies.org:taxname:137751</v>
      </c>
    </row>
    <row r="63" spans="1:3" x14ac:dyDescent="0.25">
      <c r="A63" t="str">
        <f>[1]Taxonomía_General!$B66</f>
        <v>Mollusca (Clione limacina)</v>
      </c>
      <c r="B63" t="str">
        <f>[1]Taxonomía_General!$K66</f>
        <v>Clione limacina (Phipps, 1774)</v>
      </c>
      <c r="C63" t="str">
        <f>[1]Taxonomía_General!$C66</f>
        <v>urn:lsid:marinespecies.org:taxname:139178</v>
      </c>
    </row>
    <row r="64" spans="1:3" x14ac:dyDescent="0.25">
      <c r="A64" t="str">
        <f>[1]Taxonomía_General!$B67</f>
        <v>Mollusca (Creseis)</v>
      </c>
      <c r="B64" t="str">
        <f>[1]Taxonomía_General!$K67</f>
        <v>Creseis Rang, 1828</v>
      </c>
      <c r="C64" t="str">
        <f>[1]Taxonomía_General!$C67</f>
        <v>urn:lsid:marinespecies.org:taxname:137752</v>
      </c>
    </row>
    <row r="65" spans="1:3" x14ac:dyDescent="0.25">
      <c r="A65" t="str">
        <f>[1]Taxonomía_General!$B68</f>
        <v>Mollusca (Diacria)</v>
      </c>
      <c r="B65" t="str">
        <f>[1]Taxonomía_General!$K68</f>
        <v>Diacria J.E. Gray, 1840</v>
      </c>
      <c r="C65" t="str">
        <f>[1]Taxonomía_General!$C68</f>
        <v>urn:lsid:marinespecies.org:taxname:137755</v>
      </c>
    </row>
    <row r="66" spans="1:3" x14ac:dyDescent="0.25">
      <c r="A66" t="str">
        <f>[1]Taxonomía_General!$B69</f>
        <v>Mollusca (Firoloida desmarestia)</v>
      </c>
      <c r="B66" t="str">
        <f>[1]Taxonomía_General!$K69</f>
        <v>Firoloida desmarestia Lesueur, 1817</v>
      </c>
      <c r="C66" t="str">
        <f>[1]Taxonomía_General!$C69</f>
        <v>urn:lsid:marinespecies.org:taxname:139943</v>
      </c>
    </row>
    <row r="67" spans="1:3" x14ac:dyDescent="0.25">
      <c r="A67" t="str">
        <f>[1]Taxonomía_General!$B70</f>
        <v>Mollusca (Gastropoda)</v>
      </c>
      <c r="B67" t="str">
        <f>[1]Taxonomía_General!$K70</f>
        <v xml:space="preserve"> Gastropoda Cuvier, 1795</v>
      </c>
      <c r="C67" t="str">
        <f>[1]Taxonomía_General!$C70</f>
        <v>urn:lsid:marinespecies.org:taxname:101</v>
      </c>
    </row>
    <row r="68" spans="1:3" x14ac:dyDescent="0.25">
      <c r="A68" t="str">
        <f>[1]Taxonomía_General!$B71</f>
        <v>Mollusca (Heliconoides inflatus)</v>
      </c>
      <c r="B68" t="str">
        <f>[1]Taxonomía_General!$K71</f>
        <v>Heliconoides inflatus d'Orbigny, 1835</v>
      </c>
      <c r="C68" t="str">
        <f>[1]Taxonomía_General!$C71</f>
        <v>urn:lsid:marinespecies.org:taxname:605965</v>
      </c>
    </row>
    <row r="69" spans="1:3" x14ac:dyDescent="0.25">
      <c r="A69" t="str">
        <f>[1]Taxonomía_General!$B72</f>
        <v>Mollusca (Heliconoides inflatus)</v>
      </c>
      <c r="B69" t="str">
        <f>[1]Taxonomía_General!$K72</f>
        <v>Heliconoides inflatus d'Orbigny, 1835</v>
      </c>
      <c r="C69" t="str">
        <f>[1]Taxonomía_General!$C72</f>
        <v>urn:lsid:marinespecies.org:taxname:605965</v>
      </c>
    </row>
    <row r="70" spans="1:3" x14ac:dyDescent="0.25">
      <c r="A70" t="str">
        <f>[1]Taxonomía_General!$B73</f>
        <v>Mollusca (Limacina lesueurii)</v>
      </c>
      <c r="B70" t="str">
        <f>[1]Taxonomía_General!$K73</f>
        <v>Limacina lesueurii (d'Orbigny, 1836)</v>
      </c>
      <c r="C70" t="str">
        <f>[1]Taxonomía_General!$C73</f>
        <v>urn:lsid:marinespecies.org:taxname:140226</v>
      </c>
    </row>
    <row r="71" spans="1:3" x14ac:dyDescent="0.25">
      <c r="A71" t="str">
        <f>[1]Taxonomía_General!$B74</f>
        <v>Mollusca (Limacina retroversa)</v>
      </c>
      <c r="B71" t="str">
        <f>[1]Taxonomía_General!$K74</f>
        <v>Limacina retroversa (J. Fleming, 1823)</v>
      </c>
      <c r="C71" t="str">
        <f>[1]Taxonomía_General!$C74</f>
        <v>urn:lsid:marinespecies.org:taxname:140227</v>
      </c>
    </row>
    <row r="72" spans="1:3" x14ac:dyDescent="0.25">
      <c r="A72" t="str">
        <f>[1]Taxonomía_General!$B75</f>
        <v>Mollusca (Limacina trochiformis)</v>
      </c>
      <c r="B72" t="str">
        <f>[1]Taxonomía_General!$K75</f>
        <v>Limacina trochiformis (d'Orbigny, 1835)</v>
      </c>
      <c r="C72" t="str">
        <f>[1]Taxonomía_General!$C75</f>
        <v>urn:lsid:marinespecies.org:taxname:140228</v>
      </c>
    </row>
    <row r="73" spans="1:3" x14ac:dyDescent="0.25">
      <c r="A73" t="str">
        <f>[1]Taxonomía_General!$B76</f>
        <v>Mollusca (Limacina)</v>
      </c>
      <c r="B73" t="str">
        <f>[1]Taxonomía_General!$K76</f>
        <v>Limacina Bosc, 1817</v>
      </c>
      <c r="C73" t="str">
        <f>[1]Taxonomía_General!$C76</f>
        <v>urn:lsid:marinespecies.org:taxname:138122</v>
      </c>
    </row>
    <row r="74" spans="1:3" x14ac:dyDescent="0.25">
      <c r="A74" t="str">
        <f>[1]Taxonomía_General!$B77</f>
        <v>Mollusca (Nudibranchia)</v>
      </c>
      <c r="B74" t="str">
        <f>[1]Taxonomía_General!$K77</f>
        <v>Nudibranchia Cuvier, 1817</v>
      </c>
      <c r="C74" t="str">
        <f>[1]Taxonomía_General!$C77</f>
        <v>urn:lsid:marinespecies.org:taxname:1762</v>
      </c>
    </row>
    <row r="75" spans="1:3" x14ac:dyDescent="0.25">
      <c r="A75" t="str">
        <f>[1]Taxonomía_General!$B78</f>
        <v>Mollusca (Peracle)</v>
      </c>
      <c r="B75" t="str">
        <f>[1]Taxonomía_General!$K78</f>
        <v>Peracle Forbes, 1844</v>
      </c>
      <c r="C75" t="str">
        <f>[1]Taxonomía_General!$C78</f>
        <v>urn:lsid:marinespecies.org:taxname:138327</v>
      </c>
    </row>
    <row r="76" spans="1:3" x14ac:dyDescent="0.25">
      <c r="A76" t="str">
        <f>[1]Taxonomía_General!$B79</f>
        <v>Mollusca (Protatlanta)</v>
      </c>
      <c r="B76" t="str">
        <f>[1]Taxonomía_General!$K79</f>
        <v>Protatlanta Tesch, 1908</v>
      </c>
      <c r="C76" t="str">
        <f>[1]Taxonomía_General!$C79</f>
        <v>urn:lsid:marinespecies.org:taxname:137689</v>
      </c>
    </row>
    <row r="77" spans="1:3" x14ac:dyDescent="0.25">
      <c r="A77" t="str">
        <f>[1]Taxonomía_General!$B80</f>
        <v>Mollusca (Pterotracheidae)</v>
      </c>
      <c r="B77" t="str">
        <f>[1]Taxonomía_General!$K80</f>
        <v>Pterotracheidae Rafinesque, 1814</v>
      </c>
      <c r="C77" t="str">
        <f>[1]Taxonomía_General!$C80</f>
        <v>urn:lsid:marinespecies.org:taxname:225072</v>
      </c>
    </row>
    <row r="78" spans="1:3" x14ac:dyDescent="0.25">
      <c r="A78" t="str">
        <f>[1]Taxonomía_General!$B81</f>
        <v>Mollusca (Telodiacria danae)</v>
      </c>
      <c r="B78" t="str">
        <f>[1]Taxonomía_General!$K81</f>
        <v>Telodiacria danae (van Leyen &amp; van der Spoel, 1982</v>
      </c>
      <c r="C78" t="str">
        <f>[1]Taxonomía_General!$C81</f>
        <v>urn:lsid:marinespecies.org:taxname:1419959</v>
      </c>
    </row>
    <row r="79" spans="1:3" x14ac:dyDescent="0.25">
      <c r="A79" t="str">
        <f>[1]Taxonomía_General!$B82</f>
        <v>Mollusca (Thielea helicoides)</v>
      </c>
      <c r="B79" t="str">
        <f>[1]Taxonomía_General!$K82</f>
        <v>Thielea helicoides (Jeffreys, 1877)</v>
      </c>
      <c r="C79" t="str">
        <f>[1]Taxonomía_General!$C82</f>
        <v>urn:lsid:marinespecies.org:taxname:729876</v>
      </c>
    </row>
    <row r="80" spans="1:3" x14ac:dyDescent="0.25">
      <c r="A80" t="str">
        <f>[1]Taxonomía_General!$B83</f>
        <v>Mysidacea</v>
      </c>
      <c r="B80" t="str">
        <f>[1]Taxonomía_General!$K83</f>
        <v>Mysidacea Haworth, 1825 accepted as Mysida Boas, 1883</v>
      </c>
      <c r="C80" t="str">
        <f>[1]Taxonomía_General!$C83</f>
        <v>urn:lsid:marinespecies.org:taxname:2824</v>
      </c>
    </row>
    <row r="81" spans="1:3" x14ac:dyDescent="0.25">
      <c r="A81" t="str">
        <f>[1]Taxonomía_General!$B84</f>
        <v>Mysidasea (Zoea)</v>
      </c>
      <c r="B81" t="str">
        <f>[1]Taxonomía_General!$K84</f>
        <v>Mysidacea Haworth, 1825 accepted as Mysida Boas, 1883</v>
      </c>
      <c r="C81" t="str">
        <f>[1]Taxonomía_General!$C84</f>
        <v>urn:lsid:marinespecies.org:taxname:149668</v>
      </c>
    </row>
    <row r="82" spans="1:3" x14ac:dyDescent="0.25">
      <c r="A82" t="str">
        <f>[1]Taxonomía_General!$B85</f>
        <v>Nematoda</v>
      </c>
      <c r="B82" t="str">
        <f>[1]Taxonomía_General!$K85</f>
        <v>-</v>
      </c>
      <c r="C82" t="str">
        <f>[1]Taxonomía_General!$C85</f>
        <v>urn:lsid:marinespecies.org:taxname:799</v>
      </c>
    </row>
    <row r="83" spans="1:3" x14ac:dyDescent="0.25">
      <c r="A83" t="str">
        <f>[1]Taxonomía_General!$B86</f>
        <v>Nemertea</v>
      </c>
      <c r="B83" t="str">
        <f>[1]Taxonomía_General!$K86</f>
        <v>-</v>
      </c>
      <c r="C83" t="str">
        <f>[1]Taxonomía_General!$C86</f>
        <v>urn:lsid:marinespecies.org:taxname:152391</v>
      </c>
    </row>
    <row r="84" spans="1:3" x14ac:dyDescent="0.25">
      <c r="A84" t="str">
        <f>[1]Taxonomía_General!$B87</f>
        <v>Echinodermata (Ophiuroidea Larva)</v>
      </c>
      <c r="B84" t="str">
        <f>[1]Taxonomía_General!$K87</f>
        <v>Ophiuroidea Gray, 1840</v>
      </c>
      <c r="C84" t="str">
        <f>[1]Taxonomía_General!$C87</f>
        <v>urn:lsid:marinespecies.org:taxname:123084</v>
      </c>
    </row>
    <row r="85" spans="1:3" x14ac:dyDescent="0.25">
      <c r="A85" t="str">
        <f>[1]Taxonomía_General!$B88</f>
        <v>Ostracoda</v>
      </c>
      <c r="B85" t="str">
        <f>[1]Taxonomía_General!$K88</f>
        <v>Ostracoda Latreille, 1802</v>
      </c>
      <c r="C85" t="str">
        <f>[1]Taxonomía_General!$C88</f>
        <v>urn:lsid:marinespecies.org:taxname:1078</v>
      </c>
    </row>
    <row r="86" spans="1:3" x14ac:dyDescent="0.25">
      <c r="A86" t="str">
        <f>[1]Taxonomía_General!$B89</f>
        <v>Ostracoda (Rutiderma)</v>
      </c>
      <c r="B86" t="str">
        <f>[1]Taxonomía_General!$K89</f>
        <v>Rutiderma Brady &amp; Norman, 1896</v>
      </c>
      <c r="C86" t="str">
        <f>[1]Taxonomía_General!$C89</f>
        <v>urn:lsid:marinespecies.org:taxname:127563</v>
      </c>
    </row>
    <row r="87" spans="1:3" x14ac:dyDescent="0.25">
      <c r="A87" t="str">
        <f>[1]Taxonomía_General!$B90</f>
        <v>Pez (Bothidae)</v>
      </c>
      <c r="B87" t="str">
        <f>[1]Taxonomía_General!$K90</f>
        <v>Bothidae Smitt, 1892</v>
      </c>
      <c r="C87" t="str">
        <f>[1]Taxonomía_General!$C90</f>
        <v>urn:lsid:marinespecies.org:taxname:125576</v>
      </c>
    </row>
    <row r="88" spans="1:3" x14ac:dyDescent="0.25">
      <c r="A88" t="str">
        <f>[1]Taxonomía_General!$B91</f>
        <v>Pez (Eucinostomus dowii)</v>
      </c>
      <c r="B88" t="str">
        <f>[1]Taxonomía_General!$K91</f>
        <v>Eucinostomus dowii (Gill, 1863)</v>
      </c>
      <c r="C88" t="str">
        <f>[1]Taxonomía_General!$C91</f>
        <v>urn:lsid:marinespecies.org:taxname:276417</v>
      </c>
    </row>
    <row r="89" spans="1:3" x14ac:dyDescent="0.25">
      <c r="A89" t="str">
        <f>[1]Taxonomía_General!$B92</f>
        <v>Pez (Haemulon californiensis)</v>
      </c>
      <c r="B89" t="str">
        <f>[1]Taxonomía_General!$K92</f>
        <v>Haemulon californiensis (Steindachner, 1876)</v>
      </c>
      <c r="C89" t="str">
        <f>[1]Taxonomía_General!$C92</f>
        <v>urn:lsid:marinespecies.org:taxname:1020317</v>
      </c>
    </row>
    <row r="90" spans="1:3" x14ac:dyDescent="0.25">
      <c r="A90" t="str">
        <f>[1]Taxonomía_General!$B93</f>
        <v>Pez (Huevo)</v>
      </c>
      <c r="B90" t="str">
        <f>[1]Taxonomía_General!$K93</f>
        <v>Actinopterygii </v>
      </c>
      <c r="C90" t="str">
        <f>[1]Taxonomía_General!$C93</f>
        <v>urn:lsid:marinespecies.org:taxname:10194</v>
      </c>
    </row>
    <row r="91" spans="1:3" x14ac:dyDescent="0.25">
      <c r="A91" t="str">
        <f>[1]Taxonomía_General!$B94</f>
        <v>Pez (Larva)</v>
      </c>
      <c r="B91" t="str">
        <f>[1]Taxonomía_General!$K94</f>
        <v>Actinopterygii </v>
      </c>
      <c r="C91" t="str">
        <f>[1]Taxonomía_General!$C94</f>
        <v>urn:lsid:marinespecies.org:taxname:10194</v>
      </c>
    </row>
    <row r="92" spans="1:3" x14ac:dyDescent="0.25">
      <c r="A92" t="str">
        <f>[1]Taxonomía_General!$B95</f>
        <v>Pez (Myctophum aurolaternatum)</v>
      </c>
      <c r="B92" t="str">
        <f>[1]Taxonomía_General!$K95</f>
        <v>Myctophum aurolaternatum Garman, 1899</v>
      </c>
      <c r="C92" t="str">
        <f>[1]Taxonomía_General!$C95</f>
        <v>urn:lsid:marinespecies.org:taxname:217715</v>
      </c>
    </row>
    <row r="93" spans="1:3" x14ac:dyDescent="0.25">
      <c r="A93" t="str">
        <f>[1]Taxonomía_General!$B96</f>
        <v>Pez (Oligoplites saurus)</v>
      </c>
      <c r="B93" t="str">
        <f>[1]Taxonomía_General!$K96</f>
        <v>Oligoplites saurus (Bloch &amp; Schneider, 1801)</v>
      </c>
      <c r="C93" t="str">
        <f>[1]Taxonomía_General!$C96</f>
        <v>urn:lsid:marinespecies.org:taxname:159645</v>
      </c>
    </row>
    <row r="94" spans="1:3" x14ac:dyDescent="0.25">
      <c r="A94" t="str">
        <f>[1]Taxonomía_General!$B97</f>
        <v>Pez (Ophichthidae )</v>
      </c>
      <c r="B94" t="str">
        <f>[1]Taxonomía_General!$K97</f>
        <v>Ophichthidae Günther, 1870</v>
      </c>
      <c r="C94" t="str">
        <f>[1]Taxonomía_General!$C97</f>
        <v>urn:lsid:marinespecies.org:taxname:125434</v>
      </c>
    </row>
    <row r="95" spans="1:3" x14ac:dyDescent="0.25">
      <c r="A95" t="str">
        <f>[1]Taxonomía_General!$B98</f>
        <v>Pez (Perciformes)</v>
      </c>
      <c r="B95" t="str">
        <f>[1]Taxonomía_General!$K98</f>
        <v>Perciformes</v>
      </c>
      <c r="C95" t="str">
        <f>[1]Taxonomía_General!$C98</f>
        <v>urn:lsid:marinespecies.org:taxname:11014</v>
      </c>
    </row>
    <row r="96" spans="1:3" x14ac:dyDescent="0.25">
      <c r="A96" t="str">
        <f>[1]Taxonomía_General!$B99</f>
        <v>Pez (Symphurus atramentatus)</v>
      </c>
      <c r="B96" t="str">
        <f>[1]Taxonomía_General!$K99</f>
        <v>Symphurus atramentatus Jordan &amp; Bollman, 1890</v>
      </c>
      <c r="C96" t="str">
        <f>[1]Taxonomía_General!$C99</f>
        <v>urn:lsid:marinespecies.org:taxname:274233</v>
      </c>
    </row>
    <row r="97" spans="1:3" x14ac:dyDescent="0.25">
      <c r="A97" t="str">
        <f>[1]Taxonomía_General!$B100</f>
        <v>Pez (Vinciguerria lucetia)</v>
      </c>
      <c r="B97" t="str">
        <f>[1]Taxonomía_General!$K100</f>
        <v>Vinciguerria lucetia (Garman, 1899)</v>
      </c>
      <c r="C97" t="str">
        <f>[1]Taxonomía_General!$C100</f>
        <v>urn:lsid:marinespecies.org:taxname:274961</v>
      </c>
    </row>
    <row r="98" spans="1:3" x14ac:dyDescent="0.25">
      <c r="A98" t="str">
        <f>[1]Taxonomía_General!$B101</f>
        <v>Polychaeta (Huevo)</v>
      </c>
      <c r="B98" t="str">
        <f>[1]Taxonomía_General!$K101</f>
        <v>Polychaeta Grube, 1850</v>
      </c>
      <c r="C98" t="str">
        <f>[1]Taxonomía_General!$C101</f>
        <v>urn:lsid:marinespecies.org:taxname:883</v>
      </c>
    </row>
    <row r="99" spans="1:3" x14ac:dyDescent="0.25">
      <c r="A99" t="str">
        <f>[1]Taxonomía_General!$B102</f>
        <v>Polychaeta (Larva)</v>
      </c>
      <c r="B99" t="str">
        <f>[1]Taxonomía_General!$K102</f>
        <v>Polychaeta Grube, 1850</v>
      </c>
      <c r="C99" t="str">
        <f>[1]Taxonomía_General!$C102</f>
        <v>urn:lsid:marinespecies.org:taxname:883</v>
      </c>
    </row>
    <row r="100" spans="1:3" x14ac:dyDescent="0.25">
      <c r="A100" t="str">
        <f>[1]Taxonomía_General!$B103</f>
        <v>Pyrocystis fusiformis </v>
      </c>
      <c r="B100" t="str">
        <f>[1]Taxonomía_General!$K103</f>
        <v>Pyrocystis fusiformis C.W.Thomson, 1876</v>
      </c>
      <c r="C100" t="str">
        <f>[1]Taxonomía_General!$C103</f>
        <v>urn:lsid:marinespecies.org:taxname:110328</v>
      </c>
    </row>
    <row r="101" spans="1:3" x14ac:dyDescent="0.25">
      <c r="A101" t="str">
        <f>[1]Taxonomía_General!$B104</f>
        <v>Pyrocystis pseudonoctiluca</v>
      </c>
      <c r="B101" t="str">
        <f>[1]Taxonomía_General!$K104</f>
        <v>Pyrocystis pseudonoctiluca Wyville-Thompson, 1876</v>
      </c>
      <c r="C101" t="str">
        <f>[1]Taxonomía_General!$C104</f>
        <v>urn:lsid:marinespecies.org:taxname:573782</v>
      </c>
    </row>
    <row r="102" spans="1:3" x14ac:dyDescent="0.25">
      <c r="A102" t="str">
        <f>[1]Taxonomía_General!$B105</f>
        <v>Radiolaria</v>
      </c>
      <c r="B102" t="str">
        <f>[1]Taxonomía_General!$K105</f>
        <v>Radiolaria o Radiozoa Müller, 1858 emend.</v>
      </c>
      <c r="C102" t="str">
        <f>[1]Taxonomía_General!$C105</f>
        <v>urn:lsid:marinespecies.org:taxname:582421</v>
      </c>
    </row>
    <row r="103" spans="1:3" x14ac:dyDescent="0.25">
      <c r="A103" t="str">
        <f>[1]Taxonomía_General!$B106</f>
        <v>Radiolaria (Spongodiscidae)</v>
      </c>
      <c r="B103" t="str">
        <f>[1]Taxonomía_General!$K106</f>
        <v>Spongodiscidae Haeckel, 1862 emend. Riedel, 1967</v>
      </c>
      <c r="C103" t="str">
        <f>[1]Taxonomía_General!$C106</f>
        <v>urn:lsid:marinespecies.org:taxname:345858</v>
      </c>
    </row>
    <row r="104" spans="1:3" x14ac:dyDescent="0.25">
      <c r="A104" t="str">
        <f>[1]Taxonomía_General!$B107</f>
        <v>Salpidae</v>
      </c>
      <c r="B104" t="str">
        <f>[1]Taxonomía_General!$K107</f>
        <v>Salpidae Lahille, 1888</v>
      </c>
      <c r="C104" t="str">
        <f>[1]Taxonomía_General!$C107</f>
        <v>urn:lsid:marinespecies.org:taxname:137217</v>
      </c>
    </row>
    <row r="105" spans="1:3" x14ac:dyDescent="0.25">
      <c r="A105" t="str">
        <f>[1]Taxonomía_General!$B108</f>
        <v>Siphonophora (Calycophorae)</v>
      </c>
      <c r="B105" t="str">
        <f>[1]Taxonomía_General!$K108</f>
        <v>Calycophorae Leuckart, 1854</v>
      </c>
      <c r="C105" t="str">
        <f>[1]Taxonomía_General!$C108</f>
        <v>urn:lsid:marinespecies.org:taxname:135333</v>
      </c>
    </row>
    <row r="106" spans="1:3" x14ac:dyDescent="0.25">
      <c r="A106" t="str">
        <f>[1]Taxonomía_General!$B109</f>
        <v>Siphonophora (Diphyes)</v>
      </c>
      <c r="B106" t="str">
        <f>[1]Taxonomía_General!$K109</f>
        <v>Diphyes Cuvier, 1817</v>
      </c>
      <c r="C106" t="str">
        <f>[1]Taxonomía_General!$C109</f>
        <v>urn:lsid:marinespecies.org:taxname:135362</v>
      </c>
    </row>
    <row r="107" spans="1:3" x14ac:dyDescent="0.25">
      <c r="A107" t="str">
        <f>[1]Taxonomía_General!$B110</f>
        <v>Siphonophora</v>
      </c>
      <c r="B107" t="str">
        <f>[1]Taxonomía_General!$K110</f>
        <v>Siphonophorae Eschscholtz, 1829</v>
      </c>
      <c r="C107" t="str">
        <f>[1]Taxonomía_General!$C110</f>
        <v>urn:lsid:marinespecies.org:taxname:1371</v>
      </c>
    </row>
    <row r="108" spans="1:3" x14ac:dyDescent="0.25">
      <c r="A108" t="str">
        <f>[1]Taxonomía_General!$B111</f>
        <v>Siphonophora (Abylidae)</v>
      </c>
      <c r="B108" t="str">
        <f>[1]Taxonomía_General!$K111</f>
        <v>Abylidae L. Agassiz, 1862</v>
      </c>
      <c r="C108" t="str">
        <f>[1]Taxonomía_General!$C111</f>
        <v>urn:lsid:marinespecies.org:taxname:135336</v>
      </c>
    </row>
    <row r="109" spans="1:3" x14ac:dyDescent="0.25">
      <c r="A109" t="str">
        <f>[1]Taxonomía_General!$B112</f>
        <v>Siphonophora (Abylopsis tetragona)</v>
      </c>
      <c r="B109" t="str">
        <f>[1]Taxonomía_General!$K112</f>
        <v>Abylopsis tetragona (Otto, 1823)</v>
      </c>
      <c r="C109" t="str">
        <f>[1]Taxonomía_General!$C112</f>
        <v>urn:lsid:marinespecies.org:taxname:135403</v>
      </c>
    </row>
    <row r="110" spans="1:3" x14ac:dyDescent="0.25">
      <c r="A110" t="str">
        <f>[1]Taxonomía_General!$B113</f>
        <v>Siphonophora (Agalma okenii)</v>
      </c>
      <c r="B110" t="str">
        <f>[1]Taxonomía_General!$K113</f>
        <v>Agalma okenii Eschscholtz, 1825</v>
      </c>
      <c r="C110" t="str">
        <f>[1]Taxonomía_General!$C113</f>
        <v>urn:lsid:marinespecies.org:taxname:135485</v>
      </c>
    </row>
    <row r="111" spans="1:3" x14ac:dyDescent="0.25">
      <c r="A111" t="str">
        <f>[1]Taxonomía_General!$B114</f>
        <v>Siphonophora (Agalmatidae)</v>
      </c>
      <c r="B111" t="str">
        <f>[1]Taxonomía_General!$K114</f>
        <v>Agalmatidae Brandt, 1834</v>
      </c>
      <c r="C111" t="str">
        <f>[1]Taxonomía_General!$C114</f>
        <v>urn:lsid:marinespecies.org:taxname:135344</v>
      </c>
    </row>
    <row r="112" spans="1:3" x14ac:dyDescent="0.25">
      <c r="A112" t="str">
        <f>[1]Taxonomía_General!$B115</f>
        <v>Siphonophora (Bassia)</v>
      </c>
      <c r="B112" t="str">
        <f>[1]Taxonomía_General!$K115</f>
        <v>Bassia L. Agassiz, 1862</v>
      </c>
      <c r="C112" t="str">
        <f>[1]Taxonomía_General!$C115</f>
        <v>urn:lsid:marinespecies.org:taxname:135353</v>
      </c>
    </row>
    <row r="113" spans="1:3" x14ac:dyDescent="0.25">
      <c r="A113" t="str">
        <f>[1]Taxonomía_General!$B116</f>
        <v>Siphonophora (Cystonectae)</v>
      </c>
      <c r="B113" t="str">
        <f>[1]Taxonomía_General!$K116</f>
        <v>Cystonectae Haeckel, 1887</v>
      </c>
      <c r="C113" t="str">
        <f>[1]Taxonomía_General!$C116</f>
        <v>urn:lsid:marinespecies.org:taxname:135334</v>
      </c>
    </row>
    <row r="114" spans="1:3" x14ac:dyDescent="0.25">
      <c r="A114" t="str">
        <f>[1]Taxonomía_General!$B117</f>
        <v>Siphonophora (Diphyidae)</v>
      </c>
      <c r="B114" t="str">
        <f>[1]Taxonomía_General!$K117</f>
        <v>Diphyidae Quoy &amp; Gaimard, 1827</v>
      </c>
      <c r="C114" t="str">
        <f>[1]Taxonomía_General!$C117</f>
        <v>urn:lsid:marinespecies.org:taxname:135338</v>
      </c>
    </row>
    <row r="115" spans="1:3" x14ac:dyDescent="0.25">
      <c r="A115" t="str">
        <f>[1]Taxonomía_General!$B118</f>
        <v>Siphonophora (Erenna richardi)</v>
      </c>
      <c r="B115" t="str">
        <f>[1]Taxonomía_General!$K118</f>
        <v>Erenna richardi Bedot, 1904</v>
      </c>
      <c r="C115" t="str">
        <f>[1]Taxonomía_General!$C118</f>
        <v>urn:lsid:marinespecies.org:taxname:135487</v>
      </c>
    </row>
    <row r="116" spans="1:3" x14ac:dyDescent="0.25">
      <c r="A116" t="str">
        <f>[1]Taxonomía_General!$B119</f>
        <v>Siphonophora (Eudoxoides mitra)</v>
      </c>
      <c r="B116" t="str">
        <f>[1]Taxonomía_General!$K119</f>
        <v>Eudoxoides mitra Huxley, 1859</v>
      </c>
      <c r="C116" t="str">
        <f>[1]Taxonomía_General!$C119</f>
        <v>urn:lsid:marinespecies.org:taxname:135423</v>
      </c>
    </row>
    <row r="117" spans="1:3" x14ac:dyDescent="0.25">
      <c r="A117" t="str">
        <f>[1]Taxonomía_General!$B120</f>
        <v>Siphonophora (Eudoxoides spiralis)</v>
      </c>
      <c r="B117" t="str">
        <f>[1]Taxonomía_General!$K120</f>
        <v>Eudoxoides spiralis (Bigelow, 1911)</v>
      </c>
      <c r="C117" t="str">
        <f>[1]Taxonomía_General!$C120</f>
        <v>urn:lsid:marinespecies.org:taxname:135424</v>
      </c>
    </row>
    <row r="118" spans="1:3" x14ac:dyDescent="0.25">
      <c r="A118" t="str">
        <f>[1]Taxonomía_General!$B121</f>
        <v>Siphonophora (Hippopodius hippopus)</v>
      </c>
      <c r="B118" t="str">
        <f>[1]Taxonomía_General!$K121</f>
        <v>Hippopodius hippopus (Forsskål, 1776)</v>
      </c>
      <c r="C118" t="str">
        <f>[1]Taxonomía_General!$C121</f>
        <v>urn:lsid:marinespecies.org:taxname:135449</v>
      </c>
    </row>
    <row r="119" spans="1:3" x14ac:dyDescent="0.25">
      <c r="A119" t="str">
        <f>[1]Taxonomía_General!$B122</f>
        <v>Siphonophora (Lensia fowleri)</v>
      </c>
      <c r="B119" t="str">
        <f>[1]Taxonomía_General!$K122</f>
        <v>Lensia fowleri (Bigelow, 1911)</v>
      </c>
      <c r="C119" t="str">
        <f>[1]Taxonomía_General!$C122</f>
        <v>urn:lsid:marinespecies.org:taxname:135429</v>
      </c>
    </row>
    <row r="120" spans="1:3" x14ac:dyDescent="0.25">
      <c r="A120" t="str">
        <f>[1]Taxonomía_General!$B123</f>
        <v>Siphonophora (Lensia multicristata)</v>
      </c>
      <c r="B120" t="str">
        <f>[1]Taxonomía_General!$K123</f>
        <v>Lensia multicristata Moser, 1925</v>
      </c>
      <c r="C120" t="str">
        <f>[1]Taxonomía_General!$C123</f>
        <v>urn:lsid:marinespecies.org:taxname:135436</v>
      </c>
    </row>
    <row r="121" spans="1:3" x14ac:dyDescent="0.25">
      <c r="A121" t="str">
        <f>[1]Taxonomía_General!$B124</f>
        <v>Siphonophora (Lensia subtiloides)</v>
      </c>
      <c r="B121" t="str">
        <f>[1]Taxonomía_General!$K124</f>
        <v>Lensia subtiloides (Lens &amp; van Riemsdijk, 1908)</v>
      </c>
      <c r="C121" t="str">
        <f>[1]Taxonomía_General!$C124</f>
        <v>urn:lsid:marinespecies.org:taxname:135440</v>
      </c>
    </row>
    <row r="122" spans="1:3" x14ac:dyDescent="0.25">
      <c r="A122" t="str">
        <f>[1]Taxonomía_General!$B125</f>
        <v>Siphonophora (Lensia)</v>
      </c>
      <c r="B122" t="str">
        <f>[1]Taxonomía_General!$K125</f>
        <v>Lensia Totton, 1932</v>
      </c>
      <c r="C122" t="str">
        <f>[1]Taxonomía_General!$C125</f>
        <v>urn:lsid:marinespecies.org:taxname:135365</v>
      </c>
    </row>
    <row r="123" spans="1:3" x14ac:dyDescent="0.25">
      <c r="A123" t="str">
        <f>[1]Taxonomía_General!$B126</f>
        <v>Siphonophora (Muggiaea)</v>
      </c>
      <c r="B123" t="str">
        <f>[1]Taxonomía_General!$K126</f>
        <v>Muggiaea Busch, 1851</v>
      </c>
      <c r="C123" t="str">
        <f>[1]Taxonomía_General!$C126</f>
        <v>urn:lsid:marinespecies.org:taxname:135366</v>
      </c>
    </row>
    <row r="124" spans="1:3" x14ac:dyDescent="0.25">
      <c r="A124" t="str">
        <f>[1]Taxonomía_General!$B127</f>
        <v>Siphonophora (Prayidae)</v>
      </c>
      <c r="B124" t="str">
        <f>[1]Taxonomía_General!$K127</f>
        <v>Prayidae Kölliker, 1853</v>
      </c>
      <c r="C124" t="str">
        <f>[1]Taxonomía_General!$C127</f>
        <v>urn:lsid:marinespecies.org:taxname:135340</v>
      </c>
    </row>
    <row r="125" spans="1:3" x14ac:dyDescent="0.25">
      <c r="A125" t="str">
        <f>[1]Taxonomía_General!$B128</f>
        <v>Siphonophora (Resomiidae)</v>
      </c>
      <c r="B125" t="str">
        <f>[1]Taxonomía_General!$K128</f>
        <v>Resomiidae Pugh, 2006</v>
      </c>
      <c r="C125" t="str">
        <f>[1]Taxonomía_General!$C128</f>
        <v>urn:lsid:marinespecies.org:taxname:708919</v>
      </c>
    </row>
    <row r="126" spans="1:3" x14ac:dyDescent="0.25">
      <c r="A126" t="str">
        <f>[1]Taxonomía_General!$B129</f>
        <v>Siphonophora (Rhizophysa filiformis)</v>
      </c>
      <c r="B126" t="str">
        <f>[1]Taxonomía_General!$K129</f>
        <v>Rhizophysa filiformis Forsskål, 1775</v>
      </c>
      <c r="C126" t="str">
        <f>[1]Taxonomía_General!$C129</f>
        <v>urn:lsid:marinespecies.org:taxname:135482</v>
      </c>
    </row>
    <row r="127" spans="1:3" x14ac:dyDescent="0.25">
      <c r="A127" t="str">
        <f>[1]Taxonomía_General!$B130</f>
        <v>Siphonophora (Vogtia spinosa)</v>
      </c>
      <c r="B127" t="str">
        <f>[1]Taxonomía_General!$K130</f>
        <v>Vogtia spinosa Keferstein &amp; Ehlers, 1861</v>
      </c>
      <c r="C127" t="str">
        <f>[1]Taxonomía_General!$C130</f>
        <v>urn:lsid:marinespecies.org:taxname:135453</v>
      </c>
    </row>
    <row r="128" spans="1:3" x14ac:dyDescent="0.25">
      <c r="A128" t="str">
        <f>[1]Taxonomía_General!$B131</f>
        <v>Sipunculida</v>
      </c>
      <c r="B128" t="str">
        <f>[1]Taxonomía_General!$K131</f>
        <v>Sipunculidae Rafinesque, 1814</v>
      </c>
      <c r="C128" t="str">
        <f>[1]Taxonomía_General!$C131</f>
        <v>urn:lsid:marinespecies.org:taxname:1648</v>
      </c>
    </row>
    <row r="129" spans="1:3" x14ac:dyDescent="0.25">
      <c r="A129" t="str">
        <f>[1]Taxonomía_General!$B132</f>
        <v>Sipunculida (Larva)</v>
      </c>
      <c r="B129" t="str">
        <f>[1]Taxonomía_General!$K132</f>
        <v>Sipunculidae Rafinesque, 1814</v>
      </c>
      <c r="C129" t="str">
        <f>[1]Taxonomía_General!$C132</f>
        <v>urn:lsid:marinespecies.org:taxname:1648</v>
      </c>
    </row>
    <row r="130" spans="1:3" x14ac:dyDescent="0.25">
      <c r="A130" t="str">
        <f>[1]Taxonomía_General!$B133</f>
        <v>Stomatopoda</v>
      </c>
      <c r="B130" t="str">
        <f>[1]Taxonomía_General!$K133</f>
        <v>Stomatopoda Latreille, 1817</v>
      </c>
      <c r="C130" t="str">
        <f>[1]Taxonomía_General!$C133</f>
        <v>urn:lsid:marinespecies.org:taxname:14355</v>
      </c>
    </row>
    <row r="131" spans="1:3" x14ac:dyDescent="0.25">
      <c r="A131" t="str">
        <f>[1]Taxonomía_General!$B134</f>
        <v>Medusa (Eutima)</v>
      </c>
      <c r="B131" t="str">
        <f>[1]Taxonomía_General!$K134</f>
        <v>Eutima McCrady, 1859</v>
      </c>
      <c r="C131" t="str">
        <f>[1]Taxonomía_General!$C134</f>
        <v>urn:lsid:marinespecies.org:taxname:117082</v>
      </c>
    </row>
    <row r="132" spans="1:3" x14ac:dyDescent="0.25">
      <c r="A132" t="str">
        <f>[1]Taxonomía_General!$B135</f>
        <v>Pez (Gerreidae)</v>
      </c>
      <c r="B132" t="str">
        <f>[1]Taxonomía_General!$K135</f>
        <v>Gerreidae Bleeker, 1859</v>
      </c>
      <c r="C132" t="str">
        <f>[1]Taxonomía_General!$C135</f>
        <v>urn:lsid:marinespecies.org:taxname:151456</v>
      </c>
    </row>
    <row r="133" spans="1:3" x14ac:dyDescent="0.25">
      <c r="A133">
        <f>[1]Taxonomía_General!$B136</f>
        <v>0</v>
      </c>
      <c r="B133">
        <f>[1]Taxonomía_General!$K136</f>
        <v>0</v>
      </c>
      <c r="C133">
        <f>[1]Taxonomía_General!$C136</f>
        <v>0</v>
      </c>
    </row>
    <row r="134" spans="1:3" x14ac:dyDescent="0.25">
      <c r="A134">
        <f>[1]Taxonomía_General!$B137</f>
        <v>0</v>
      </c>
      <c r="B134">
        <f>[1]Taxonomía_General!$K137</f>
        <v>0</v>
      </c>
      <c r="C134">
        <f>[1]Taxonomía_General!$C137</f>
        <v>0</v>
      </c>
    </row>
    <row r="135" spans="1:3" x14ac:dyDescent="0.25">
      <c r="A135">
        <f>[1]Taxonomía_General!$B138</f>
        <v>0</v>
      </c>
      <c r="B135">
        <f>[1]Taxonomía_General!$K138</f>
        <v>0</v>
      </c>
      <c r="C135">
        <f>[1]Taxonomía_General!$C138</f>
        <v>0</v>
      </c>
    </row>
    <row r="136" spans="1:3" x14ac:dyDescent="0.25">
      <c r="A136">
        <f>[1]Taxonomía_General!$B139</f>
        <v>0</v>
      </c>
      <c r="B136">
        <f>[1]Taxonomía_General!$K139</f>
        <v>0</v>
      </c>
      <c r="C136">
        <f>[1]Taxonomía_General!$C139</f>
        <v>0</v>
      </c>
    </row>
    <row r="137" spans="1:3" x14ac:dyDescent="0.25">
      <c r="A137">
        <f>[1]Taxonomía_General!$B140</f>
        <v>0</v>
      </c>
      <c r="B137">
        <f>[1]Taxonomía_General!$K140</f>
        <v>0</v>
      </c>
      <c r="C137">
        <f>[1]Taxonomía_General!$C140</f>
        <v>0</v>
      </c>
    </row>
    <row r="138" spans="1:3" x14ac:dyDescent="0.25">
      <c r="A138">
        <f>[1]Taxonomía_General!$B141</f>
        <v>0</v>
      </c>
      <c r="B138">
        <f>[1]Taxonomía_General!$K141</f>
        <v>0</v>
      </c>
      <c r="C138">
        <f>[1]Taxonomía_General!$C141</f>
        <v>0</v>
      </c>
    </row>
    <row r="139" spans="1:3" x14ac:dyDescent="0.25">
      <c r="A139">
        <f>[1]Taxonomía_General!$B142</f>
        <v>0</v>
      </c>
      <c r="B139">
        <f>[1]Taxonomía_General!$K142</f>
        <v>0</v>
      </c>
      <c r="C139">
        <f>[1]Taxonomía_General!$C142</f>
        <v>0</v>
      </c>
    </row>
    <row r="140" spans="1:3" x14ac:dyDescent="0.25">
      <c r="A140">
        <f>[1]Taxonomía_General!$B143</f>
        <v>0</v>
      </c>
      <c r="B140">
        <f>[1]Taxonomía_General!$K143</f>
        <v>0</v>
      </c>
      <c r="C140">
        <f>[1]Taxonomía_General!$C143</f>
        <v>0</v>
      </c>
    </row>
    <row r="141" spans="1:3" x14ac:dyDescent="0.25">
      <c r="A141">
        <f>[1]Taxonomía_General!$B144</f>
        <v>0</v>
      </c>
      <c r="B141">
        <f>[1]Taxonomía_General!$K144</f>
        <v>0</v>
      </c>
      <c r="C141">
        <f>[1]Taxonomía_General!$C144</f>
        <v>0</v>
      </c>
    </row>
    <row r="142" spans="1:3" x14ac:dyDescent="0.25">
      <c r="A142">
        <f>[1]Taxonomía_General!$B145</f>
        <v>0</v>
      </c>
      <c r="B142">
        <f>[1]Taxonomía_General!$K145</f>
        <v>0</v>
      </c>
      <c r="C142">
        <f>[1]Taxonomía_General!$C145</f>
        <v>0</v>
      </c>
    </row>
    <row r="143" spans="1:3" x14ac:dyDescent="0.25">
      <c r="A143">
        <f>[1]Taxonomía_General!$B146</f>
        <v>0</v>
      </c>
      <c r="B143">
        <f>[1]Taxonomía_General!$K146</f>
        <v>0</v>
      </c>
      <c r="C143">
        <f>[1]Taxonomía_General!$C146</f>
        <v>0</v>
      </c>
    </row>
    <row r="144" spans="1:3" x14ac:dyDescent="0.25">
      <c r="A144">
        <f>[1]Taxonomía_General!$B147</f>
        <v>0</v>
      </c>
      <c r="B144">
        <f>[1]Taxonomía_General!$K147</f>
        <v>0</v>
      </c>
      <c r="C144">
        <f>[1]Taxonomía_General!$C147</f>
        <v>0</v>
      </c>
    </row>
    <row r="145" spans="1:3" x14ac:dyDescent="0.25">
      <c r="A145">
        <f>[1]Taxonomía_General!$B148</f>
        <v>0</v>
      </c>
      <c r="B145">
        <f>[1]Taxonomía_General!$K148</f>
        <v>0</v>
      </c>
      <c r="C145">
        <f>[1]Taxonomía_General!$C148</f>
        <v>0</v>
      </c>
    </row>
    <row r="146" spans="1:3" x14ac:dyDescent="0.25">
      <c r="A146">
        <f>[1]Taxonomía_General!$B149</f>
        <v>0</v>
      </c>
      <c r="B146">
        <f>[1]Taxonomía_General!$K149</f>
        <v>0</v>
      </c>
      <c r="C146">
        <f>[1]Taxonomía_General!$C149</f>
        <v>0</v>
      </c>
    </row>
    <row r="147" spans="1:3" x14ac:dyDescent="0.25">
      <c r="A147">
        <f>[1]Taxonomía_General!$B150</f>
        <v>0</v>
      </c>
      <c r="B147">
        <f>[1]Taxonomía_General!$K150</f>
        <v>0</v>
      </c>
      <c r="C147">
        <f>[1]Taxonomía_General!$C150</f>
        <v>0</v>
      </c>
    </row>
    <row r="148" spans="1:3" x14ac:dyDescent="0.25">
      <c r="A148">
        <f>[1]Taxonomía_General!$B151</f>
        <v>0</v>
      </c>
      <c r="B148">
        <f>[1]Taxonomía_General!$K151</f>
        <v>0</v>
      </c>
      <c r="C148">
        <f>[1]Taxonomía_General!$C151</f>
        <v>0</v>
      </c>
    </row>
    <row r="149" spans="1:3" x14ac:dyDescent="0.25">
      <c r="A149">
        <f>[1]Taxonomía_General!$B152</f>
        <v>0</v>
      </c>
      <c r="B149">
        <f>[1]Taxonomía_General!$K152</f>
        <v>0</v>
      </c>
      <c r="C149">
        <f>[1]Taxonomía_General!$C152</f>
        <v>0</v>
      </c>
    </row>
    <row r="150" spans="1:3" x14ac:dyDescent="0.25">
      <c r="A150">
        <f>[1]Taxonomía_General!$B153</f>
        <v>0</v>
      </c>
      <c r="B150">
        <f>[1]Taxonomía_General!$K153</f>
        <v>0</v>
      </c>
      <c r="C150">
        <f>[1]Taxonomía_General!$C153</f>
        <v>0</v>
      </c>
    </row>
    <row r="151" spans="1:3" x14ac:dyDescent="0.25">
      <c r="A151">
        <f>[1]Taxonomía_General!$B154</f>
        <v>0</v>
      </c>
      <c r="B151">
        <f>[1]Taxonomía_General!$K154</f>
        <v>0</v>
      </c>
      <c r="C151">
        <f>[1]Taxonomía_General!$C154</f>
        <v>0</v>
      </c>
    </row>
    <row r="152" spans="1:3" x14ac:dyDescent="0.25">
      <c r="A152">
        <f>[1]Taxonomía_General!$B155</f>
        <v>0</v>
      </c>
      <c r="B152">
        <f>[1]Taxonomía_General!$K155</f>
        <v>0</v>
      </c>
      <c r="C152">
        <f>[1]Taxonomía_General!$C155</f>
        <v>0</v>
      </c>
    </row>
    <row r="153" spans="1:3" x14ac:dyDescent="0.25">
      <c r="A153">
        <f>[1]Taxonomía_General!$B156</f>
        <v>0</v>
      </c>
      <c r="B153">
        <f>[1]Taxonomía_General!$K156</f>
        <v>0</v>
      </c>
      <c r="C153">
        <f>[1]Taxonomía_General!$C156</f>
        <v>0</v>
      </c>
    </row>
    <row r="154" spans="1:3" x14ac:dyDescent="0.25">
      <c r="A154">
        <f>[1]Taxonomía_General!$B157</f>
        <v>0</v>
      </c>
      <c r="B154">
        <f>[1]Taxonomía_General!$K157</f>
        <v>0</v>
      </c>
      <c r="C154">
        <f>[1]Taxonomía_General!$C157</f>
        <v>0</v>
      </c>
    </row>
    <row r="155" spans="1:3" x14ac:dyDescent="0.25">
      <c r="A155">
        <f>[1]Taxonomía_General!$B158</f>
        <v>0</v>
      </c>
      <c r="B155">
        <f>[1]Taxonomía_General!$K158</f>
        <v>0</v>
      </c>
      <c r="C155">
        <f>[1]Taxonomía_General!$C158</f>
        <v>0</v>
      </c>
    </row>
    <row r="156" spans="1:3" x14ac:dyDescent="0.25">
      <c r="A156">
        <f>[1]Taxonomía_General!$B159</f>
        <v>0</v>
      </c>
      <c r="B156">
        <f>[1]Taxonomía_General!$K159</f>
        <v>0</v>
      </c>
      <c r="C156">
        <f>[1]Taxonomía_General!$C159</f>
        <v>0</v>
      </c>
    </row>
    <row r="157" spans="1:3" x14ac:dyDescent="0.25">
      <c r="A157">
        <f>[1]Taxonomía_General!$B160</f>
        <v>0</v>
      </c>
      <c r="B157">
        <f>[1]Taxonomía_General!$K160</f>
        <v>0</v>
      </c>
      <c r="C157">
        <f>[1]Taxonomía_General!$C160</f>
        <v>0</v>
      </c>
    </row>
    <row r="158" spans="1:3" x14ac:dyDescent="0.25">
      <c r="A158">
        <f>[1]Taxonomía_General!$B161</f>
        <v>0</v>
      </c>
      <c r="B158">
        <f>[1]Taxonomía_General!$K161</f>
        <v>0</v>
      </c>
      <c r="C158">
        <f>[1]Taxonomía_General!$C161</f>
        <v>0</v>
      </c>
    </row>
    <row r="159" spans="1:3" x14ac:dyDescent="0.25">
      <c r="A159">
        <f>[1]Taxonomía_General!$B162</f>
        <v>0</v>
      </c>
      <c r="B159">
        <f>[1]Taxonomía_General!$K162</f>
        <v>0</v>
      </c>
      <c r="C159">
        <f>[1]Taxonomía_General!$C162</f>
        <v>0</v>
      </c>
    </row>
    <row r="160" spans="1:3" x14ac:dyDescent="0.25">
      <c r="A160">
        <f>[2]Taxonomía_General!$B163</f>
        <v>0</v>
      </c>
      <c r="B160">
        <f>[1]Taxonomía_General!$K163</f>
        <v>0</v>
      </c>
      <c r="C160">
        <f>[1]Taxonomía_General!$C163</f>
        <v>0</v>
      </c>
    </row>
    <row r="161" spans="1:3" x14ac:dyDescent="0.25">
      <c r="A161">
        <f>[2]Taxonomía_General!$B164</f>
        <v>0</v>
      </c>
      <c r="B161">
        <f>[1]Taxonomía_General!$K164</f>
        <v>0</v>
      </c>
      <c r="C161">
        <f>[1]Taxonomía_General!$C164</f>
        <v>0</v>
      </c>
    </row>
    <row r="162" spans="1:3" x14ac:dyDescent="0.25">
      <c r="A162">
        <f>[2]Taxonomía_General!$B165</f>
        <v>0</v>
      </c>
      <c r="B162">
        <f>[1]Taxonomía_General!$K165</f>
        <v>0</v>
      </c>
      <c r="C162">
        <f>[1]Taxonomía_General!$C165</f>
        <v>0</v>
      </c>
    </row>
    <row r="163" spans="1:3" x14ac:dyDescent="0.25">
      <c r="A163">
        <f>[2]Taxonomía_General!$B166</f>
        <v>0</v>
      </c>
      <c r="B163">
        <f>[1]Taxonomía_General!$K166</f>
        <v>0</v>
      </c>
      <c r="C163">
        <f>[1]Taxonomía_General!$C166</f>
        <v>0</v>
      </c>
    </row>
    <row r="164" spans="1:3" x14ac:dyDescent="0.25">
      <c r="A164">
        <f>[2]Taxonomía_General!$B167</f>
        <v>0</v>
      </c>
      <c r="B164">
        <f>[1]Taxonomía_General!$K167</f>
        <v>0</v>
      </c>
      <c r="C164">
        <f>[1]Taxonomía_General!$C167</f>
        <v>0</v>
      </c>
    </row>
    <row r="165" spans="1:3" x14ac:dyDescent="0.25">
      <c r="A165">
        <f>[2]Taxonomía_General!$B168</f>
        <v>0</v>
      </c>
      <c r="B165">
        <f>[1]Taxonomía_General!$K168</f>
        <v>0</v>
      </c>
      <c r="C165">
        <f>[1]Taxonomía_General!$C168</f>
        <v>0</v>
      </c>
    </row>
    <row r="166" spans="1:3" x14ac:dyDescent="0.25">
      <c r="A166">
        <f>[2]Taxonomía_General!$B169</f>
        <v>0</v>
      </c>
      <c r="B166">
        <f>[1]Taxonomía_General!$K169</f>
        <v>0</v>
      </c>
      <c r="C166">
        <f>[1]Taxonomía_General!$C169</f>
        <v>0</v>
      </c>
    </row>
    <row r="167" spans="1:3" x14ac:dyDescent="0.25">
      <c r="A167">
        <f>[2]Taxonomía_General!$B170</f>
        <v>0</v>
      </c>
      <c r="B167">
        <f>[1]Taxonomía_General!$K170</f>
        <v>0</v>
      </c>
      <c r="C167">
        <f>[1]Taxonomía_General!$C170</f>
        <v>0</v>
      </c>
    </row>
    <row r="168" spans="1:3" x14ac:dyDescent="0.25">
      <c r="A168">
        <f>[2]Taxonomía_General!$B171</f>
        <v>0</v>
      </c>
      <c r="B168">
        <f>[1]Taxonomía_General!$K171</f>
        <v>0</v>
      </c>
      <c r="C168">
        <f>[1]Taxonomía_General!$C171</f>
        <v>0</v>
      </c>
    </row>
    <row r="169" spans="1:3" x14ac:dyDescent="0.25">
      <c r="A169">
        <f>[2]Taxonomía_General!$B172</f>
        <v>0</v>
      </c>
      <c r="B169">
        <f>[1]Taxonomía_General!$K172</f>
        <v>0</v>
      </c>
      <c r="C169">
        <f>[1]Taxonomía_General!$C172</f>
        <v>0</v>
      </c>
    </row>
    <row r="170" spans="1:3" x14ac:dyDescent="0.25">
      <c r="A170">
        <f>[2]Taxonomía_General!$B173</f>
        <v>0</v>
      </c>
      <c r="B170">
        <f>[1]Taxonomía_General!$K173</f>
        <v>0</v>
      </c>
      <c r="C170">
        <f>[1]Taxonomía_General!$C173</f>
        <v>0</v>
      </c>
    </row>
    <row r="171" spans="1:3" x14ac:dyDescent="0.25">
      <c r="A171">
        <f>[2]Taxonomía_General!$B174</f>
        <v>0</v>
      </c>
      <c r="B171">
        <f>[1]Taxonomía_General!$K174</f>
        <v>0</v>
      </c>
      <c r="C171">
        <f>[1]Taxonomía_General!$C174</f>
        <v>0</v>
      </c>
    </row>
    <row r="172" spans="1:3" x14ac:dyDescent="0.25">
      <c r="A172">
        <f>[2]Taxonomía_General!$B175</f>
        <v>0</v>
      </c>
      <c r="B172">
        <f>[1]Taxonomía_General!$K175</f>
        <v>0</v>
      </c>
      <c r="C172">
        <f>[1]Taxonomía_General!$C175</f>
        <v>0</v>
      </c>
    </row>
    <row r="173" spans="1:3" x14ac:dyDescent="0.25">
      <c r="A173">
        <f>[2]Taxonomía_General!$B176</f>
        <v>0</v>
      </c>
      <c r="B173">
        <f>[1]Taxonomía_General!$K176</f>
        <v>0</v>
      </c>
      <c r="C173">
        <f>[1]Taxonomía_General!$C176</f>
        <v>0</v>
      </c>
    </row>
    <row r="174" spans="1:3" x14ac:dyDescent="0.25">
      <c r="A174">
        <f>[2]Taxonomía_General!$B177</f>
        <v>0</v>
      </c>
      <c r="B174">
        <f>[1]Taxonomía_General!$K177</f>
        <v>0</v>
      </c>
      <c r="C174">
        <f>[1]Taxonomía_General!$C177</f>
        <v>0</v>
      </c>
    </row>
    <row r="175" spans="1:3" x14ac:dyDescent="0.25">
      <c r="A175">
        <f>[2]Taxonomía_General!$B178</f>
        <v>0</v>
      </c>
      <c r="B175">
        <f>[1]Taxonomía_General!$K178</f>
        <v>0</v>
      </c>
      <c r="C175">
        <f>[1]Taxonomía_General!$C178</f>
        <v>0</v>
      </c>
    </row>
    <row r="176" spans="1:3" x14ac:dyDescent="0.25">
      <c r="A176">
        <f>[2]Taxonomía_General!$B179</f>
        <v>0</v>
      </c>
      <c r="B176">
        <f>[1]Taxonomía_General!$K179</f>
        <v>0</v>
      </c>
      <c r="C176">
        <f>[1]Taxonomía_General!$C179</f>
        <v>0</v>
      </c>
    </row>
    <row r="177" spans="1:3" x14ac:dyDescent="0.25">
      <c r="A177">
        <f>[2]Taxonomía_General!$B180</f>
        <v>0</v>
      </c>
      <c r="B177">
        <f>[1]Taxonomía_General!$K180</f>
        <v>0</v>
      </c>
      <c r="C177">
        <f>[1]Taxonomía_General!$C180</f>
        <v>0</v>
      </c>
    </row>
    <row r="178" spans="1:3" x14ac:dyDescent="0.25">
      <c r="A178">
        <f>[2]Taxonomía_General!$B181</f>
        <v>0</v>
      </c>
      <c r="B178">
        <f>[1]Taxonomía_General!$K181</f>
        <v>0</v>
      </c>
      <c r="C178">
        <f>[1]Taxonomía_General!$C181</f>
        <v>0</v>
      </c>
    </row>
    <row r="179" spans="1:3" x14ac:dyDescent="0.25">
      <c r="A179">
        <f>[2]Taxonomía_General!$B182</f>
        <v>0</v>
      </c>
      <c r="B179">
        <f>[1]Taxonomía_General!$K182</f>
        <v>0</v>
      </c>
      <c r="C179">
        <f>[1]Taxonomía_General!$C182</f>
        <v>0</v>
      </c>
    </row>
    <row r="180" spans="1:3" x14ac:dyDescent="0.25">
      <c r="A180">
        <f>[2]Taxonomía_General!$B183</f>
        <v>0</v>
      </c>
      <c r="B180">
        <f>[1]Taxonomía_General!$K183</f>
        <v>0</v>
      </c>
      <c r="C180">
        <f>[1]Taxonomía_General!$C183</f>
        <v>0</v>
      </c>
    </row>
    <row r="181" spans="1:3" x14ac:dyDescent="0.25">
      <c r="A181">
        <f>[2]Taxonomía_General!$B184</f>
        <v>0</v>
      </c>
      <c r="B181">
        <f>[1]Taxonomía_General!$K184</f>
        <v>0</v>
      </c>
      <c r="C181">
        <f>[1]Taxonomía_General!$C184</f>
        <v>0</v>
      </c>
    </row>
    <row r="182" spans="1:3" x14ac:dyDescent="0.25">
      <c r="A182">
        <f>[2]Taxonomía_General!$B185</f>
        <v>0</v>
      </c>
      <c r="B182">
        <f>[1]Taxonomía_General!$K185</f>
        <v>0</v>
      </c>
      <c r="C182">
        <f>[1]Taxonomía_General!$C185</f>
        <v>0</v>
      </c>
    </row>
    <row r="183" spans="1:3" x14ac:dyDescent="0.25">
      <c r="A183">
        <f>[2]Taxonomía_General!$B186</f>
        <v>0</v>
      </c>
      <c r="B183">
        <f>[1]Taxonomía_General!$K186</f>
        <v>0</v>
      </c>
      <c r="C183">
        <f>[1]Taxonomía_General!$C186</f>
        <v>0</v>
      </c>
    </row>
    <row r="184" spans="1:3" x14ac:dyDescent="0.25">
      <c r="A184">
        <f>[2]Taxonomía_General!$B187</f>
        <v>0</v>
      </c>
      <c r="B184">
        <f>[1]Taxonomía_General!$K187</f>
        <v>0</v>
      </c>
      <c r="C184">
        <f>[1]Taxonomía_General!$C187</f>
        <v>0</v>
      </c>
    </row>
    <row r="185" spans="1:3" x14ac:dyDescent="0.25">
      <c r="A185">
        <f>[2]Taxonomía_General!$B188</f>
        <v>0</v>
      </c>
      <c r="B185">
        <f>[1]Taxonomía_General!$K188</f>
        <v>0</v>
      </c>
      <c r="C185">
        <f>[1]Taxonomía_General!$C188</f>
        <v>0</v>
      </c>
    </row>
    <row r="186" spans="1:3" x14ac:dyDescent="0.25">
      <c r="A186">
        <f>[2]Taxonomía_General!$B189</f>
        <v>0</v>
      </c>
      <c r="B186">
        <f>[1]Taxonomía_General!$K189</f>
        <v>0</v>
      </c>
      <c r="C186">
        <f>[1]Taxonomía_General!$C189</f>
        <v>0</v>
      </c>
    </row>
    <row r="187" spans="1:3" x14ac:dyDescent="0.25">
      <c r="A187">
        <f>[2]Taxonomía_General!$B190</f>
        <v>0</v>
      </c>
      <c r="B187">
        <f>[1]Taxonomía_General!$K190</f>
        <v>0</v>
      </c>
      <c r="C187">
        <f>[1]Taxonomía_General!$C190</f>
        <v>0</v>
      </c>
    </row>
    <row r="188" spans="1:3" x14ac:dyDescent="0.25">
      <c r="A188">
        <f>[2]Taxonomía_General!$B191</f>
        <v>0</v>
      </c>
      <c r="B188">
        <f>[1]Taxonomía_General!$K191</f>
        <v>0</v>
      </c>
      <c r="C188">
        <f>[1]Taxonomía_General!$C191</f>
        <v>0</v>
      </c>
    </row>
    <row r="189" spans="1:3" x14ac:dyDescent="0.25">
      <c r="A189">
        <f>[2]Taxonomía_General!$B192</f>
        <v>0</v>
      </c>
      <c r="B189">
        <f>[1]Taxonomía_General!$K192</f>
        <v>0</v>
      </c>
      <c r="C189">
        <f>[1]Taxonomía_General!$C192</f>
        <v>0</v>
      </c>
    </row>
    <row r="190" spans="1:3" x14ac:dyDescent="0.25">
      <c r="A190">
        <f>[2]Taxonomía_General!$B193</f>
        <v>0</v>
      </c>
      <c r="B190">
        <f>[1]Taxonomía_General!$K193</f>
        <v>0</v>
      </c>
      <c r="C190">
        <f>[1]Taxonomía_General!$C193</f>
        <v>0</v>
      </c>
    </row>
    <row r="191" spans="1:3" x14ac:dyDescent="0.25">
      <c r="A191">
        <f>[2]Taxonomía_General!$B194</f>
        <v>0</v>
      </c>
      <c r="B191">
        <f>[1]Taxonomía_General!$K194</f>
        <v>0</v>
      </c>
      <c r="C191">
        <f>[1]Taxonomía_General!$C194</f>
        <v>0</v>
      </c>
    </row>
    <row r="192" spans="1:3" x14ac:dyDescent="0.25">
      <c r="A192">
        <f>[2]Taxonomía_General!$B195</f>
        <v>0</v>
      </c>
      <c r="B192">
        <f>[1]Taxonomía_General!$K195</f>
        <v>0</v>
      </c>
      <c r="C192">
        <f>[1]Taxonomía_General!$C195</f>
        <v>0</v>
      </c>
    </row>
    <row r="193" spans="1:3" x14ac:dyDescent="0.25">
      <c r="A193">
        <f>[2]Taxonomía_General!$B196</f>
        <v>0</v>
      </c>
      <c r="B193">
        <f>[1]Taxonomía_General!$K196</f>
        <v>0</v>
      </c>
      <c r="C193">
        <f>[1]Taxonomía_General!$C196</f>
        <v>0</v>
      </c>
    </row>
    <row r="194" spans="1:3" x14ac:dyDescent="0.25">
      <c r="A194">
        <f>[2]Taxonomía_General!$B197</f>
        <v>0</v>
      </c>
      <c r="B194">
        <f>[1]Taxonomía_General!$K197</f>
        <v>0</v>
      </c>
      <c r="C194">
        <f>[1]Taxonomía_General!$C197</f>
        <v>0</v>
      </c>
    </row>
    <row r="195" spans="1:3" x14ac:dyDescent="0.25">
      <c r="A195">
        <f>[2]Taxonomía_General!$B198</f>
        <v>0</v>
      </c>
      <c r="B195">
        <f>[1]Taxonomía_General!$K198</f>
        <v>0</v>
      </c>
      <c r="C195">
        <f>[1]Taxonomía_General!$C198</f>
        <v>0</v>
      </c>
    </row>
    <row r="196" spans="1:3" x14ac:dyDescent="0.25">
      <c r="A196">
        <f>[2]Taxonomía_General!$B199</f>
        <v>0</v>
      </c>
      <c r="B196">
        <f>[1]Taxonomía_General!$K199</f>
        <v>0</v>
      </c>
      <c r="C196">
        <f>[1]Taxonomía_General!$C199</f>
        <v>0</v>
      </c>
    </row>
    <row r="197" spans="1:3" x14ac:dyDescent="0.25">
      <c r="A197">
        <f>[2]Taxonomía_General!$B200</f>
        <v>0</v>
      </c>
      <c r="B197">
        <f>[1]Taxonomía_General!$K200</f>
        <v>0</v>
      </c>
      <c r="C197">
        <f>[1]Taxonomía_General!$C200</f>
        <v>0</v>
      </c>
    </row>
    <row r="198" spans="1:3" x14ac:dyDescent="0.25">
      <c r="A198">
        <f>[2]Taxonomía_General!$B201</f>
        <v>0</v>
      </c>
      <c r="B198">
        <f>[1]Taxonomía_General!$K201</f>
        <v>0</v>
      </c>
      <c r="C198">
        <f>[1]Taxonomía_General!$C201</f>
        <v>0</v>
      </c>
    </row>
    <row r="199" spans="1:3" x14ac:dyDescent="0.25">
      <c r="A199">
        <f>[2]Taxonomía_General!$B202</f>
        <v>0</v>
      </c>
      <c r="B199">
        <f>[1]Taxonomía_General!$K202</f>
        <v>0</v>
      </c>
      <c r="C199">
        <f>[1]Taxonomía_General!$C202</f>
        <v>0</v>
      </c>
    </row>
    <row r="200" spans="1:3" x14ac:dyDescent="0.25">
      <c r="A200">
        <f>[2]Taxonomía_General!$B203</f>
        <v>0</v>
      </c>
      <c r="B200">
        <f>[1]Taxonomía_General!$K203</f>
        <v>0</v>
      </c>
      <c r="C200">
        <f>[1]Taxonomía_General!$C203</f>
        <v>0</v>
      </c>
    </row>
    <row r="201" spans="1:3" x14ac:dyDescent="0.25">
      <c r="A201">
        <f>[2]Taxonomía_General!$B204</f>
        <v>0</v>
      </c>
      <c r="B201">
        <f>[1]Taxonomía_General!$K204</f>
        <v>0</v>
      </c>
      <c r="C201">
        <f>[1]Taxonomía_General!$C204</f>
        <v>0</v>
      </c>
    </row>
    <row r="202" spans="1:3" x14ac:dyDescent="0.25">
      <c r="A202">
        <f>[2]Taxonomía_General!$B205</f>
        <v>0</v>
      </c>
      <c r="B202">
        <f>[1]Taxonomía_General!$K205</f>
        <v>0</v>
      </c>
      <c r="C202">
        <f>[1]Taxonomía_General!$C205</f>
        <v>0</v>
      </c>
    </row>
    <row r="203" spans="1:3" x14ac:dyDescent="0.25">
      <c r="A203">
        <f>[2]Taxonomía_General!$B206</f>
        <v>0</v>
      </c>
      <c r="B203">
        <f>[1]Taxonomía_General!$K206</f>
        <v>0</v>
      </c>
      <c r="C203">
        <f>[1]Taxonomía_General!$C206</f>
        <v>0</v>
      </c>
    </row>
    <row r="204" spans="1:3" x14ac:dyDescent="0.25">
      <c r="A204">
        <f>[2]Taxonomía_General!$B207</f>
        <v>0</v>
      </c>
      <c r="B204">
        <f>[1]Taxonomía_General!$K207</f>
        <v>0</v>
      </c>
      <c r="C204">
        <f>[1]Taxonomía_General!$C207</f>
        <v>0</v>
      </c>
    </row>
    <row r="205" spans="1:3" x14ac:dyDescent="0.25">
      <c r="A205">
        <f>[2]Taxonomía_General!$B208</f>
        <v>0</v>
      </c>
      <c r="B205">
        <f>[1]Taxonomía_General!$K208</f>
        <v>0</v>
      </c>
      <c r="C205">
        <f>[1]Taxonomía_General!$C208</f>
        <v>0</v>
      </c>
    </row>
    <row r="206" spans="1:3" x14ac:dyDescent="0.25">
      <c r="A206">
        <f>[2]Taxonomía_General!$B209</f>
        <v>0</v>
      </c>
      <c r="B206">
        <f>[1]Taxonomía_General!$K209</f>
        <v>0</v>
      </c>
      <c r="C206">
        <f>[1]Taxonomía_General!$C209</f>
        <v>0</v>
      </c>
    </row>
    <row r="207" spans="1:3" x14ac:dyDescent="0.25">
      <c r="A207">
        <f>[2]Taxonomía_General!$B210</f>
        <v>0</v>
      </c>
      <c r="B207">
        <f>[1]Taxonomía_General!$K210</f>
        <v>0</v>
      </c>
      <c r="C207">
        <f>[1]Taxonomía_General!$C210</f>
        <v>0</v>
      </c>
    </row>
    <row r="208" spans="1:3" x14ac:dyDescent="0.25">
      <c r="A208">
        <f>[2]Taxonomía_General!$B211</f>
        <v>0</v>
      </c>
      <c r="B208">
        <f>[1]Taxonomía_General!$K211</f>
        <v>0</v>
      </c>
      <c r="C208">
        <f>[1]Taxonomía_General!$C211</f>
        <v>0</v>
      </c>
    </row>
    <row r="209" spans="1:3" x14ac:dyDescent="0.25">
      <c r="A209">
        <f>[2]Taxonomía_General!$B212</f>
        <v>0</v>
      </c>
      <c r="B209">
        <f>[1]Taxonomía_General!$K212</f>
        <v>0</v>
      </c>
      <c r="C209">
        <f>[1]Taxonomía_General!$C212</f>
        <v>0</v>
      </c>
    </row>
    <row r="210" spans="1:3" x14ac:dyDescent="0.25">
      <c r="A210">
        <f>[2]Taxonomía_General!$B213</f>
        <v>0</v>
      </c>
      <c r="B210">
        <f>[1]Taxonomía_General!$K213</f>
        <v>0</v>
      </c>
      <c r="C210">
        <f>[1]Taxonomía_General!$C213</f>
        <v>0</v>
      </c>
    </row>
    <row r="211" spans="1:3" x14ac:dyDescent="0.25">
      <c r="A211">
        <f>[2]Taxonomía_General!$B214</f>
        <v>0</v>
      </c>
      <c r="B211">
        <f>[1]Taxonomía_General!$K214</f>
        <v>0</v>
      </c>
      <c r="C211">
        <f>[1]Taxonomía_General!$C214</f>
        <v>0</v>
      </c>
    </row>
    <row r="212" spans="1:3" x14ac:dyDescent="0.25">
      <c r="A212">
        <f>[2]Taxonomía_General!$B215</f>
        <v>0</v>
      </c>
      <c r="B212">
        <f>[1]Taxonomía_General!$K215</f>
        <v>0</v>
      </c>
      <c r="C212">
        <f>[1]Taxonomía_General!$C215</f>
        <v>0</v>
      </c>
    </row>
    <row r="213" spans="1:3" x14ac:dyDescent="0.25">
      <c r="A213">
        <f>[2]Taxonomía_General!$B216</f>
        <v>0</v>
      </c>
      <c r="B213">
        <f>[1]Taxonomía_General!$K216</f>
        <v>0</v>
      </c>
      <c r="C213">
        <f>[1]Taxonomía_General!$C216</f>
        <v>0</v>
      </c>
    </row>
    <row r="214" spans="1:3" x14ac:dyDescent="0.25">
      <c r="A214">
        <f>[2]Taxonomía_General!$B217</f>
        <v>0</v>
      </c>
      <c r="B214">
        <f>[1]Taxonomía_General!$K217</f>
        <v>0</v>
      </c>
      <c r="C214">
        <f>[1]Taxonomía_General!$C217</f>
        <v>0</v>
      </c>
    </row>
    <row r="215" spans="1:3" x14ac:dyDescent="0.25">
      <c r="A215">
        <f>[2]Taxonomía_General!$B218</f>
        <v>0</v>
      </c>
      <c r="B215">
        <f>[1]Taxonomía_General!$K218</f>
        <v>0</v>
      </c>
      <c r="C215">
        <f>[1]Taxonomía_General!$C218</f>
        <v>0</v>
      </c>
    </row>
    <row r="216" spans="1:3" x14ac:dyDescent="0.25">
      <c r="A216">
        <f>[2]Taxonomía_General!$B219</f>
        <v>0</v>
      </c>
      <c r="B216">
        <f>[1]Taxonomía_General!$K219</f>
        <v>0</v>
      </c>
      <c r="C216">
        <f>[1]Taxonomía_General!$C219</f>
        <v>0</v>
      </c>
    </row>
    <row r="217" spans="1:3" x14ac:dyDescent="0.25">
      <c r="A217">
        <f>[2]Taxonomía_General!$B220</f>
        <v>0</v>
      </c>
      <c r="B217">
        <f>[1]Taxonomía_General!$K220</f>
        <v>0</v>
      </c>
      <c r="C217">
        <f>[1]Taxonomía_General!$C220</f>
        <v>0</v>
      </c>
    </row>
    <row r="218" spans="1:3" x14ac:dyDescent="0.25">
      <c r="A218">
        <f>[2]Taxonomía_General!$B221</f>
        <v>0</v>
      </c>
      <c r="B218">
        <f>[1]Taxonomía_General!$K221</f>
        <v>0</v>
      </c>
      <c r="C218">
        <f>[1]Taxonomía_General!$C221</f>
        <v>0</v>
      </c>
    </row>
    <row r="219" spans="1:3" x14ac:dyDescent="0.25">
      <c r="A219">
        <f>[2]Taxonomía_General!$B222</f>
        <v>0</v>
      </c>
      <c r="B219">
        <f>[1]Taxonomía_General!$K222</f>
        <v>0</v>
      </c>
      <c r="C219">
        <f>[1]Taxonomía_General!$C222</f>
        <v>0</v>
      </c>
    </row>
    <row r="220" spans="1:3" x14ac:dyDescent="0.25">
      <c r="A220">
        <f>[2]Taxonomía_General!$B223</f>
        <v>0</v>
      </c>
      <c r="B220">
        <f>[1]Taxonomía_General!$K223</f>
        <v>0</v>
      </c>
      <c r="C220">
        <f>[1]Taxonomía_General!$C223</f>
        <v>0</v>
      </c>
    </row>
    <row r="221" spans="1:3" x14ac:dyDescent="0.25">
      <c r="A221">
        <f>[2]Taxonomía_General!$B224</f>
        <v>0</v>
      </c>
      <c r="B221">
        <f>[1]Taxonomía_General!$K224</f>
        <v>0</v>
      </c>
      <c r="C221">
        <f>[1]Taxonomía_General!$C224</f>
        <v>0</v>
      </c>
    </row>
    <row r="222" spans="1:3" x14ac:dyDescent="0.25">
      <c r="A222">
        <f>[2]Taxonomía_General!$B225</f>
        <v>0</v>
      </c>
      <c r="B222">
        <f>[1]Taxonomía_General!$K225</f>
        <v>0</v>
      </c>
      <c r="C222">
        <f>[1]Taxonomía_General!$C225</f>
        <v>0</v>
      </c>
    </row>
    <row r="223" spans="1:3" x14ac:dyDescent="0.25">
      <c r="A223">
        <f>[2]Taxonomía_General!$B226</f>
        <v>0</v>
      </c>
      <c r="B223">
        <f>[1]Taxonomía_General!$K226</f>
        <v>0</v>
      </c>
      <c r="C223">
        <f>[1]Taxonomía_General!$C226</f>
        <v>0</v>
      </c>
    </row>
    <row r="224" spans="1:3" x14ac:dyDescent="0.25">
      <c r="A224">
        <f>[2]Taxonomía_General!$B227</f>
        <v>0</v>
      </c>
      <c r="B224">
        <f>[1]Taxonomía_General!$K227</f>
        <v>0</v>
      </c>
      <c r="C224">
        <f>[1]Taxonomía_General!$C227</f>
        <v>0</v>
      </c>
    </row>
    <row r="225" spans="1:3" x14ac:dyDescent="0.25">
      <c r="A225">
        <f>[2]Taxonomía_General!$B228</f>
        <v>0</v>
      </c>
      <c r="B225">
        <f>[1]Taxonomía_General!$K228</f>
        <v>0</v>
      </c>
      <c r="C225">
        <f>[1]Taxonomía_General!$C228</f>
        <v>0</v>
      </c>
    </row>
    <row r="226" spans="1:3" x14ac:dyDescent="0.25">
      <c r="A226">
        <f>[2]Taxonomía_General!$B229</f>
        <v>0</v>
      </c>
      <c r="B226">
        <f>[1]Taxonomía_General!$K229</f>
        <v>0</v>
      </c>
      <c r="C226">
        <f>[1]Taxonomía_General!$C229</f>
        <v>0</v>
      </c>
    </row>
    <row r="227" spans="1:3" x14ac:dyDescent="0.25">
      <c r="A227">
        <f>[2]Taxonomía_General!$B230</f>
        <v>0</v>
      </c>
      <c r="B227">
        <f>[1]Taxonomía_General!$K230</f>
        <v>0</v>
      </c>
      <c r="C227">
        <f>[1]Taxonomía_General!$C230</f>
        <v>0</v>
      </c>
    </row>
    <row r="228" spans="1:3" x14ac:dyDescent="0.25">
      <c r="A228">
        <f>[2]Taxonomía_General!$B231</f>
        <v>0</v>
      </c>
      <c r="B228">
        <f>[1]Taxonomía_General!$K231</f>
        <v>0</v>
      </c>
      <c r="C228">
        <f>[1]Taxonomía_General!$C231</f>
        <v>0</v>
      </c>
    </row>
    <row r="229" spans="1:3" x14ac:dyDescent="0.25">
      <c r="A229">
        <f>[2]Taxonomía_General!$B232</f>
        <v>0</v>
      </c>
      <c r="B229">
        <f>[1]Taxonomía_General!$K232</f>
        <v>0</v>
      </c>
      <c r="C229">
        <f>[1]Taxonomía_General!$C232</f>
        <v>0</v>
      </c>
    </row>
    <row r="230" spans="1:3" x14ac:dyDescent="0.25">
      <c r="A230">
        <f>[2]Taxonomía_General!$B233</f>
        <v>0</v>
      </c>
      <c r="B230">
        <f>[1]Taxonomía_General!$K233</f>
        <v>0</v>
      </c>
      <c r="C230">
        <f>[1]Taxonomía_General!$C233</f>
        <v>0</v>
      </c>
    </row>
    <row r="231" spans="1:3" x14ac:dyDescent="0.25">
      <c r="A231">
        <f>[2]Taxonomía_General!$B234</f>
        <v>0</v>
      </c>
      <c r="B231">
        <f>[1]Taxonomía_General!$K234</f>
        <v>0</v>
      </c>
      <c r="C231">
        <f>[1]Taxonomía_General!$C234</f>
        <v>0</v>
      </c>
    </row>
    <row r="232" spans="1:3" x14ac:dyDescent="0.25">
      <c r="A232">
        <f>[2]Taxonomía_General!$B235</f>
        <v>0</v>
      </c>
      <c r="B232">
        <f>[1]Taxonomía_General!$K235</f>
        <v>0</v>
      </c>
      <c r="C232">
        <f>[1]Taxonomía_General!$C235</f>
        <v>0</v>
      </c>
    </row>
    <row r="233" spans="1:3" x14ac:dyDescent="0.25">
      <c r="A233">
        <f>[2]Taxonomía_General!$B236</f>
        <v>0</v>
      </c>
      <c r="B233">
        <f>[1]Taxonomía_General!$K236</f>
        <v>0</v>
      </c>
      <c r="C233">
        <f>[1]Taxonomía_General!$C236</f>
        <v>0</v>
      </c>
    </row>
    <row r="234" spans="1:3" x14ac:dyDescent="0.25">
      <c r="A234">
        <f>[2]Taxonomía_General!$B237</f>
        <v>0</v>
      </c>
      <c r="B234">
        <f>[1]Taxonomía_General!$K237</f>
        <v>0</v>
      </c>
      <c r="C234">
        <f>[1]Taxonomía_General!$C237</f>
        <v>0</v>
      </c>
    </row>
    <row r="235" spans="1:3" x14ac:dyDescent="0.25">
      <c r="A235">
        <f>[2]Taxonomía_General!$B238</f>
        <v>0</v>
      </c>
      <c r="B235">
        <f>[1]Taxonomía_General!$K238</f>
        <v>0</v>
      </c>
      <c r="C235">
        <f>[1]Taxonomía_General!$C238</f>
        <v>0</v>
      </c>
    </row>
    <row r="236" spans="1:3" x14ac:dyDescent="0.25">
      <c r="A236">
        <f>[2]Taxonomía_General!$B239</f>
        <v>0</v>
      </c>
      <c r="B236">
        <f>[1]Taxonomía_General!$K239</f>
        <v>0</v>
      </c>
      <c r="C236">
        <f>[1]Taxonomía_General!$C239</f>
        <v>0</v>
      </c>
    </row>
    <row r="237" spans="1:3" x14ac:dyDescent="0.25">
      <c r="A237">
        <f>[2]Taxonomía_General!$B240</f>
        <v>0</v>
      </c>
      <c r="B237">
        <f>[1]Taxonomía_General!$K240</f>
        <v>0</v>
      </c>
      <c r="C237">
        <f>[1]Taxonomía_General!$C240</f>
        <v>0</v>
      </c>
    </row>
    <row r="238" spans="1:3" x14ac:dyDescent="0.25">
      <c r="A238">
        <f>[2]Taxonomía_General!$B241</f>
        <v>0</v>
      </c>
      <c r="B238">
        <f>[1]Taxonomía_General!$K241</f>
        <v>0</v>
      </c>
      <c r="C238">
        <f>[1]Taxonomía_General!$C241</f>
        <v>0</v>
      </c>
    </row>
    <row r="239" spans="1:3" x14ac:dyDescent="0.25">
      <c r="A239">
        <f>[2]Taxonomía_General!$B242</f>
        <v>0</v>
      </c>
      <c r="B239">
        <f>[1]Taxonomía_General!$K242</f>
        <v>0</v>
      </c>
      <c r="C239">
        <f>[1]Taxonomía_General!$C242</f>
        <v>0</v>
      </c>
    </row>
    <row r="240" spans="1:3" x14ac:dyDescent="0.25">
      <c r="A240">
        <f>[2]Taxonomía_General!$B243</f>
        <v>0</v>
      </c>
      <c r="B240">
        <f>[1]Taxonomía_General!$K243</f>
        <v>0</v>
      </c>
      <c r="C240">
        <f>[1]Taxonomía_General!$C243</f>
        <v>0</v>
      </c>
    </row>
    <row r="241" spans="1:3" x14ac:dyDescent="0.25">
      <c r="A241">
        <f>[2]Taxonomía_General!$B244</f>
        <v>0</v>
      </c>
      <c r="B241">
        <f>[1]Taxonomía_General!$K244</f>
        <v>0</v>
      </c>
      <c r="C241">
        <f>[1]Taxonomía_General!$C244</f>
        <v>0</v>
      </c>
    </row>
    <row r="242" spans="1:3" x14ac:dyDescent="0.25">
      <c r="A242">
        <f>[2]Taxonomía_General!$B245</f>
        <v>0</v>
      </c>
      <c r="B242">
        <f>[1]Taxonomía_General!$K245</f>
        <v>0</v>
      </c>
      <c r="C242">
        <f>[2]Taxonomía_General!$C245</f>
        <v>0</v>
      </c>
    </row>
    <row r="243" spans="1:3" x14ac:dyDescent="0.25">
      <c r="A243">
        <f>[2]Taxonomía_General!$B246</f>
        <v>0</v>
      </c>
      <c r="B243">
        <f>[1]Taxonomía_General!$K246</f>
        <v>0</v>
      </c>
      <c r="C243">
        <f>[2]Taxonomía_General!$C246</f>
        <v>0</v>
      </c>
    </row>
    <row r="244" spans="1:3" x14ac:dyDescent="0.25">
      <c r="A244">
        <f>[2]Taxonomía_General!$B247</f>
        <v>0</v>
      </c>
      <c r="B244">
        <f>[1]Taxonomía_General!$K247</f>
        <v>0</v>
      </c>
      <c r="C244">
        <f>[2]Taxonomía_General!$C247</f>
        <v>0</v>
      </c>
    </row>
    <row r="245" spans="1:3" x14ac:dyDescent="0.25">
      <c r="A245">
        <f>[2]Taxonomía_General!$B248</f>
        <v>0</v>
      </c>
      <c r="B245">
        <f>[1]Taxonomía_General!$K248</f>
        <v>0</v>
      </c>
      <c r="C245">
        <f>[2]Taxonomía_General!$C248</f>
        <v>0</v>
      </c>
    </row>
    <row r="246" spans="1:3" x14ac:dyDescent="0.25">
      <c r="A246">
        <f>[2]Taxonomía_General!$B249</f>
        <v>0</v>
      </c>
      <c r="B246">
        <f>[1]Taxonomía_General!$K249</f>
        <v>0</v>
      </c>
      <c r="C246">
        <f>[2]Taxonomía_General!$C249</f>
        <v>0</v>
      </c>
    </row>
    <row r="247" spans="1:3" x14ac:dyDescent="0.25">
      <c r="A247">
        <f>[2]Taxonomía_General!$B250</f>
        <v>0</v>
      </c>
      <c r="B247">
        <f>[1]Taxonomía_General!$K250</f>
        <v>0</v>
      </c>
      <c r="C247">
        <f>[2]Taxonomía_General!$C250</f>
        <v>0</v>
      </c>
    </row>
    <row r="248" spans="1:3" x14ac:dyDescent="0.25">
      <c r="A248">
        <f>[2]Taxonomía_General!$B251</f>
        <v>0</v>
      </c>
      <c r="B248">
        <f>[1]Taxonomía_General!$K251</f>
        <v>0</v>
      </c>
      <c r="C248">
        <f>[2]Taxonomía_General!$C251</f>
        <v>0</v>
      </c>
    </row>
    <row r="249" spans="1:3" x14ac:dyDescent="0.25">
      <c r="A249">
        <f>[2]Taxonomía_General!$B252</f>
        <v>0</v>
      </c>
      <c r="B249">
        <f>[1]Taxonomía_General!$K252</f>
        <v>0</v>
      </c>
      <c r="C249">
        <f>[2]Taxonomía_General!$C252</f>
        <v>0</v>
      </c>
    </row>
    <row r="250" spans="1:3" x14ac:dyDescent="0.25">
      <c r="A250">
        <f>[2]Taxonomía_General!$B253</f>
        <v>0</v>
      </c>
      <c r="B250">
        <f>[1]Taxonomía_General!$K253</f>
        <v>0</v>
      </c>
      <c r="C250">
        <f>[2]Taxonomía_General!$C253</f>
        <v>0</v>
      </c>
    </row>
    <row r="251" spans="1:3" x14ac:dyDescent="0.25">
      <c r="A251">
        <f>[2]Taxonomía_General!$B254</f>
        <v>0</v>
      </c>
      <c r="B251">
        <f>[1]Taxonomía_General!$K254</f>
        <v>0</v>
      </c>
      <c r="C251">
        <f>[2]Taxonomía_General!$C254</f>
        <v>0</v>
      </c>
    </row>
    <row r="252" spans="1:3" x14ac:dyDescent="0.25">
      <c r="A252">
        <f>[2]Taxonomía_General!$B255</f>
        <v>0</v>
      </c>
      <c r="B252">
        <f>[1]Taxonomía_General!$K255</f>
        <v>0</v>
      </c>
      <c r="C252">
        <f>[2]Taxonomía_General!$C255</f>
        <v>0</v>
      </c>
    </row>
    <row r="253" spans="1:3" x14ac:dyDescent="0.25">
      <c r="A253">
        <f>[2]Taxonomía_General!$B256</f>
        <v>0</v>
      </c>
      <c r="B253">
        <f>[1]Taxonomía_General!$K256</f>
        <v>0</v>
      </c>
      <c r="C253">
        <f>[2]Taxonomía_General!$C256</f>
        <v>0</v>
      </c>
    </row>
    <row r="254" spans="1:3" x14ac:dyDescent="0.25">
      <c r="A254">
        <f>[2]Taxonomía_General!$B257</f>
        <v>0</v>
      </c>
      <c r="B254">
        <f>[1]Taxonomía_General!$K257</f>
        <v>0</v>
      </c>
      <c r="C254">
        <f>[2]Taxonomía_General!$C257</f>
        <v>0</v>
      </c>
    </row>
    <row r="255" spans="1:3" x14ac:dyDescent="0.25">
      <c r="A255">
        <f>[2]Taxonomía_General!$B258</f>
        <v>0</v>
      </c>
      <c r="B255">
        <f>[1]Taxonomía_General!$K258</f>
        <v>0</v>
      </c>
      <c r="C255">
        <f>[2]Taxonomía_General!$C258</f>
        <v>0</v>
      </c>
    </row>
    <row r="256" spans="1:3" x14ac:dyDescent="0.25">
      <c r="A256">
        <f>[2]Taxonomía_General!$B259</f>
        <v>0</v>
      </c>
      <c r="B256">
        <f>[1]Taxonomía_General!$K259</f>
        <v>0</v>
      </c>
      <c r="C256">
        <f>[2]Taxonomía_General!$C259</f>
        <v>0</v>
      </c>
    </row>
    <row r="257" spans="1:3" x14ac:dyDescent="0.25">
      <c r="A257">
        <f>[2]Taxonomía_General!$B260</f>
        <v>0</v>
      </c>
      <c r="B257">
        <f>[1]Taxonomía_General!$K260</f>
        <v>0</v>
      </c>
      <c r="C257">
        <f>[2]Taxonomía_General!$C260</f>
        <v>0</v>
      </c>
    </row>
    <row r="258" spans="1:3" x14ac:dyDescent="0.25">
      <c r="A258">
        <f>[2]Taxonomía_General!$B261</f>
        <v>0</v>
      </c>
      <c r="B258">
        <f>[1]Taxonomía_General!$K261</f>
        <v>0</v>
      </c>
      <c r="C258">
        <f>[2]Taxonomía_General!$C261</f>
        <v>0</v>
      </c>
    </row>
    <row r="259" spans="1:3" x14ac:dyDescent="0.25">
      <c r="A259">
        <f>[2]Taxonomía_General!$B262</f>
        <v>0</v>
      </c>
      <c r="B259">
        <f>[1]Taxonomía_General!$K262</f>
        <v>0</v>
      </c>
      <c r="C259">
        <f>[2]Taxonomía_General!$C262</f>
        <v>0</v>
      </c>
    </row>
    <row r="260" spans="1:3" x14ac:dyDescent="0.25">
      <c r="A260">
        <f>[2]Taxonomía_General!$B263</f>
        <v>0</v>
      </c>
      <c r="B260">
        <f>[1]Taxonomía_General!$K263</f>
        <v>0</v>
      </c>
      <c r="C260">
        <f>[2]Taxonomía_General!$C263</f>
        <v>0</v>
      </c>
    </row>
    <row r="261" spans="1:3" x14ac:dyDescent="0.25">
      <c r="A261">
        <f>[2]Taxonomía_General!$B264</f>
        <v>0</v>
      </c>
      <c r="B261">
        <f>[1]Taxonomía_General!$K264</f>
        <v>0</v>
      </c>
      <c r="C261">
        <f>[2]Taxonomía_General!$C264</f>
        <v>0</v>
      </c>
    </row>
    <row r="262" spans="1:3" x14ac:dyDescent="0.25">
      <c r="A262">
        <f>[2]Taxonomía_General!$B265</f>
        <v>0</v>
      </c>
      <c r="B262">
        <f>[1]Taxonomía_General!$K265</f>
        <v>0</v>
      </c>
      <c r="C262">
        <f>[2]Taxonomía_General!$C265</f>
        <v>0</v>
      </c>
    </row>
    <row r="263" spans="1:3" x14ac:dyDescent="0.25">
      <c r="A263">
        <f>[2]Taxonomía_General!$B266</f>
        <v>0</v>
      </c>
      <c r="B263">
        <f>[1]Taxonomía_General!$K266</f>
        <v>0</v>
      </c>
      <c r="C263">
        <f>[2]Taxonomía_General!$C266</f>
        <v>0</v>
      </c>
    </row>
    <row r="264" spans="1:3" x14ac:dyDescent="0.25">
      <c r="A264">
        <f>[2]Taxonomía_General!$B267</f>
        <v>0</v>
      </c>
      <c r="B264">
        <f>[1]Taxonomía_General!$K267</f>
        <v>0</v>
      </c>
      <c r="C264">
        <f>[2]Taxonomía_General!$C267</f>
        <v>0</v>
      </c>
    </row>
    <row r="265" spans="1:3" x14ac:dyDescent="0.25">
      <c r="A265">
        <f>[2]Taxonomía_General!$B268</f>
        <v>0</v>
      </c>
      <c r="B265">
        <f>[1]Taxonomía_General!$K268</f>
        <v>0</v>
      </c>
      <c r="C265">
        <f>[2]Taxonomía_General!$C268</f>
        <v>0</v>
      </c>
    </row>
    <row r="266" spans="1:3" x14ac:dyDescent="0.25">
      <c r="A266">
        <f>[2]Taxonomía_General!$B269</f>
        <v>0</v>
      </c>
      <c r="B266">
        <f>[1]Taxonomía_General!$K269</f>
        <v>0</v>
      </c>
      <c r="C266">
        <f>[2]Taxonomía_General!$C269</f>
        <v>0</v>
      </c>
    </row>
    <row r="267" spans="1:3" x14ac:dyDescent="0.25">
      <c r="A267">
        <f>[2]Taxonomía_General!$B270</f>
        <v>0</v>
      </c>
      <c r="B267">
        <f>[1]Taxonomía_General!$K270</f>
        <v>0</v>
      </c>
      <c r="C267">
        <f>[2]Taxonomía_General!$C270</f>
        <v>0</v>
      </c>
    </row>
    <row r="268" spans="1:3" x14ac:dyDescent="0.25">
      <c r="A268">
        <f>[2]Taxonomía_General!$B271</f>
        <v>0</v>
      </c>
      <c r="B268">
        <f>[1]Taxonomía_General!$K271</f>
        <v>0</v>
      </c>
      <c r="C268">
        <f>[2]Taxonomía_General!$C271</f>
        <v>0</v>
      </c>
    </row>
    <row r="269" spans="1:3" x14ac:dyDescent="0.25">
      <c r="A269">
        <f>[2]Taxonomía_General!$B272</f>
        <v>0</v>
      </c>
      <c r="B269">
        <f>[1]Taxonomía_General!$K272</f>
        <v>0</v>
      </c>
      <c r="C269">
        <f>[2]Taxonomía_General!$C272</f>
        <v>0</v>
      </c>
    </row>
    <row r="270" spans="1:3" x14ac:dyDescent="0.25">
      <c r="A270">
        <f>[2]Taxonomía_General!$B273</f>
        <v>0</v>
      </c>
      <c r="B270">
        <f>[1]Taxonomía_General!$K273</f>
        <v>0</v>
      </c>
      <c r="C270">
        <f>[2]Taxonomía_General!$C273</f>
        <v>0</v>
      </c>
    </row>
    <row r="271" spans="1:3" x14ac:dyDescent="0.25">
      <c r="A271">
        <f>[2]Taxonomía_General!$B274</f>
        <v>0</v>
      </c>
      <c r="B271">
        <f>[1]Taxonomía_General!$K274</f>
        <v>0</v>
      </c>
      <c r="C271">
        <f>[2]Taxonomía_General!$C274</f>
        <v>0</v>
      </c>
    </row>
    <row r="272" spans="1:3" x14ac:dyDescent="0.25">
      <c r="A272">
        <f>[2]Taxonomía_General!$B275</f>
        <v>0</v>
      </c>
      <c r="B272">
        <f>[1]Taxonomía_General!$K275</f>
        <v>0</v>
      </c>
      <c r="C272">
        <f>[2]Taxonomía_General!$C275</f>
        <v>0</v>
      </c>
    </row>
    <row r="273" spans="1:3" x14ac:dyDescent="0.25">
      <c r="A273">
        <f>[2]Taxonomía_General!$B276</f>
        <v>0</v>
      </c>
      <c r="B273">
        <f>[1]Taxonomía_General!$K276</f>
        <v>0</v>
      </c>
      <c r="C273">
        <f>[2]Taxonomía_General!$C276</f>
        <v>0</v>
      </c>
    </row>
    <row r="274" spans="1:3" x14ac:dyDescent="0.25">
      <c r="A274">
        <f>[2]Taxonomía_General!$B277</f>
        <v>0</v>
      </c>
      <c r="B274">
        <f>[1]Taxonomía_General!$K277</f>
        <v>0</v>
      </c>
      <c r="C274">
        <f>[2]Taxonomía_General!$C277</f>
        <v>0</v>
      </c>
    </row>
    <row r="275" spans="1:3" x14ac:dyDescent="0.25">
      <c r="A275">
        <f>[2]Taxonomía_General!$B278</f>
        <v>0</v>
      </c>
      <c r="B275">
        <f>[1]Taxonomía_General!$K278</f>
        <v>0</v>
      </c>
      <c r="C275">
        <f>[2]Taxonomía_General!$C278</f>
        <v>0</v>
      </c>
    </row>
    <row r="276" spans="1:3" x14ac:dyDescent="0.25">
      <c r="A276">
        <f>[2]Taxonomía_General!$B279</f>
        <v>0</v>
      </c>
      <c r="B276">
        <f>[1]Taxonomía_General!$K279</f>
        <v>0</v>
      </c>
      <c r="C276">
        <f>[2]Taxonomía_General!$C279</f>
        <v>0</v>
      </c>
    </row>
    <row r="277" spans="1:3" x14ac:dyDescent="0.25">
      <c r="A277">
        <f>[2]Taxonomía_General!$B280</f>
        <v>0</v>
      </c>
      <c r="B277">
        <f>[1]Taxonomía_General!$K280</f>
        <v>0</v>
      </c>
      <c r="C277">
        <f>[2]Taxonomía_General!$C280</f>
        <v>0</v>
      </c>
    </row>
    <row r="278" spans="1:3" x14ac:dyDescent="0.25">
      <c r="A278">
        <f>[2]Taxonomía_General!$B281</f>
        <v>0</v>
      </c>
      <c r="B278">
        <f>[1]Taxonomía_General!$K281</f>
        <v>0</v>
      </c>
      <c r="C278">
        <f>[2]Taxonomía_General!$C281</f>
        <v>0</v>
      </c>
    </row>
    <row r="279" spans="1:3" x14ac:dyDescent="0.25">
      <c r="A279">
        <f>[2]Taxonomía_General!$B282</f>
        <v>0</v>
      </c>
      <c r="B279">
        <f>[1]Taxonomía_General!$K282</f>
        <v>0</v>
      </c>
      <c r="C279">
        <f>[2]Taxonomía_General!$C282</f>
        <v>0</v>
      </c>
    </row>
    <row r="280" spans="1:3" x14ac:dyDescent="0.25">
      <c r="A280">
        <f>[2]Taxonomía_General!$B283</f>
        <v>0</v>
      </c>
      <c r="B280">
        <f>[1]Taxonomía_General!$K283</f>
        <v>0</v>
      </c>
      <c r="C280">
        <f>[2]Taxonomía_General!$C283</f>
        <v>0</v>
      </c>
    </row>
    <row r="281" spans="1:3" x14ac:dyDescent="0.25">
      <c r="A281">
        <f>[2]Taxonomía_General!$B284</f>
        <v>0</v>
      </c>
      <c r="B281">
        <f>[1]Taxonomía_General!$K284</f>
        <v>0</v>
      </c>
      <c r="C281">
        <f>[2]Taxonomía_General!$C284</f>
        <v>0</v>
      </c>
    </row>
    <row r="282" spans="1:3" x14ac:dyDescent="0.25">
      <c r="A282">
        <f>[2]Taxonomía_General!$B285</f>
        <v>0</v>
      </c>
      <c r="B282">
        <f>[1]Taxonomía_General!$K285</f>
        <v>0</v>
      </c>
      <c r="C282">
        <f>[2]Taxonomía_General!$C285</f>
        <v>0</v>
      </c>
    </row>
    <row r="283" spans="1:3" x14ac:dyDescent="0.25">
      <c r="A283">
        <f>[2]Taxonomía_General!$B286</f>
        <v>0</v>
      </c>
      <c r="B283">
        <f>[1]Taxonomía_General!$K286</f>
        <v>0</v>
      </c>
      <c r="C283">
        <f>[2]Taxonomía_General!$C286</f>
        <v>0</v>
      </c>
    </row>
    <row r="284" spans="1:3" x14ac:dyDescent="0.25">
      <c r="A284">
        <f>[2]Taxonomía_General!$B287</f>
        <v>0</v>
      </c>
      <c r="B284">
        <f>[1]Taxonomía_General!$K287</f>
        <v>0</v>
      </c>
      <c r="C284">
        <f>[2]Taxonomía_General!$C287</f>
        <v>0</v>
      </c>
    </row>
    <row r="285" spans="1:3" x14ac:dyDescent="0.25">
      <c r="A285">
        <f>[2]Taxonomía_General!$B288</f>
        <v>0</v>
      </c>
      <c r="B285">
        <f>[1]Taxonomía_General!$K288</f>
        <v>0</v>
      </c>
      <c r="C285">
        <f>[2]Taxonomía_General!$C288</f>
        <v>0</v>
      </c>
    </row>
    <row r="286" spans="1:3" x14ac:dyDescent="0.25">
      <c r="A286">
        <f>[2]Taxonomía_General!$B289</f>
        <v>0</v>
      </c>
      <c r="B286">
        <f>[1]Taxonomía_General!$K289</f>
        <v>0</v>
      </c>
      <c r="C286">
        <f>[2]Taxonomía_General!$C289</f>
        <v>0</v>
      </c>
    </row>
    <row r="287" spans="1:3" x14ac:dyDescent="0.25">
      <c r="A287">
        <f>[2]Taxonomía_General!$B290</f>
        <v>0</v>
      </c>
      <c r="B287">
        <f>[1]Taxonomía_General!$K290</f>
        <v>0</v>
      </c>
      <c r="C287">
        <f>[2]Taxonomía_General!$C290</f>
        <v>0</v>
      </c>
    </row>
    <row r="288" spans="1:3" x14ac:dyDescent="0.25">
      <c r="A288">
        <f>[2]Taxonomía_General!$B291</f>
        <v>0</v>
      </c>
      <c r="B288">
        <f>[1]Taxonomía_General!$K291</f>
        <v>0</v>
      </c>
      <c r="C288">
        <f>[2]Taxonomía_General!$C291</f>
        <v>0</v>
      </c>
    </row>
    <row r="289" spans="1:3" x14ac:dyDescent="0.25">
      <c r="A289">
        <f>[2]Taxonomía_General!$B292</f>
        <v>0</v>
      </c>
      <c r="B289">
        <f>[1]Taxonomía_General!$K292</f>
        <v>0</v>
      </c>
      <c r="C289">
        <f>[2]Taxonomía_General!$C292</f>
        <v>0</v>
      </c>
    </row>
    <row r="290" spans="1:3" x14ac:dyDescent="0.25">
      <c r="A290">
        <f>[2]Taxonomía_General!$B293</f>
        <v>0</v>
      </c>
      <c r="B290">
        <f>[1]Taxonomía_General!$K293</f>
        <v>0</v>
      </c>
      <c r="C290">
        <f>[2]Taxonomía_General!$C293</f>
        <v>0</v>
      </c>
    </row>
    <row r="291" spans="1:3" x14ac:dyDescent="0.25">
      <c r="A291">
        <f>[2]Taxonomía_General!$B294</f>
        <v>0</v>
      </c>
      <c r="B291">
        <f>[1]Taxonomía_General!$K294</f>
        <v>0</v>
      </c>
      <c r="C291">
        <f>[2]Taxonomía_General!$C294</f>
        <v>0</v>
      </c>
    </row>
    <row r="292" spans="1:3" x14ac:dyDescent="0.25">
      <c r="A292">
        <f>[2]Taxonomía_General!$B295</f>
        <v>0</v>
      </c>
      <c r="B292">
        <f>[1]Taxonomía_General!$K295</f>
        <v>0</v>
      </c>
      <c r="C292">
        <f>[2]Taxonomía_General!$C295</f>
        <v>0</v>
      </c>
    </row>
    <row r="293" spans="1:3" x14ac:dyDescent="0.25">
      <c r="A293">
        <f>[2]Taxonomía_General!$B296</f>
        <v>0</v>
      </c>
      <c r="B293">
        <f>[1]Taxonomía_General!$K296</f>
        <v>0</v>
      </c>
      <c r="C293">
        <f>[2]Taxonomía_General!$C296</f>
        <v>0</v>
      </c>
    </row>
    <row r="294" spans="1:3" x14ac:dyDescent="0.25">
      <c r="A294">
        <f>[2]Taxonomía_General!$B297</f>
        <v>0</v>
      </c>
      <c r="B294">
        <f>[1]Taxonomía_General!$K297</f>
        <v>0</v>
      </c>
      <c r="C294">
        <f>[2]Taxonomía_General!$C297</f>
        <v>0</v>
      </c>
    </row>
    <row r="295" spans="1:3" x14ac:dyDescent="0.25">
      <c r="A295">
        <f>[2]Taxonomía_General!$B298</f>
        <v>0</v>
      </c>
      <c r="B295">
        <f>[1]Taxonomía_General!$K298</f>
        <v>0</v>
      </c>
      <c r="C295">
        <f>[2]Taxonomía_General!$C298</f>
        <v>0</v>
      </c>
    </row>
    <row r="296" spans="1:3" x14ac:dyDescent="0.25">
      <c r="A296">
        <f>[2]Taxonomía_General!$B299</f>
        <v>0</v>
      </c>
      <c r="B296">
        <f>[1]Taxonomía_General!$K299</f>
        <v>0</v>
      </c>
      <c r="C296">
        <f>[2]Taxonomía_General!$C299</f>
        <v>0</v>
      </c>
    </row>
    <row r="297" spans="1:3" x14ac:dyDescent="0.25">
      <c r="A297">
        <f>[2]Taxonomía_General!$B300</f>
        <v>0</v>
      </c>
      <c r="B297">
        <f>[1]Taxonomía_General!$K300</f>
        <v>0</v>
      </c>
      <c r="C297">
        <f>[2]Taxonomía_General!$C300</f>
        <v>0</v>
      </c>
    </row>
    <row r="298" spans="1:3" x14ac:dyDescent="0.25">
      <c r="A298">
        <f>[2]Taxonomía_General!$B301</f>
        <v>0</v>
      </c>
      <c r="B298">
        <f>[1]Taxonomía_General!$K301</f>
        <v>0</v>
      </c>
      <c r="C298">
        <f>[2]Taxonomía_General!$C301</f>
        <v>0</v>
      </c>
    </row>
    <row r="299" spans="1:3" x14ac:dyDescent="0.25">
      <c r="A299">
        <f>[2]Taxonomía_General!$B302</f>
        <v>0</v>
      </c>
      <c r="B299">
        <f>[1]Taxonomía_General!$K302</f>
        <v>0</v>
      </c>
      <c r="C299">
        <f>[2]Taxonomía_General!$C302</f>
        <v>0</v>
      </c>
    </row>
    <row r="300" spans="1:3" x14ac:dyDescent="0.25">
      <c r="A300">
        <f>[2]Taxonomía_General!$B303</f>
        <v>0</v>
      </c>
      <c r="B300">
        <f>[1]Taxonomía_General!$K303</f>
        <v>0</v>
      </c>
      <c r="C300">
        <f>[2]Taxonomía_General!$C303</f>
        <v>0</v>
      </c>
    </row>
    <row r="301" spans="1:3" x14ac:dyDescent="0.25">
      <c r="A301">
        <f>[2]Taxonomía_General!$B304</f>
        <v>0</v>
      </c>
      <c r="B301">
        <f>[1]Taxonomía_General!$K304</f>
        <v>0</v>
      </c>
      <c r="C301">
        <f>[2]Taxonomía_General!$C304</f>
        <v>0</v>
      </c>
    </row>
    <row r="302" spans="1:3" x14ac:dyDescent="0.25">
      <c r="A302">
        <f>[2]Taxonomía_General!$B305</f>
        <v>0</v>
      </c>
      <c r="B302">
        <f>[1]Taxonomía_General!$K305</f>
        <v>0</v>
      </c>
      <c r="C302">
        <f>[2]Taxonomía_General!$C305</f>
        <v>0</v>
      </c>
    </row>
    <row r="303" spans="1:3" x14ac:dyDescent="0.25">
      <c r="A303">
        <f>[2]Taxonomía_General!$B306</f>
        <v>0</v>
      </c>
      <c r="B303">
        <f>[1]Taxonomía_General!$K306</f>
        <v>0</v>
      </c>
      <c r="C303">
        <f>[2]Taxonomía_General!$C306</f>
        <v>0</v>
      </c>
    </row>
    <row r="304" spans="1:3" x14ac:dyDescent="0.25">
      <c r="A304">
        <f>[2]Taxonomía_General!$B307</f>
        <v>0</v>
      </c>
      <c r="B304">
        <f>[1]Taxonomía_General!$K307</f>
        <v>0</v>
      </c>
      <c r="C304">
        <f>[2]Taxonomía_General!$C307</f>
        <v>0</v>
      </c>
    </row>
    <row r="305" spans="1:3" x14ac:dyDescent="0.25">
      <c r="A305">
        <f>[2]Taxonomía_General!$B308</f>
        <v>0</v>
      </c>
      <c r="B305">
        <f>[1]Taxonomía_General!$K308</f>
        <v>0</v>
      </c>
      <c r="C305">
        <f>[2]Taxonomía_General!$C308</f>
        <v>0</v>
      </c>
    </row>
    <row r="306" spans="1:3" x14ac:dyDescent="0.25">
      <c r="A306">
        <f>[2]Taxonomía_General!$B309</f>
        <v>0</v>
      </c>
      <c r="B306">
        <f>[1]Taxonomía_General!$K309</f>
        <v>0</v>
      </c>
      <c r="C306">
        <f>[2]Taxonomía_General!$C309</f>
        <v>0</v>
      </c>
    </row>
    <row r="307" spans="1:3" x14ac:dyDescent="0.25">
      <c r="A307">
        <f>[2]Taxonomía_General!$B310</f>
        <v>0</v>
      </c>
      <c r="B307">
        <f>[1]Taxonomía_General!$K310</f>
        <v>0</v>
      </c>
      <c r="C307">
        <f>[2]Taxonomía_General!$C310</f>
        <v>0</v>
      </c>
    </row>
    <row r="308" spans="1:3" x14ac:dyDescent="0.25">
      <c r="A308">
        <f>[2]Taxonomía_General!$B311</f>
        <v>0</v>
      </c>
      <c r="B308">
        <f>[1]Taxonomía_General!$K311</f>
        <v>0</v>
      </c>
      <c r="C308">
        <f>[2]Taxonomía_General!$C311</f>
        <v>0</v>
      </c>
    </row>
    <row r="309" spans="1:3" x14ac:dyDescent="0.25">
      <c r="A309">
        <f>[2]Taxonomía_General!$B312</f>
        <v>0</v>
      </c>
      <c r="B309">
        <f>[1]Taxonomía_General!$K312</f>
        <v>0</v>
      </c>
      <c r="C309">
        <f>[2]Taxonomía_General!$C312</f>
        <v>0</v>
      </c>
    </row>
    <row r="310" spans="1:3" x14ac:dyDescent="0.25">
      <c r="A310">
        <f>[2]Taxonomía_General!$B313</f>
        <v>0</v>
      </c>
      <c r="B310">
        <f>[1]Taxonomía_General!$K313</f>
        <v>0</v>
      </c>
      <c r="C310">
        <f>[2]Taxonomía_General!$C313</f>
        <v>0</v>
      </c>
    </row>
    <row r="311" spans="1:3" x14ac:dyDescent="0.25">
      <c r="A311">
        <f>[2]Taxonomía_General!$B314</f>
        <v>0</v>
      </c>
      <c r="B311">
        <f>[1]Taxonomía_General!$K314</f>
        <v>0</v>
      </c>
      <c r="C311">
        <f>[2]Taxonomía_General!$C314</f>
        <v>0</v>
      </c>
    </row>
    <row r="312" spans="1:3" x14ac:dyDescent="0.25">
      <c r="A312">
        <f>[2]Taxonomía_General!$B315</f>
        <v>0</v>
      </c>
      <c r="B312">
        <f>[1]Taxonomía_General!$K315</f>
        <v>0</v>
      </c>
      <c r="C312">
        <f>[2]Taxonomía_General!$C315</f>
        <v>0</v>
      </c>
    </row>
    <row r="313" spans="1:3" x14ac:dyDescent="0.25">
      <c r="A313">
        <f>[2]Taxonomía_General!$B316</f>
        <v>0</v>
      </c>
      <c r="B313">
        <f>[1]Taxonomía_General!$K316</f>
        <v>0</v>
      </c>
      <c r="C313">
        <f>[2]Taxonomía_General!$C316</f>
        <v>0</v>
      </c>
    </row>
    <row r="314" spans="1:3" x14ac:dyDescent="0.25">
      <c r="A314">
        <f>[2]Taxonomía_General!$B317</f>
        <v>0</v>
      </c>
      <c r="B314">
        <f>[1]Taxonomía_General!$K317</f>
        <v>0</v>
      </c>
      <c r="C314">
        <f>[2]Taxonomía_General!$C317</f>
        <v>0</v>
      </c>
    </row>
    <row r="315" spans="1:3" x14ac:dyDescent="0.25">
      <c r="A315">
        <f>[2]Taxonomía_General!$B318</f>
        <v>0</v>
      </c>
      <c r="B315">
        <f>[1]Taxonomía_General!$K318</f>
        <v>0</v>
      </c>
      <c r="C315">
        <f>[2]Taxonomía_General!$C318</f>
        <v>0</v>
      </c>
    </row>
    <row r="316" spans="1:3" x14ac:dyDescent="0.25">
      <c r="A316">
        <f>[2]Taxonomía_General!$B319</f>
        <v>0</v>
      </c>
      <c r="B316">
        <f>[1]Taxonomía_General!$K319</f>
        <v>0</v>
      </c>
      <c r="C316">
        <f>[2]Taxonomía_General!$C319</f>
        <v>0</v>
      </c>
    </row>
    <row r="317" spans="1:3" x14ac:dyDescent="0.25">
      <c r="A317">
        <f>[2]Taxonomía_General!$B320</f>
        <v>0</v>
      </c>
      <c r="B317">
        <f>[1]Taxonomía_General!$K320</f>
        <v>0</v>
      </c>
      <c r="C317">
        <f>[2]Taxonomía_General!$C320</f>
        <v>0</v>
      </c>
    </row>
    <row r="318" spans="1:3" x14ac:dyDescent="0.25">
      <c r="A318">
        <f>[2]Taxonomía_General!$B321</f>
        <v>0</v>
      </c>
      <c r="B318">
        <f>[1]Taxonomía_General!$K321</f>
        <v>0</v>
      </c>
      <c r="C318">
        <f>[2]Taxonomía_General!$C321</f>
        <v>0</v>
      </c>
    </row>
    <row r="319" spans="1:3" x14ac:dyDescent="0.25">
      <c r="A319">
        <f>[2]Taxonomía_General!$B322</f>
        <v>0</v>
      </c>
      <c r="B319">
        <f>[1]Taxonomía_General!$K322</f>
        <v>0</v>
      </c>
      <c r="C319">
        <f>[2]Taxonomía_General!$C322</f>
        <v>0</v>
      </c>
    </row>
    <row r="320" spans="1:3" x14ac:dyDescent="0.25">
      <c r="A320">
        <f>[2]Taxonomía_General!$B323</f>
        <v>0</v>
      </c>
      <c r="B320">
        <f>[1]Taxonomía_General!$K323</f>
        <v>0</v>
      </c>
      <c r="C320">
        <f>[2]Taxonomía_General!$C323</f>
        <v>0</v>
      </c>
    </row>
    <row r="321" spans="1:3" x14ac:dyDescent="0.25">
      <c r="A321">
        <f>[2]Taxonomía_General!$B324</f>
        <v>0</v>
      </c>
      <c r="B321">
        <f>[1]Taxonomía_General!$K324</f>
        <v>0</v>
      </c>
      <c r="C321">
        <f>[2]Taxonomía_General!$C324</f>
        <v>0</v>
      </c>
    </row>
    <row r="322" spans="1:3" x14ac:dyDescent="0.25">
      <c r="A322">
        <f>[2]Taxonomía_General!$B325</f>
        <v>0</v>
      </c>
      <c r="B322">
        <f>[1]Taxonomía_General!$K325</f>
        <v>0</v>
      </c>
      <c r="C322">
        <f>[2]Taxonomía_General!$C325</f>
        <v>0</v>
      </c>
    </row>
    <row r="323" spans="1:3" x14ac:dyDescent="0.25">
      <c r="A323">
        <f>[2]Taxonomía_General!$B326</f>
        <v>0</v>
      </c>
      <c r="B323">
        <f>[1]Taxonomía_General!$K326</f>
        <v>0</v>
      </c>
      <c r="C323">
        <f>[2]Taxonomía_General!$C326</f>
        <v>0</v>
      </c>
    </row>
    <row r="324" spans="1:3" x14ac:dyDescent="0.25">
      <c r="A324">
        <f>[2]Taxonomía_General!$B327</f>
        <v>0</v>
      </c>
      <c r="B324">
        <f>[1]Taxonomía_General!$K327</f>
        <v>0</v>
      </c>
      <c r="C324">
        <f>[2]Taxonomía_General!$C327</f>
        <v>0</v>
      </c>
    </row>
    <row r="325" spans="1:3" x14ac:dyDescent="0.25">
      <c r="A325">
        <f>[2]Taxonomía_General!$B328</f>
        <v>0</v>
      </c>
      <c r="B325">
        <f>[1]Taxonomía_General!$K328</f>
        <v>0</v>
      </c>
      <c r="C325">
        <f>[2]Taxonomía_General!$C328</f>
        <v>0</v>
      </c>
    </row>
    <row r="326" spans="1:3" x14ac:dyDescent="0.25">
      <c r="A326">
        <f>[2]Taxonomía_General!$B329</f>
        <v>0</v>
      </c>
      <c r="B326">
        <f>[1]Taxonomía_General!$K329</f>
        <v>0</v>
      </c>
      <c r="C326">
        <f>[2]Taxonomía_General!$C329</f>
        <v>0</v>
      </c>
    </row>
    <row r="327" spans="1:3" x14ac:dyDescent="0.25">
      <c r="A327">
        <f>[2]Taxonomía_General!$B330</f>
        <v>0</v>
      </c>
      <c r="B327">
        <f>[1]Taxonomía_General!$K330</f>
        <v>0</v>
      </c>
      <c r="C327">
        <f>[2]Taxonomía_General!$C330</f>
        <v>0</v>
      </c>
    </row>
    <row r="328" spans="1:3" x14ac:dyDescent="0.25">
      <c r="A328">
        <f>[2]Taxonomía_General!$B331</f>
        <v>0</v>
      </c>
      <c r="B328">
        <f>[1]Taxonomía_General!$K331</f>
        <v>0</v>
      </c>
      <c r="C328">
        <f>[2]Taxonomía_General!$C331</f>
        <v>0</v>
      </c>
    </row>
    <row r="329" spans="1:3" x14ac:dyDescent="0.25">
      <c r="A329">
        <f>[2]Taxonomía_General!$B332</f>
        <v>0</v>
      </c>
      <c r="B329">
        <f>[1]Taxonomía_General!$K332</f>
        <v>0</v>
      </c>
      <c r="C329">
        <f>[2]Taxonomía_General!$C332</f>
        <v>0</v>
      </c>
    </row>
    <row r="330" spans="1:3" x14ac:dyDescent="0.25">
      <c r="A330">
        <f>[2]Taxonomía_General!$B333</f>
        <v>0</v>
      </c>
      <c r="B330">
        <f>[1]Taxonomía_General!$K333</f>
        <v>0</v>
      </c>
      <c r="C330">
        <f>[2]Taxonomía_General!$C333</f>
        <v>0</v>
      </c>
    </row>
    <row r="331" spans="1:3" x14ac:dyDescent="0.25">
      <c r="A331">
        <f>[2]Taxonomía_General!$B334</f>
        <v>0</v>
      </c>
      <c r="B331">
        <f>[1]Taxonomía_General!$K334</f>
        <v>0</v>
      </c>
      <c r="C331">
        <f>[2]Taxonomía_General!$C334</f>
        <v>0</v>
      </c>
    </row>
    <row r="332" spans="1:3" x14ac:dyDescent="0.25">
      <c r="A332">
        <f>[2]Taxonomía_General!$B335</f>
        <v>0</v>
      </c>
      <c r="B332">
        <f>[1]Taxonomía_General!$K335</f>
        <v>0</v>
      </c>
      <c r="C332">
        <f>[2]Taxonomía_General!$C335</f>
        <v>0</v>
      </c>
    </row>
    <row r="333" spans="1:3" x14ac:dyDescent="0.25">
      <c r="A333">
        <f>[2]Taxonomía_General!$B336</f>
        <v>0</v>
      </c>
      <c r="B333">
        <f>[1]Taxonomía_General!$K336</f>
        <v>0</v>
      </c>
      <c r="C333">
        <f>[2]Taxonomía_General!$C336</f>
        <v>0</v>
      </c>
    </row>
    <row r="334" spans="1:3" x14ac:dyDescent="0.25">
      <c r="A334">
        <f>[2]Taxonomía_General!$B337</f>
        <v>0</v>
      </c>
      <c r="B334">
        <f>[1]Taxonomía_General!$K337</f>
        <v>0</v>
      </c>
      <c r="C334">
        <f>[2]Taxonomía_General!$C337</f>
        <v>0</v>
      </c>
    </row>
    <row r="335" spans="1:3" x14ac:dyDescent="0.25">
      <c r="A335">
        <f>[2]Taxonomía_General!$B338</f>
        <v>0</v>
      </c>
      <c r="B335">
        <f>[1]Taxonomía_General!$K338</f>
        <v>0</v>
      </c>
      <c r="C335">
        <f>[2]Taxonomía_General!$C338</f>
        <v>0</v>
      </c>
    </row>
    <row r="336" spans="1:3" x14ac:dyDescent="0.25">
      <c r="A336">
        <f>[2]Taxonomía_General!$B339</f>
        <v>0</v>
      </c>
      <c r="B336">
        <f>[1]Taxonomía_General!$K339</f>
        <v>0</v>
      </c>
      <c r="C336">
        <f>[2]Taxonomía_General!$C339</f>
        <v>0</v>
      </c>
    </row>
    <row r="337" spans="1:3" x14ac:dyDescent="0.25">
      <c r="A337">
        <f>[2]Taxonomía_General!$B340</f>
        <v>0</v>
      </c>
      <c r="B337">
        <f>[1]Taxonomía_General!$K340</f>
        <v>0</v>
      </c>
      <c r="C337">
        <f>[2]Taxonomía_General!$C340</f>
        <v>0</v>
      </c>
    </row>
    <row r="338" spans="1:3" x14ac:dyDescent="0.25">
      <c r="A338">
        <f>[2]Taxonomía_General!$B341</f>
        <v>0</v>
      </c>
      <c r="B338">
        <f>[1]Taxonomía_General!$K341</f>
        <v>0</v>
      </c>
      <c r="C338">
        <f>[2]Taxonomía_General!$C341</f>
        <v>0</v>
      </c>
    </row>
    <row r="339" spans="1:3" x14ac:dyDescent="0.25">
      <c r="A339">
        <f>[2]Taxonomía_General!$B342</f>
        <v>0</v>
      </c>
      <c r="B339">
        <f>[1]Taxonomía_General!$K342</f>
        <v>0</v>
      </c>
      <c r="C339">
        <f>[2]Taxonomía_General!$C342</f>
        <v>0</v>
      </c>
    </row>
    <row r="340" spans="1:3" x14ac:dyDescent="0.25">
      <c r="A340">
        <f>[2]Taxonomía_General!$B343</f>
        <v>0</v>
      </c>
      <c r="B340">
        <f>[1]Taxonomía_General!$K343</f>
        <v>0</v>
      </c>
      <c r="C340">
        <f>[2]Taxonomía_General!$C343</f>
        <v>0</v>
      </c>
    </row>
    <row r="341" spans="1:3" x14ac:dyDescent="0.25">
      <c r="A341">
        <f>[2]Taxonomía_General!$B344</f>
        <v>0</v>
      </c>
      <c r="B341">
        <f>[1]Taxonomía_General!$K344</f>
        <v>0</v>
      </c>
      <c r="C341">
        <f>[2]Taxonomía_General!$C344</f>
        <v>0</v>
      </c>
    </row>
    <row r="342" spans="1:3" x14ac:dyDescent="0.25">
      <c r="A342">
        <f>[2]Taxonomía_General!$B345</f>
        <v>0</v>
      </c>
      <c r="B342">
        <f>[1]Taxonomía_General!$K345</f>
        <v>0</v>
      </c>
      <c r="C342">
        <f>[2]Taxonomía_General!$C345</f>
        <v>0</v>
      </c>
    </row>
    <row r="343" spans="1:3" x14ac:dyDescent="0.25">
      <c r="A343">
        <f>[2]Taxonomía_General!$B346</f>
        <v>0</v>
      </c>
      <c r="B343">
        <f>[1]Taxonomía_General!$K346</f>
        <v>0</v>
      </c>
      <c r="C343">
        <f>[2]Taxonomía_General!$C346</f>
        <v>0</v>
      </c>
    </row>
    <row r="344" spans="1:3" x14ac:dyDescent="0.25">
      <c r="A344">
        <f>[2]Taxonomía_General!$B347</f>
        <v>0</v>
      </c>
      <c r="B344">
        <f>[1]Taxonomía_General!$K347</f>
        <v>0</v>
      </c>
      <c r="C344">
        <f>[2]Taxonomía_General!$C347</f>
        <v>0</v>
      </c>
    </row>
    <row r="345" spans="1:3" x14ac:dyDescent="0.25">
      <c r="A345">
        <f>[2]Taxonomía_General!$B348</f>
        <v>0</v>
      </c>
      <c r="B345">
        <f>[1]Taxonomía_General!$K348</f>
        <v>0</v>
      </c>
      <c r="C345">
        <f>[2]Taxonomía_General!$C348</f>
        <v>0</v>
      </c>
    </row>
    <row r="346" spans="1:3" x14ac:dyDescent="0.25">
      <c r="A346">
        <f>[2]Taxonomía_General!$B349</f>
        <v>0</v>
      </c>
      <c r="B346">
        <f>[1]Taxonomía_General!$K349</f>
        <v>0</v>
      </c>
      <c r="C346">
        <f>[2]Taxonomía_General!$C349</f>
        <v>0</v>
      </c>
    </row>
    <row r="347" spans="1:3" x14ac:dyDescent="0.25">
      <c r="A347">
        <f>[2]Taxonomía_General!$B350</f>
        <v>0</v>
      </c>
      <c r="B347">
        <f>[1]Taxonomía_General!$K350</f>
        <v>0</v>
      </c>
      <c r="C347">
        <f>[2]Taxonomía_General!$C350</f>
        <v>0</v>
      </c>
    </row>
    <row r="348" spans="1:3" x14ac:dyDescent="0.25">
      <c r="A348">
        <f>[2]Taxonomía_General!$B351</f>
        <v>0</v>
      </c>
      <c r="B348">
        <f>[1]Taxonomía_General!$K351</f>
        <v>0</v>
      </c>
      <c r="C348">
        <f>[2]Taxonomía_General!$C351</f>
        <v>0</v>
      </c>
    </row>
    <row r="349" spans="1:3" x14ac:dyDescent="0.25">
      <c r="A349">
        <f>[2]Taxonomía_General!$B352</f>
        <v>0</v>
      </c>
      <c r="B349">
        <f>[1]Taxonomía_General!$K352</f>
        <v>0</v>
      </c>
      <c r="C349">
        <f>[2]Taxonomía_General!$C352</f>
        <v>0</v>
      </c>
    </row>
    <row r="350" spans="1:3" x14ac:dyDescent="0.25">
      <c r="A350">
        <f>[2]Taxonomía_General!$B353</f>
        <v>0</v>
      </c>
      <c r="B350">
        <f>[1]Taxonomía_General!$K353</f>
        <v>0</v>
      </c>
      <c r="C350">
        <f>[2]Taxonomía_General!$C353</f>
        <v>0</v>
      </c>
    </row>
    <row r="351" spans="1:3" x14ac:dyDescent="0.25">
      <c r="A351">
        <f>[2]Taxonomía_General!$B354</f>
        <v>0</v>
      </c>
      <c r="B351">
        <f>[1]Taxonomía_General!$K354</f>
        <v>0</v>
      </c>
      <c r="C351">
        <f>[2]Taxonomía_General!$C354</f>
        <v>0</v>
      </c>
    </row>
    <row r="352" spans="1:3" x14ac:dyDescent="0.25">
      <c r="A352">
        <f>[2]Taxonomía_General!$B355</f>
        <v>0</v>
      </c>
      <c r="B352">
        <f>[1]Taxonomía_General!$K355</f>
        <v>0</v>
      </c>
      <c r="C352">
        <f>[2]Taxonomía_General!$C355</f>
        <v>0</v>
      </c>
    </row>
    <row r="353" spans="1:3" x14ac:dyDescent="0.25">
      <c r="A353">
        <f>[2]Taxonomía_General!$B356</f>
        <v>0</v>
      </c>
      <c r="B353">
        <f>[1]Taxonomía_General!$K356</f>
        <v>0</v>
      </c>
      <c r="C353">
        <f>[2]Taxonomía_General!$C356</f>
        <v>0</v>
      </c>
    </row>
    <row r="354" spans="1:3" x14ac:dyDescent="0.25">
      <c r="A354">
        <f>[2]Taxonomía_General!$B357</f>
        <v>0</v>
      </c>
      <c r="B354">
        <f>[1]Taxonomía_General!$K357</f>
        <v>0</v>
      </c>
      <c r="C354">
        <f>[2]Taxonomía_General!$C357</f>
        <v>0</v>
      </c>
    </row>
    <row r="355" spans="1:3" x14ac:dyDescent="0.25">
      <c r="A355">
        <f>[2]Taxonomía_General!$B358</f>
        <v>0</v>
      </c>
      <c r="B355">
        <f>[1]Taxonomía_General!$K358</f>
        <v>0</v>
      </c>
      <c r="C355">
        <f>[2]Taxonomía_General!$C358</f>
        <v>0</v>
      </c>
    </row>
    <row r="356" spans="1:3" x14ac:dyDescent="0.25">
      <c r="A356">
        <f>[2]Taxonomía_General!$B359</f>
        <v>0</v>
      </c>
      <c r="B356">
        <f>[1]Taxonomía_General!$K359</f>
        <v>0</v>
      </c>
      <c r="C356">
        <f>[2]Taxonomía_General!$C359</f>
        <v>0</v>
      </c>
    </row>
    <row r="357" spans="1:3" x14ac:dyDescent="0.25">
      <c r="A357">
        <f>[2]Taxonomía_General!$B360</f>
        <v>0</v>
      </c>
      <c r="B357">
        <f>[1]Taxonomía_General!$K360</f>
        <v>0</v>
      </c>
      <c r="C357">
        <f>[2]Taxonomía_General!$C360</f>
        <v>0</v>
      </c>
    </row>
    <row r="358" spans="1:3" x14ac:dyDescent="0.25">
      <c r="A358">
        <f>[2]Taxonomía_General!$B361</f>
        <v>0</v>
      </c>
      <c r="B358">
        <f>[1]Taxonomía_General!$K361</f>
        <v>0</v>
      </c>
      <c r="C358">
        <f>[2]Taxonomía_General!$C361</f>
        <v>0</v>
      </c>
    </row>
    <row r="359" spans="1:3" x14ac:dyDescent="0.25">
      <c r="A359">
        <f>[2]Taxonomía_General!$B362</f>
        <v>0</v>
      </c>
      <c r="B359">
        <f>[1]Taxonomía_General!$K362</f>
        <v>0</v>
      </c>
      <c r="C359">
        <f>[2]Taxonomía_General!$C362</f>
        <v>0</v>
      </c>
    </row>
    <row r="360" spans="1:3" x14ac:dyDescent="0.25">
      <c r="A360">
        <f>[2]Taxonomía_General!$B363</f>
        <v>0</v>
      </c>
      <c r="B360">
        <f>[1]Taxonomía_General!$K363</f>
        <v>0</v>
      </c>
      <c r="C360">
        <f>[2]Taxonomía_General!$C363</f>
        <v>0</v>
      </c>
    </row>
    <row r="361" spans="1:3" x14ac:dyDescent="0.25">
      <c r="A361">
        <f>[2]Taxonomía_General!$B364</f>
        <v>0</v>
      </c>
      <c r="B361">
        <f>[1]Taxonomía_General!$K364</f>
        <v>0</v>
      </c>
      <c r="C361">
        <f>[2]Taxonomía_General!$C364</f>
        <v>0</v>
      </c>
    </row>
    <row r="362" spans="1:3" x14ac:dyDescent="0.25">
      <c r="A362">
        <f>[2]Taxonomía_General!$B365</f>
        <v>0</v>
      </c>
      <c r="B362">
        <f>[1]Taxonomía_General!$K365</f>
        <v>0</v>
      </c>
      <c r="C362">
        <f>[2]Taxonomía_General!$C365</f>
        <v>0</v>
      </c>
    </row>
    <row r="363" spans="1:3" x14ac:dyDescent="0.25">
      <c r="A363">
        <f>[2]Taxonomía_General!$B366</f>
        <v>0</v>
      </c>
      <c r="B363">
        <f>[1]Taxonomía_General!$K366</f>
        <v>0</v>
      </c>
      <c r="C363">
        <f>[2]Taxonomía_General!$C366</f>
        <v>0</v>
      </c>
    </row>
    <row r="364" spans="1:3" x14ac:dyDescent="0.25">
      <c r="A364">
        <f>[2]Taxonomía_General!$B367</f>
        <v>0</v>
      </c>
      <c r="B364">
        <f>[2]Taxonomía_General!$K367</f>
        <v>0</v>
      </c>
      <c r="C364">
        <f>[2]Taxonomía_General!$C367</f>
        <v>0</v>
      </c>
    </row>
    <row r="365" spans="1:3" x14ac:dyDescent="0.25">
      <c r="A365">
        <f>[2]Taxonomía_General!$B368</f>
        <v>0</v>
      </c>
      <c r="B365">
        <f>[2]Taxonomía_General!$K368</f>
        <v>0</v>
      </c>
      <c r="C365">
        <f>[2]Taxonomía_General!$C368</f>
        <v>0</v>
      </c>
    </row>
    <row r="366" spans="1:3" x14ac:dyDescent="0.25">
      <c r="A366">
        <f>[2]Taxonomía_General!$B369</f>
        <v>0</v>
      </c>
      <c r="B366">
        <f>[2]Taxonomía_General!$K369</f>
        <v>0</v>
      </c>
      <c r="C366">
        <f>[2]Taxonomía_General!$C369</f>
        <v>0</v>
      </c>
    </row>
    <row r="367" spans="1:3" x14ac:dyDescent="0.25">
      <c r="A367">
        <f>[2]Taxonomía_General!$B370</f>
        <v>0</v>
      </c>
      <c r="B367">
        <f>[2]Taxonomía_General!$K370</f>
        <v>0</v>
      </c>
      <c r="C367">
        <f>[2]Taxonomía_General!$C370</f>
        <v>0</v>
      </c>
    </row>
    <row r="368" spans="1:3" x14ac:dyDescent="0.25">
      <c r="A368">
        <f>[2]Taxonomía_General!$B371</f>
        <v>0</v>
      </c>
      <c r="B368">
        <f>[2]Taxonomía_General!$K371</f>
        <v>0</v>
      </c>
      <c r="C368">
        <f>[2]Taxonomía_General!$C371</f>
        <v>0</v>
      </c>
    </row>
    <row r="369" spans="1:3" x14ac:dyDescent="0.25">
      <c r="A369">
        <f>[2]Taxonomía_General!$B372</f>
        <v>0</v>
      </c>
      <c r="B369">
        <f>[2]Taxonomía_General!$K372</f>
        <v>0</v>
      </c>
      <c r="C369">
        <f>[2]Taxonomía_General!$C372</f>
        <v>0</v>
      </c>
    </row>
    <row r="370" spans="1:3" x14ac:dyDescent="0.25">
      <c r="A370">
        <f>[2]Taxonomía_General!$B373</f>
        <v>0</v>
      </c>
      <c r="B370">
        <f>[2]Taxonomía_General!$K373</f>
        <v>0</v>
      </c>
      <c r="C370">
        <f>[2]Taxonomía_General!$C373</f>
        <v>0</v>
      </c>
    </row>
    <row r="371" spans="1:3" x14ac:dyDescent="0.25">
      <c r="A371">
        <f>[2]Taxonomía_General!$B374</f>
        <v>0</v>
      </c>
      <c r="B371">
        <f>[2]Taxonomía_General!$K374</f>
        <v>0</v>
      </c>
      <c r="C371">
        <f>[2]Taxonomía_General!$C374</f>
        <v>0</v>
      </c>
    </row>
    <row r="372" spans="1:3" x14ac:dyDescent="0.25">
      <c r="A372">
        <f>[2]Taxonomía_General!$B375</f>
        <v>0</v>
      </c>
      <c r="B372">
        <f>[2]Taxonomía_General!$K375</f>
        <v>0</v>
      </c>
      <c r="C372">
        <f>[2]Taxonomía_General!$C375</f>
        <v>0</v>
      </c>
    </row>
    <row r="373" spans="1:3" x14ac:dyDescent="0.25">
      <c r="A373">
        <f>[2]Taxonomía_General!$B376</f>
        <v>0</v>
      </c>
      <c r="B373">
        <f>[2]Taxonomía_General!$K376</f>
        <v>0</v>
      </c>
      <c r="C373">
        <f>[2]Taxonomía_General!$C376</f>
        <v>0</v>
      </c>
    </row>
    <row r="374" spans="1:3" x14ac:dyDescent="0.25">
      <c r="A374">
        <f>[2]Taxonomía_General!$B377</f>
        <v>0</v>
      </c>
      <c r="B374">
        <f>[2]Taxonomía_General!$K377</f>
        <v>0</v>
      </c>
      <c r="C374">
        <f>[2]Taxonomía_General!$C377</f>
        <v>0</v>
      </c>
    </row>
    <row r="375" spans="1:3" x14ac:dyDescent="0.25">
      <c r="A375">
        <f>[2]Taxonomía_General!$B378</f>
        <v>0</v>
      </c>
      <c r="B375">
        <f>[2]Taxonomía_General!$K378</f>
        <v>0</v>
      </c>
      <c r="C375">
        <f>[2]Taxonomía_General!$C378</f>
        <v>0</v>
      </c>
    </row>
    <row r="376" spans="1:3" x14ac:dyDescent="0.25">
      <c r="A376">
        <f>[2]Taxonomía_General!$B379</f>
        <v>0</v>
      </c>
      <c r="B376">
        <f>[2]Taxonomía_General!$K379</f>
        <v>0</v>
      </c>
      <c r="C376">
        <f>[2]Taxonomía_General!$C379</f>
        <v>0</v>
      </c>
    </row>
    <row r="377" spans="1:3" x14ac:dyDescent="0.25">
      <c r="A377">
        <f>[2]Taxonomía_General!$B380</f>
        <v>0</v>
      </c>
      <c r="B377">
        <f>[2]Taxonomía_General!$K380</f>
        <v>0</v>
      </c>
      <c r="C377">
        <f>[2]Taxonomía_General!$C380</f>
        <v>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AC42"/>
  <sheetViews>
    <sheetView showGridLines="0" tabSelected="1" view="pageBreakPreview" zoomScaleNormal="100" zoomScaleSheetLayoutView="100" workbookViewId="0">
      <selection activeCell="B2" sqref="B2"/>
    </sheetView>
  </sheetViews>
  <sheetFormatPr baseColWidth="10" defaultColWidth="10.1796875" defaultRowHeight="12.5" x14ac:dyDescent="0.25"/>
  <cols>
    <col min="1" max="1" width="1.54296875" style="1" customWidth="1"/>
    <col min="2" max="2" width="3" style="1" customWidth="1"/>
    <col min="3" max="3" width="5.7265625" style="1" customWidth="1"/>
    <col min="4" max="4" width="2.7265625" style="1" customWidth="1"/>
    <col min="5" max="5" width="6.26953125" style="2" customWidth="1"/>
    <col min="6" max="6" width="5.7265625" style="2" customWidth="1"/>
    <col min="7" max="7" width="4.7265625" style="1" customWidth="1"/>
    <col min="8" max="8" width="6.54296875" style="1" customWidth="1"/>
    <col min="9" max="9" width="4.7265625" style="1" customWidth="1"/>
    <col min="10" max="10" width="4.81640625" style="1" customWidth="1"/>
    <col min="11" max="11" width="6.81640625" style="1" customWidth="1"/>
    <col min="12" max="12" width="8.7265625" style="1" customWidth="1"/>
    <col min="13" max="13" width="5.453125" style="1" customWidth="1"/>
    <col min="14" max="14" width="5.26953125" style="1" customWidth="1"/>
    <col min="15" max="16" width="4.54296875" style="1" customWidth="1"/>
    <col min="17" max="17" width="0.453125" style="1" customWidth="1"/>
    <col min="18" max="18" width="6.453125" style="1" customWidth="1"/>
    <col min="19" max="19" width="8.453125" style="1" customWidth="1"/>
    <col min="20" max="20" width="5.1796875" style="1" customWidth="1"/>
    <col min="21" max="21" width="4.7265625" style="1" customWidth="1"/>
    <col min="22" max="22" width="4.453125" style="1" customWidth="1"/>
    <col min="23" max="23" width="4.7265625" style="1" customWidth="1"/>
    <col min="24" max="24" width="5.453125" style="1" customWidth="1"/>
    <col min="25" max="25" width="4.453125" style="1" customWidth="1"/>
    <col min="26" max="26" width="5.54296875" style="1" customWidth="1"/>
    <col min="27" max="28" width="5.7265625" style="1" customWidth="1"/>
    <col min="29" max="16384" width="10.1796875" style="1"/>
  </cols>
  <sheetData>
    <row r="1" spans="1:29" ht="45.75" customHeight="1" x14ac:dyDescent="0.25">
      <c r="A1" s="53"/>
      <c r="B1" s="6"/>
      <c r="I1" s="59" t="s">
        <v>32</v>
      </c>
      <c r="J1" s="60"/>
      <c r="K1" s="60"/>
      <c r="L1" s="60"/>
      <c r="M1" s="60"/>
      <c r="N1" s="60"/>
      <c r="O1" s="60"/>
      <c r="P1" s="60"/>
      <c r="Q1" s="60"/>
      <c r="R1" s="60"/>
      <c r="S1" s="60"/>
      <c r="T1" s="60"/>
      <c r="U1" s="60"/>
      <c r="V1" s="60"/>
      <c r="W1" s="60"/>
      <c r="X1" s="60"/>
      <c r="Y1" s="60"/>
      <c r="Z1" s="60"/>
      <c r="AA1" s="60"/>
      <c r="AB1" s="60"/>
      <c r="AC1" s="3"/>
    </row>
    <row r="2" spans="1:29" ht="37.5" customHeight="1" x14ac:dyDescent="0.25">
      <c r="A2" s="53"/>
      <c r="B2" s="6"/>
      <c r="I2" s="54" t="s">
        <v>31</v>
      </c>
      <c r="J2" s="55"/>
      <c r="K2" s="55"/>
      <c r="L2" s="55"/>
      <c r="M2" s="55"/>
      <c r="N2" s="55"/>
      <c r="O2" s="55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5">
      <c r="A3" s="4"/>
      <c r="B3" s="4"/>
      <c r="C3" s="4"/>
      <c r="D3" s="4"/>
      <c r="E3" s="1"/>
      <c r="F3" s="1"/>
      <c r="G3" s="5"/>
    </row>
    <row r="4" spans="1:29" ht="24" customHeight="1" x14ac:dyDescent="0.25">
      <c r="A4" s="58" t="s">
        <v>1</v>
      </c>
      <c r="B4" s="58"/>
      <c r="C4" s="58"/>
      <c r="D4" s="58"/>
      <c r="E4" s="58"/>
      <c r="F4" s="61"/>
      <c r="G4" s="56" t="s">
        <v>68</v>
      </c>
      <c r="H4" s="56"/>
      <c r="I4" s="56"/>
      <c r="J4" s="56"/>
      <c r="K4" s="56"/>
      <c r="L4" s="56"/>
      <c r="M4" s="56"/>
      <c r="N4" s="57" t="s">
        <v>11</v>
      </c>
      <c r="O4" s="57"/>
      <c r="P4" s="57"/>
      <c r="Q4" s="57"/>
      <c r="R4" s="57"/>
      <c r="S4" s="57"/>
      <c r="T4" s="57"/>
      <c r="U4" s="38" t="s">
        <v>66</v>
      </c>
      <c r="V4" s="39"/>
      <c r="W4" s="39"/>
      <c r="X4" s="39"/>
      <c r="Y4" s="39"/>
      <c r="Z4" s="39"/>
      <c r="AA4" s="39"/>
      <c r="AB4" s="40"/>
      <c r="AC4" s="3"/>
    </row>
    <row r="5" spans="1:29" ht="24" customHeight="1" x14ac:dyDescent="0.25">
      <c r="A5" s="58" t="s">
        <v>5</v>
      </c>
      <c r="B5" s="58"/>
      <c r="C5" s="58"/>
      <c r="D5" s="58"/>
      <c r="E5" s="58"/>
      <c r="F5" s="61"/>
      <c r="G5" s="42" t="s">
        <v>37</v>
      </c>
      <c r="H5" s="42"/>
      <c r="I5" s="42"/>
      <c r="J5" s="42"/>
      <c r="K5" s="42"/>
      <c r="L5" s="42"/>
      <c r="M5" s="42"/>
      <c r="N5" s="58" t="s">
        <v>9</v>
      </c>
      <c r="O5" s="58"/>
      <c r="P5" s="58"/>
      <c r="Q5" s="58"/>
      <c r="R5" s="58"/>
      <c r="S5" s="58"/>
      <c r="T5" s="58"/>
      <c r="U5" s="45">
        <v>44536</v>
      </c>
      <c r="V5" s="46"/>
      <c r="W5" s="47"/>
      <c r="X5" s="24" t="s">
        <v>29</v>
      </c>
      <c r="Y5" s="64">
        <v>0.3888888888888889</v>
      </c>
      <c r="Z5" s="65"/>
      <c r="AA5" s="65"/>
      <c r="AB5" s="65"/>
    </row>
    <row r="6" spans="1:29" ht="24" customHeight="1" x14ac:dyDescent="0.25">
      <c r="A6" s="62" t="s">
        <v>7</v>
      </c>
      <c r="B6" s="62"/>
      <c r="C6" s="62"/>
      <c r="D6" s="62"/>
      <c r="E6" s="62"/>
      <c r="F6" s="63"/>
      <c r="G6" s="42" t="s">
        <v>40</v>
      </c>
      <c r="H6" s="42"/>
      <c r="I6" s="42"/>
      <c r="J6" s="42"/>
      <c r="K6" s="42"/>
      <c r="L6" s="42"/>
      <c r="M6" s="42"/>
      <c r="N6" s="66" t="s">
        <v>0</v>
      </c>
      <c r="O6" s="66"/>
      <c r="P6" s="66"/>
      <c r="Q6" s="66"/>
      <c r="R6" s="66"/>
      <c r="S6" s="66"/>
      <c r="T6" s="66"/>
      <c r="U6" s="45">
        <v>44536</v>
      </c>
      <c r="V6" s="46"/>
      <c r="W6" s="47"/>
      <c r="X6" s="24" t="s">
        <v>29</v>
      </c>
      <c r="Y6" s="64">
        <v>0.44097222222222227</v>
      </c>
      <c r="Z6" s="65"/>
      <c r="AA6" s="65"/>
      <c r="AB6" s="65"/>
    </row>
    <row r="7" spans="1:29" ht="24" customHeight="1" x14ac:dyDescent="0.25">
      <c r="A7" s="58" t="s">
        <v>10</v>
      </c>
      <c r="B7" s="58"/>
      <c r="C7" s="58"/>
      <c r="D7" s="58"/>
      <c r="E7" s="58"/>
      <c r="F7" s="61"/>
      <c r="G7" s="42" t="s">
        <v>41</v>
      </c>
      <c r="H7" s="42"/>
      <c r="I7" s="42"/>
      <c r="J7" s="42"/>
      <c r="K7" s="42"/>
      <c r="L7" s="42"/>
      <c r="M7" s="42"/>
      <c r="N7" s="43" t="s">
        <v>34</v>
      </c>
      <c r="O7" s="43"/>
      <c r="P7" s="43"/>
      <c r="Q7" s="43"/>
      <c r="R7" s="43"/>
      <c r="S7" s="43"/>
      <c r="T7" s="43"/>
      <c r="U7" s="69" t="s">
        <v>39</v>
      </c>
      <c r="V7" s="69"/>
      <c r="W7" s="69"/>
      <c r="X7" s="69"/>
      <c r="Y7" s="69"/>
      <c r="Z7" s="69"/>
      <c r="AA7" s="69"/>
      <c r="AB7" s="69"/>
    </row>
    <row r="8" spans="1:29" ht="24" customHeight="1" x14ac:dyDescent="0.25">
      <c r="A8" s="62" t="s">
        <v>2</v>
      </c>
      <c r="B8" s="62"/>
      <c r="C8" s="62"/>
      <c r="D8" s="62"/>
      <c r="E8" s="62"/>
      <c r="F8" s="63"/>
      <c r="G8" s="42">
        <v>20065667</v>
      </c>
      <c r="H8" s="42"/>
      <c r="I8" s="42"/>
      <c r="J8" s="42"/>
      <c r="K8" s="42"/>
      <c r="L8" s="42"/>
      <c r="M8" s="42"/>
      <c r="N8" s="43" t="s">
        <v>4</v>
      </c>
      <c r="O8" s="43"/>
      <c r="P8" s="43"/>
      <c r="Q8" s="43"/>
      <c r="R8" s="43"/>
      <c r="S8" s="43"/>
      <c r="T8" s="43"/>
      <c r="U8" s="44" t="s">
        <v>38</v>
      </c>
      <c r="V8" s="44"/>
      <c r="W8" s="44"/>
      <c r="X8" s="44"/>
      <c r="Y8" s="44"/>
      <c r="Z8" s="44"/>
      <c r="AA8" s="44"/>
      <c r="AB8" s="44"/>
    </row>
    <row r="9" spans="1:29" ht="24" customHeight="1" x14ac:dyDescent="0.25">
      <c r="A9" s="62" t="s">
        <v>6</v>
      </c>
      <c r="B9" s="62"/>
      <c r="C9" s="62"/>
      <c r="D9" s="62"/>
      <c r="E9" s="62"/>
      <c r="F9" s="63"/>
      <c r="G9" s="67" t="s">
        <v>42</v>
      </c>
      <c r="H9" s="67"/>
      <c r="I9" s="67"/>
      <c r="J9" s="67"/>
      <c r="K9" s="67"/>
      <c r="L9" s="67"/>
      <c r="M9" s="67"/>
      <c r="N9" s="43" t="s">
        <v>30</v>
      </c>
      <c r="O9" s="43"/>
      <c r="P9" s="43"/>
      <c r="Q9" s="43"/>
      <c r="R9" s="43"/>
      <c r="S9" s="43"/>
      <c r="T9" s="43"/>
      <c r="U9" s="68" t="s">
        <v>67</v>
      </c>
      <c r="V9" s="68"/>
      <c r="W9" s="68"/>
      <c r="X9" s="68"/>
      <c r="Y9" s="68"/>
      <c r="Z9" s="68"/>
      <c r="AA9" s="68"/>
      <c r="AB9" s="68"/>
    </row>
    <row r="10" spans="1:29" ht="6" customHeight="1" x14ac:dyDescent="0.25">
      <c r="U10" s="8"/>
      <c r="V10" s="8"/>
      <c r="W10" s="8"/>
    </row>
    <row r="11" spans="1:29" ht="23.25" customHeight="1" x14ac:dyDescent="0.25">
      <c r="A11" s="48" t="s">
        <v>8</v>
      </c>
      <c r="B11" s="48"/>
      <c r="C11" s="48"/>
      <c r="D11" s="48"/>
      <c r="E11" s="48"/>
      <c r="F11" s="48"/>
      <c r="G11" s="48"/>
      <c r="H11" s="48"/>
      <c r="I11" s="48"/>
      <c r="J11" s="48"/>
      <c r="K11" s="48"/>
      <c r="L11" s="48"/>
      <c r="M11" s="19"/>
      <c r="N11" s="43" t="s">
        <v>12</v>
      </c>
      <c r="O11" s="43"/>
      <c r="P11" s="43"/>
      <c r="Q11" s="43"/>
      <c r="R11" s="43"/>
      <c r="S11" s="42"/>
      <c r="T11" s="42"/>
      <c r="U11" s="43" t="s">
        <v>13</v>
      </c>
      <c r="V11" s="43"/>
      <c r="W11" s="43"/>
      <c r="X11" s="43"/>
      <c r="Y11" s="43"/>
      <c r="Z11" s="43"/>
      <c r="AA11" s="38"/>
      <c r="AB11" s="40"/>
    </row>
    <row r="12" spans="1:29" ht="6" customHeight="1" x14ac:dyDescent="0.3">
      <c r="I12" s="49"/>
      <c r="J12" s="49"/>
      <c r="K12" s="49"/>
      <c r="L12" s="49"/>
      <c r="M12" s="49"/>
      <c r="N12" s="49"/>
      <c r="O12" s="49"/>
      <c r="P12" s="49"/>
      <c r="Q12" s="49"/>
      <c r="R12" s="49"/>
      <c r="S12" s="49"/>
      <c r="T12" s="49"/>
    </row>
    <row r="13" spans="1:29" ht="36" customHeight="1" x14ac:dyDescent="0.25">
      <c r="A13" s="50" t="s">
        <v>35</v>
      </c>
      <c r="B13" s="51"/>
      <c r="C13" s="51"/>
      <c r="D13" s="51"/>
      <c r="E13" s="51"/>
      <c r="F13" s="25" t="s">
        <v>36</v>
      </c>
      <c r="G13" s="41" t="s">
        <v>14</v>
      </c>
      <c r="H13" s="41"/>
      <c r="I13" s="41"/>
      <c r="J13" s="52">
        <v>5.1023937052437054</v>
      </c>
      <c r="K13" s="52"/>
      <c r="L13" s="41" t="s">
        <v>15</v>
      </c>
      <c r="M13" s="41"/>
      <c r="N13" s="41"/>
      <c r="O13" s="38">
        <v>125</v>
      </c>
      <c r="P13" s="39"/>
      <c r="Q13" s="40"/>
      <c r="R13" s="41" t="s">
        <v>16</v>
      </c>
      <c r="S13" s="41"/>
      <c r="T13" s="41"/>
      <c r="U13" s="42">
        <v>5</v>
      </c>
      <c r="V13" s="42"/>
      <c r="W13" s="41" t="s">
        <v>17</v>
      </c>
      <c r="X13" s="41"/>
      <c r="Y13" s="41"/>
      <c r="Z13" s="41"/>
      <c r="AA13" s="42">
        <v>1</v>
      </c>
      <c r="AB13" s="42"/>
    </row>
    <row r="14" spans="1:29" ht="27" customHeight="1" x14ac:dyDescent="0.25">
      <c r="A14" s="51" t="s">
        <v>3</v>
      </c>
      <c r="B14" s="51"/>
      <c r="C14" s="51"/>
      <c r="D14" s="51"/>
      <c r="E14" s="51"/>
      <c r="F14" s="25"/>
      <c r="G14" s="41" t="s">
        <v>18</v>
      </c>
      <c r="H14" s="41"/>
      <c r="I14" s="41"/>
      <c r="J14" s="41"/>
      <c r="K14" s="41"/>
      <c r="L14" s="41"/>
      <c r="M14" s="70"/>
      <c r="N14" s="71"/>
      <c r="O14" s="71"/>
      <c r="P14" s="71"/>
      <c r="Q14" s="72"/>
      <c r="R14" s="41" t="s">
        <v>19</v>
      </c>
      <c r="S14" s="41"/>
      <c r="T14" s="41"/>
      <c r="U14" s="41"/>
      <c r="V14" s="41"/>
      <c r="W14" s="82" t="s">
        <v>53</v>
      </c>
      <c r="X14" s="82"/>
      <c r="Y14" s="82"/>
      <c r="Z14" s="82"/>
      <c r="AA14" s="82"/>
      <c r="AB14" s="82"/>
    </row>
    <row r="15" spans="1:29" ht="3" customHeight="1" x14ac:dyDescent="0.25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2"/>
      <c r="N15" s="12"/>
      <c r="O15" s="12"/>
      <c r="P15" s="12"/>
      <c r="Q15" s="12"/>
      <c r="R15" s="23"/>
      <c r="S15" s="23"/>
      <c r="T15" s="23"/>
      <c r="U15" s="23"/>
      <c r="V15" s="23"/>
      <c r="W15" s="12"/>
      <c r="X15" s="12"/>
      <c r="Y15" s="12"/>
      <c r="Z15" s="12"/>
      <c r="AA15" s="12"/>
      <c r="AB15" s="12"/>
    </row>
    <row r="16" spans="1:29" s="9" customFormat="1" ht="6" customHeight="1" x14ac:dyDescent="0.25">
      <c r="A16" s="13"/>
      <c r="B16" s="13"/>
      <c r="C16" s="13"/>
      <c r="D16" s="13"/>
      <c r="E16" s="13"/>
      <c r="F16" s="11"/>
      <c r="G16" s="14"/>
      <c r="H16" s="14"/>
      <c r="I16" s="14"/>
      <c r="J16" s="14"/>
      <c r="K16" s="14"/>
      <c r="L16" s="14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0"/>
    </row>
    <row r="17" spans="1:28" ht="24" customHeight="1" x14ac:dyDescent="0.3">
      <c r="A17" s="78" t="s">
        <v>20</v>
      </c>
      <c r="B17" s="79"/>
      <c r="C17" s="79"/>
      <c r="D17" s="79"/>
      <c r="E17" s="79"/>
      <c r="F17" s="80"/>
      <c r="G17" s="73" t="s">
        <v>21</v>
      </c>
      <c r="H17" s="73"/>
      <c r="I17" s="73"/>
      <c r="J17" s="73" t="s">
        <v>23</v>
      </c>
      <c r="K17" s="73"/>
      <c r="L17" s="73"/>
      <c r="M17" s="73" t="s">
        <v>24</v>
      </c>
      <c r="N17" s="73"/>
      <c r="O17" s="73"/>
      <c r="P17" s="73" t="s">
        <v>22</v>
      </c>
      <c r="Q17" s="73"/>
      <c r="R17" s="73"/>
      <c r="S17" s="73"/>
      <c r="T17" s="73" t="s">
        <v>25</v>
      </c>
      <c r="U17" s="73"/>
      <c r="V17" s="73"/>
      <c r="W17" s="73" t="s">
        <v>26</v>
      </c>
      <c r="X17" s="73"/>
      <c r="Y17" s="73"/>
      <c r="Z17" s="73" t="s">
        <v>27</v>
      </c>
      <c r="AA17" s="73"/>
      <c r="AB17" s="73"/>
    </row>
    <row r="18" spans="1:28" ht="15" customHeight="1" x14ac:dyDescent="0.25">
      <c r="A18" s="81" t="s">
        <v>55</v>
      </c>
      <c r="B18" s="81"/>
      <c r="C18" s="81"/>
      <c r="D18" s="81"/>
      <c r="E18" s="81"/>
      <c r="F18" s="81"/>
      <c r="G18" s="16">
        <v>-5</v>
      </c>
      <c r="H18" s="16">
        <v>21</v>
      </c>
      <c r="I18" s="16"/>
      <c r="J18" s="74"/>
      <c r="K18" s="75"/>
      <c r="L18" s="76"/>
      <c r="M18" s="16"/>
      <c r="N18" s="16">
        <v>0</v>
      </c>
      <c r="O18" s="16"/>
      <c r="P18" s="77"/>
      <c r="Q18" s="77"/>
      <c r="R18" s="77"/>
      <c r="S18" s="77"/>
      <c r="T18" s="17"/>
      <c r="U18" s="16">
        <v>0</v>
      </c>
      <c r="V18" s="17"/>
      <c r="W18" s="77"/>
      <c r="X18" s="77"/>
      <c r="Y18" s="77"/>
      <c r="Z18" s="17"/>
      <c r="AA18" s="16">
        <v>0</v>
      </c>
      <c r="AB18" s="17"/>
    </row>
    <row r="19" spans="1:28" ht="15" customHeight="1" x14ac:dyDescent="0.25">
      <c r="A19" s="35" t="s">
        <v>62</v>
      </c>
      <c r="B19" s="36"/>
      <c r="C19" s="36"/>
      <c r="D19" s="36"/>
      <c r="E19" s="36"/>
      <c r="F19" s="37"/>
      <c r="G19" s="16"/>
      <c r="H19" s="16">
        <v>4</v>
      </c>
      <c r="I19" s="16"/>
      <c r="J19" s="74"/>
      <c r="K19" s="75"/>
      <c r="L19" s="76"/>
      <c r="M19" s="16"/>
      <c r="N19" s="16">
        <v>0</v>
      </c>
      <c r="O19" s="16"/>
      <c r="P19" s="77"/>
      <c r="Q19" s="77"/>
      <c r="R19" s="77"/>
      <c r="S19" s="77"/>
      <c r="T19" s="17"/>
      <c r="U19" s="16">
        <v>0</v>
      </c>
      <c r="V19" s="17"/>
      <c r="W19" s="77"/>
      <c r="X19" s="77"/>
      <c r="Y19" s="77"/>
      <c r="Z19" s="17"/>
      <c r="AA19" s="16">
        <v>0</v>
      </c>
      <c r="AB19" s="17"/>
    </row>
    <row r="20" spans="1:28" ht="15" customHeight="1" x14ac:dyDescent="0.25">
      <c r="A20" s="35" t="s">
        <v>56</v>
      </c>
      <c r="B20" s="36"/>
      <c r="C20" s="36"/>
      <c r="D20" s="36"/>
      <c r="E20" s="36"/>
      <c r="F20" s="37"/>
      <c r="G20" s="16"/>
      <c r="H20" s="31">
        <v>132</v>
      </c>
      <c r="I20" s="16"/>
      <c r="J20" s="74"/>
      <c r="K20" s="75"/>
      <c r="L20" s="76"/>
      <c r="M20" s="16"/>
      <c r="N20" s="16">
        <v>0</v>
      </c>
      <c r="O20" s="16"/>
      <c r="P20" s="77"/>
      <c r="Q20" s="77"/>
      <c r="R20" s="77"/>
      <c r="S20" s="77"/>
      <c r="T20" s="17"/>
      <c r="U20" s="16">
        <v>0</v>
      </c>
      <c r="V20" s="17"/>
      <c r="W20" s="77"/>
      <c r="X20" s="77"/>
      <c r="Y20" s="77"/>
      <c r="Z20" s="18"/>
      <c r="AA20" s="16">
        <v>0</v>
      </c>
      <c r="AB20" s="17"/>
    </row>
    <row r="21" spans="1:28" ht="15" customHeight="1" x14ac:dyDescent="0.25">
      <c r="A21" s="35" t="s">
        <v>57</v>
      </c>
      <c r="B21" s="36"/>
      <c r="C21" s="36"/>
      <c r="D21" s="36"/>
      <c r="E21" s="36"/>
      <c r="F21" s="37"/>
      <c r="G21" s="16"/>
      <c r="H21" s="16">
        <v>251</v>
      </c>
      <c r="I21" s="16"/>
      <c r="J21" s="74"/>
      <c r="K21" s="75"/>
      <c r="L21" s="76"/>
      <c r="M21" s="16"/>
      <c r="N21" s="16">
        <v>0</v>
      </c>
      <c r="O21" s="16"/>
      <c r="P21" s="77"/>
      <c r="Q21" s="77"/>
      <c r="R21" s="77"/>
      <c r="S21" s="77"/>
      <c r="T21" s="17"/>
      <c r="U21" s="16">
        <v>0</v>
      </c>
      <c r="V21" s="17"/>
      <c r="W21" s="83"/>
      <c r="X21" s="83"/>
      <c r="Y21" s="83"/>
      <c r="Z21" s="17"/>
      <c r="AA21" s="16">
        <v>0</v>
      </c>
      <c r="AB21" s="17"/>
    </row>
    <row r="22" spans="1:28" ht="15" customHeight="1" x14ac:dyDescent="0.25">
      <c r="A22" s="35" t="s">
        <v>61</v>
      </c>
      <c r="B22" s="36"/>
      <c r="C22" s="36"/>
      <c r="D22" s="36"/>
      <c r="E22" s="36"/>
      <c r="F22" s="37"/>
      <c r="G22" s="31" t="s">
        <v>54</v>
      </c>
      <c r="H22" s="16">
        <v>2</v>
      </c>
      <c r="I22" s="16"/>
      <c r="J22" s="74"/>
      <c r="K22" s="75"/>
      <c r="L22" s="76"/>
      <c r="M22" s="16"/>
      <c r="N22" s="16">
        <v>0</v>
      </c>
      <c r="O22" s="16"/>
      <c r="P22" s="77"/>
      <c r="Q22" s="77"/>
      <c r="R22" s="77"/>
      <c r="S22" s="77"/>
      <c r="T22" s="17"/>
      <c r="U22" s="31">
        <v>0</v>
      </c>
      <c r="V22" s="17"/>
      <c r="W22" s="83"/>
      <c r="X22" s="83"/>
      <c r="Y22" s="83"/>
      <c r="Z22" s="17"/>
      <c r="AA22" s="16">
        <v>0</v>
      </c>
      <c r="AB22" s="17"/>
    </row>
    <row r="23" spans="1:28" ht="15" customHeight="1" x14ac:dyDescent="0.25">
      <c r="A23" s="35" t="s">
        <v>64</v>
      </c>
      <c r="B23" s="36"/>
      <c r="C23" s="36"/>
      <c r="D23" s="36"/>
      <c r="E23" s="36"/>
      <c r="F23" s="37"/>
      <c r="G23" s="16"/>
      <c r="H23" s="16">
        <v>5</v>
      </c>
      <c r="I23" s="16"/>
      <c r="J23" s="74"/>
      <c r="K23" s="75"/>
      <c r="L23" s="76"/>
      <c r="M23" s="16"/>
      <c r="N23" s="16">
        <v>0</v>
      </c>
      <c r="O23" s="16"/>
      <c r="P23" s="84"/>
      <c r="Q23" s="84"/>
      <c r="R23" s="84"/>
      <c r="S23" s="84"/>
      <c r="T23" s="17"/>
      <c r="U23" s="16">
        <v>0</v>
      </c>
      <c r="V23" s="17"/>
      <c r="W23" s="83"/>
      <c r="X23" s="83"/>
      <c r="Y23" s="83"/>
      <c r="Z23" s="17"/>
      <c r="AA23" s="16">
        <v>0</v>
      </c>
      <c r="AB23" s="17"/>
    </row>
    <row r="24" spans="1:28" ht="15" customHeight="1" x14ac:dyDescent="0.25">
      <c r="A24" s="35" t="s">
        <v>60</v>
      </c>
      <c r="B24" s="36"/>
      <c r="C24" s="36"/>
      <c r="D24" s="36"/>
      <c r="E24" s="36"/>
      <c r="F24" s="37"/>
      <c r="G24" s="16"/>
      <c r="H24" s="16">
        <v>1</v>
      </c>
      <c r="I24" s="16"/>
      <c r="J24" s="74"/>
      <c r="K24" s="75"/>
      <c r="L24" s="76"/>
      <c r="M24" s="16"/>
      <c r="N24" s="16">
        <v>0</v>
      </c>
      <c r="O24" s="16"/>
      <c r="P24" s="84"/>
      <c r="Q24" s="84"/>
      <c r="R24" s="84"/>
      <c r="S24" s="84"/>
      <c r="T24" s="17"/>
      <c r="U24" s="16">
        <v>0</v>
      </c>
      <c r="V24" s="17"/>
      <c r="W24" s="83"/>
      <c r="X24" s="83"/>
      <c r="Y24" s="83"/>
      <c r="Z24" s="17"/>
      <c r="AA24" s="16">
        <v>0</v>
      </c>
      <c r="AB24" s="17"/>
    </row>
    <row r="25" spans="1:28" ht="15" customHeight="1" x14ac:dyDescent="0.25">
      <c r="A25" s="35" t="s">
        <v>59</v>
      </c>
      <c r="B25" s="36"/>
      <c r="C25" s="36"/>
      <c r="D25" s="36"/>
      <c r="E25" s="36"/>
      <c r="F25" s="37"/>
      <c r="G25" s="16"/>
      <c r="H25" s="16">
        <v>48</v>
      </c>
      <c r="I25" s="16"/>
      <c r="J25" s="85"/>
      <c r="K25" s="86"/>
      <c r="L25" s="87"/>
      <c r="M25" s="16"/>
      <c r="N25" s="16">
        <v>0</v>
      </c>
      <c r="O25" s="16"/>
      <c r="P25" s="84"/>
      <c r="Q25" s="84"/>
      <c r="R25" s="84"/>
      <c r="S25" s="84"/>
      <c r="T25" s="17"/>
      <c r="U25" s="16">
        <v>0</v>
      </c>
      <c r="V25" s="17"/>
      <c r="W25" s="83"/>
      <c r="X25" s="83"/>
      <c r="Y25" s="83"/>
      <c r="Z25" s="17"/>
      <c r="AA25" s="16">
        <v>0</v>
      </c>
      <c r="AB25" s="17"/>
    </row>
    <row r="26" spans="1:28" ht="15" customHeight="1" x14ac:dyDescent="0.25">
      <c r="A26" s="35" t="s">
        <v>63</v>
      </c>
      <c r="B26" s="36"/>
      <c r="C26" s="36"/>
      <c r="D26" s="36"/>
      <c r="E26" s="36"/>
      <c r="F26" s="37"/>
      <c r="G26" s="16"/>
      <c r="H26" s="16">
        <v>4</v>
      </c>
      <c r="I26" s="16"/>
      <c r="J26" s="85"/>
      <c r="K26" s="86"/>
      <c r="L26" s="87"/>
      <c r="M26" s="16"/>
      <c r="N26" s="16">
        <v>0</v>
      </c>
      <c r="O26" s="16"/>
      <c r="P26" s="84"/>
      <c r="Q26" s="84"/>
      <c r="R26" s="84"/>
      <c r="S26" s="84"/>
      <c r="T26" s="17"/>
      <c r="U26" s="16">
        <v>0</v>
      </c>
      <c r="V26" s="17"/>
      <c r="W26" s="83"/>
      <c r="X26" s="83"/>
      <c r="Y26" s="83"/>
      <c r="Z26" s="17"/>
      <c r="AA26" s="16">
        <v>0</v>
      </c>
      <c r="AB26" s="17"/>
    </row>
    <row r="27" spans="1:28" ht="15" customHeight="1" x14ac:dyDescent="0.25">
      <c r="A27" s="35" t="s">
        <v>58</v>
      </c>
      <c r="B27" s="36"/>
      <c r="C27" s="36"/>
      <c r="D27" s="36"/>
      <c r="E27" s="36"/>
      <c r="F27" s="37"/>
      <c r="G27" s="16"/>
      <c r="H27" s="16">
        <v>4</v>
      </c>
      <c r="I27" s="16"/>
      <c r="J27" s="74"/>
      <c r="K27" s="75"/>
      <c r="L27" s="76"/>
      <c r="M27" s="16"/>
      <c r="N27" s="16">
        <v>0</v>
      </c>
      <c r="O27" s="16"/>
      <c r="P27" s="84"/>
      <c r="Q27" s="84"/>
      <c r="R27" s="84"/>
      <c r="S27" s="84"/>
      <c r="T27" s="17"/>
      <c r="U27" s="16">
        <v>0</v>
      </c>
      <c r="V27" s="17"/>
      <c r="W27" s="83"/>
      <c r="X27" s="83"/>
      <c r="Y27" s="83"/>
      <c r="Z27" s="17"/>
      <c r="AA27" s="16">
        <v>0</v>
      </c>
      <c r="AB27" s="17"/>
    </row>
    <row r="28" spans="1:28" ht="15" customHeight="1" x14ac:dyDescent="0.25">
      <c r="G28" s="16"/>
      <c r="H28" s="16">
        <v>0</v>
      </c>
      <c r="I28" s="16"/>
      <c r="J28" s="74"/>
      <c r="K28" s="75"/>
      <c r="L28" s="76"/>
      <c r="M28" s="16"/>
      <c r="N28" s="16">
        <v>0</v>
      </c>
      <c r="O28" s="16"/>
      <c r="P28" s="84"/>
      <c r="Q28" s="84"/>
      <c r="R28" s="84"/>
      <c r="S28" s="84"/>
      <c r="T28" s="17"/>
      <c r="U28" s="16">
        <v>0</v>
      </c>
      <c r="V28" s="17"/>
      <c r="W28" s="83"/>
      <c r="X28" s="83"/>
      <c r="Y28" s="83"/>
      <c r="Z28" s="17"/>
      <c r="AA28" s="16">
        <v>0</v>
      </c>
      <c r="AB28" s="17"/>
    </row>
    <row r="29" spans="1:28" ht="15" customHeight="1" x14ac:dyDescent="0.25">
      <c r="A29" s="35"/>
      <c r="B29" s="36"/>
      <c r="C29" s="36"/>
      <c r="D29" s="36"/>
      <c r="E29" s="36"/>
      <c r="F29" s="37"/>
      <c r="G29" s="16"/>
      <c r="H29" s="16">
        <v>0</v>
      </c>
      <c r="I29" s="16"/>
      <c r="J29" s="74"/>
      <c r="K29" s="75"/>
      <c r="L29" s="76"/>
      <c r="M29" s="16"/>
      <c r="N29" s="16">
        <v>0</v>
      </c>
      <c r="O29" s="16"/>
      <c r="P29" s="84"/>
      <c r="Q29" s="84"/>
      <c r="R29" s="84"/>
      <c r="S29" s="84"/>
      <c r="T29" s="17"/>
      <c r="U29" s="16">
        <v>0</v>
      </c>
      <c r="V29" s="17"/>
      <c r="W29" s="83"/>
      <c r="X29" s="83"/>
      <c r="Y29" s="83"/>
      <c r="Z29" s="17"/>
      <c r="AA29" s="16">
        <v>0</v>
      </c>
      <c r="AB29" s="17"/>
    </row>
    <row r="30" spans="1:28" ht="15" customHeight="1" x14ac:dyDescent="0.25">
      <c r="G30" s="16"/>
      <c r="H30" s="16">
        <v>0</v>
      </c>
      <c r="I30" s="16"/>
      <c r="J30" s="74"/>
      <c r="K30" s="75"/>
      <c r="L30" s="76"/>
      <c r="M30" s="16"/>
      <c r="N30" s="16">
        <v>0</v>
      </c>
      <c r="O30" s="16"/>
      <c r="P30" s="77"/>
      <c r="Q30" s="77"/>
      <c r="R30" s="77"/>
      <c r="S30" s="77"/>
      <c r="T30" s="17"/>
      <c r="U30" s="16">
        <v>0</v>
      </c>
      <c r="V30" s="17"/>
      <c r="W30" s="83"/>
      <c r="X30" s="83"/>
      <c r="Y30" s="83"/>
      <c r="Z30" s="17"/>
      <c r="AA30" s="16">
        <v>0</v>
      </c>
      <c r="AB30" s="17"/>
    </row>
    <row r="31" spans="1:28" ht="15" customHeight="1" x14ac:dyDescent="0.25">
      <c r="A31" s="81"/>
      <c r="B31" s="81"/>
      <c r="C31" s="81"/>
      <c r="D31" s="81"/>
      <c r="E31" s="81"/>
      <c r="F31" s="81"/>
      <c r="G31" s="16"/>
      <c r="H31" s="16">
        <v>0</v>
      </c>
      <c r="I31" s="16"/>
      <c r="J31" s="74"/>
      <c r="K31" s="75"/>
      <c r="L31" s="76"/>
      <c r="M31" s="16"/>
      <c r="N31" s="16">
        <v>0</v>
      </c>
      <c r="O31" s="16"/>
      <c r="P31" s="77"/>
      <c r="Q31" s="77"/>
      <c r="R31" s="77"/>
      <c r="S31" s="77"/>
      <c r="T31" s="17"/>
      <c r="U31" s="16">
        <v>0</v>
      </c>
      <c r="V31" s="17"/>
      <c r="W31" s="83"/>
      <c r="X31" s="83"/>
      <c r="Y31" s="83"/>
      <c r="Z31" s="17"/>
      <c r="AA31" s="16">
        <v>0</v>
      </c>
      <c r="AB31" s="17"/>
    </row>
    <row r="32" spans="1:28" ht="15" customHeight="1" x14ac:dyDescent="0.25">
      <c r="A32" s="81"/>
      <c r="B32" s="81"/>
      <c r="C32" s="81"/>
      <c r="D32" s="81"/>
      <c r="E32" s="81"/>
      <c r="F32" s="81"/>
      <c r="G32" s="16"/>
      <c r="H32" s="16">
        <v>0</v>
      </c>
      <c r="I32" s="16"/>
      <c r="J32" s="74"/>
      <c r="K32" s="75"/>
      <c r="L32" s="76"/>
      <c r="M32" s="16"/>
      <c r="N32" s="16">
        <v>0</v>
      </c>
      <c r="O32" s="16"/>
      <c r="P32" s="77"/>
      <c r="Q32" s="77"/>
      <c r="R32" s="77"/>
      <c r="S32" s="77"/>
      <c r="T32" s="17"/>
      <c r="U32" s="16">
        <v>0</v>
      </c>
      <c r="V32" s="17"/>
      <c r="W32" s="83"/>
      <c r="X32" s="83"/>
      <c r="Y32" s="83"/>
      <c r="Z32" s="17"/>
      <c r="AA32" s="16">
        <v>0</v>
      </c>
      <c r="AB32" s="17"/>
    </row>
    <row r="33" spans="1:28" ht="15" customHeight="1" x14ac:dyDescent="0.25">
      <c r="A33" s="35"/>
      <c r="B33" s="36"/>
      <c r="C33" s="36"/>
      <c r="D33" s="36"/>
      <c r="E33" s="36"/>
      <c r="F33" s="37"/>
      <c r="G33" s="16"/>
      <c r="H33" s="16">
        <v>0</v>
      </c>
      <c r="I33" s="16"/>
      <c r="J33" s="74"/>
      <c r="K33" s="75"/>
      <c r="L33" s="76"/>
      <c r="M33" s="16"/>
      <c r="N33" s="16">
        <v>0</v>
      </c>
      <c r="O33" s="16"/>
      <c r="P33" s="77"/>
      <c r="Q33" s="77"/>
      <c r="R33" s="77"/>
      <c r="S33" s="77"/>
      <c r="T33" s="17"/>
      <c r="U33" s="16">
        <v>0</v>
      </c>
      <c r="V33" s="17"/>
      <c r="W33" s="83"/>
      <c r="X33" s="83"/>
      <c r="Y33" s="83"/>
      <c r="Z33" s="17"/>
      <c r="AA33" s="16">
        <v>0</v>
      </c>
      <c r="AB33" s="17"/>
    </row>
    <row r="34" spans="1:28" ht="15" customHeight="1" x14ac:dyDescent="0.25">
      <c r="A34" s="35"/>
      <c r="B34" s="36"/>
      <c r="C34" s="36"/>
      <c r="D34" s="36"/>
      <c r="E34" s="36"/>
      <c r="F34" s="37"/>
      <c r="G34" s="16"/>
      <c r="H34" s="16">
        <v>0</v>
      </c>
      <c r="I34" s="16"/>
      <c r="J34" s="74"/>
      <c r="K34" s="75"/>
      <c r="L34" s="76"/>
      <c r="M34" s="16"/>
      <c r="N34" s="16">
        <v>0</v>
      </c>
      <c r="O34" s="16"/>
      <c r="P34" s="77"/>
      <c r="Q34" s="77"/>
      <c r="R34" s="77"/>
      <c r="S34" s="77"/>
      <c r="T34" s="17"/>
      <c r="U34" s="16">
        <v>0</v>
      </c>
      <c r="V34" s="17"/>
      <c r="W34" s="83"/>
      <c r="X34" s="83"/>
      <c r="Y34" s="83"/>
      <c r="Z34" s="17"/>
      <c r="AA34" s="16">
        <v>0</v>
      </c>
      <c r="AB34" s="17"/>
    </row>
    <row r="35" spans="1:28" ht="15" customHeight="1" x14ac:dyDescent="0.25">
      <c r="A35" s="35"/>
      <c r="B35" s="36"/>
      <c r="C35" s="36"/>
      <c r="D35" s="36"/>
      <c r="E35" s="36"/>
      <c r="F35" s="37"/>
      <c r="G35" s="16"/>
      <c r="H35" s="16">
        <v>0</v>
      </c>
      <c r="I35" s="16"/>
      <c r="J35" s="74"/>
      <c r="K35" s="75"/>
      <c r="L35" s="76"/>
      <c r="M35" s="16"/>
      <c r="N35" s="16">
        <v>0</v>
      </c>
      <c r="O35" s="16"/>
      <c r="P35" s="77"/>
      <c r="Q35" s="77"/>
      <c r="R35" s="77"/>
      <c r="S35" s="77"/>
      <c r="T35" s="17"/>
      <c r="U35" s="16">
        <v>0</v>
      </c>
      <c r="V35" s="17"/>
      <c r="W35" s="83"/>
      <c r="X35" s="83"/>
      <c r="Y35" s="83"/>
      <c r="Z35" s="17"/>
      <c r="AA35" s="16">
        <v>0</v>
      </c>
      <c r="AB35" s="17"/>
    </row>
    <row r="36" spans="1:28" ht="15" customHeight="1" x14ac:dyDescent="0.25">
      <c r="A36" s="35"/>
      <c r="B36" s="36"/>
      <c r="C36" s="36"/>
      <c r="D36" s="36"/>
      <c r="E36" s="36"/>
      <c r="F36" s="37"/>
      <c r="G36" s="16"/>
      <c r="H36" s="16">
        <v>0</v>
      </c>
      <c r="I36" s="16"/>
      <c r="J36" s="74"/>
      <c r="K36" s="75"/>
      <c r="L36" s="76"/>
      <c r="M36" s="16"/>
      <c r="N36" s="16">
        <v>0</v>
      </c>
      <c r="O36" s="16"/>
      <c r="P36" s="77"/>
      <c r="Q36" s="77"/>
      <c r="R36" s="77"/>
      <c r="S36" s="77"/>
      <c r="T36" s="17"/>
      <c r="U36" s="16">
        <v>0</v>
      </c>
      <c r="V36" s="17"/>
      <c r="W36" s="83"/>
      <c r="X36" s="83"/>
      <c r="Y36" s="83"/>
      <c r="Z36" s="17"/>
      <c r="AA36" s="16">
        <v>0</v>
      </c>
      <c r="AB36" s="17"/>
    </row>
    <row r="37" spans="1:28" ht="15" customHeight="1" x14ac:dyDescent="0.25">
      <c r="A37" s="35" t="s">
        <v>65</v>
      </c>
      <c r="B37" s="36"/>
      <c r="C37" s="36"/>
      <c r="D37" s="36"/>
      <c r="E37" s="36"/>
      <c r="F37" s="37"/>
      <c r="G37" s="16"/>
      <c r="H37" s="16">
        <v>0</v>
      </c>
      <c r="I37" s="16"/>
      <c r="J37" s="74"/>
      <c r="K37" s="75"/>
      <c r="L37" s="76"/>
      <c r="M37" s="16"/>
      <c r="N37" s="16">
        <v>0</v>
      </c>
      <c r="O37" s="16"/>
      <c r="P37" s="77"/>
      <c r="Q37" s="77"/>
      <c r="R37" s="77"/>
      <c r="S37" s="77"/>
      <c r="T37" s="17"/>
      <c r="U37" s="16">
        <v>0</v>
      </c>
      <c r="V37" s="17"/>
      <c r="W37" s="96"/>
      <c r="X37" s="83"/>
      <c r="Y37" s="83"/>
      <c r="Z37" s="17"/>
      <c r="AA37" s="16">
        <v>0</v>
      </c>
      <c r="AB37" s="17"/>
    </row>
    <row r="38" spans="1:28" ht="6" customHeight="1" x14ac:dyDescent="0.25">
      <c r="A38" s="15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</row>
    <row r="39" spans="1:28" ht="27" customHeight="1" x14ac:dyDescent="0.25">
      <c r="A39" s="97"/>
      <c r="B39" s="97"/>
      <c r="C39" s="97"/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/>
      <c r="O39" s="97"/>
      <c r="P39" s="97"/>
      <c r="Q39" s="97"/>
      <c r="R39" s="97"/>
      <c r="S39" s="97"/>
      <c r="T39" s="97"/>
      <c r="U39" s="97"/>
      <c r="W39" s="50" t="s">
        <v>33</v>
      </c>
      <c r="X39" s="50"/>
      <c r="Y39" s="50"/>
      <c r="Z39" s="50"/>
      <c r="AA39" s="50"/>
      <c r="AB39" s="50"/>
    </row>
    <row r="40" spans="1:28" ht="22.5" customHeight="1" x14ac:dyDescent="0.25">
      <c r="A40" s="98">
        <v>0</v>
      </c>
      <c r="B40" s="99"/>
      <c r="C40" s="99"/>
      <c r="D40" s="99"/>
      <c r="E40" s="99"/>
      <c r="F40" s="99"/>
      <c r="G40" s="99"/>
      <c r="H40" s="99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100"/>
      <c r="W40" s="88"/>
      <c r="X40" s="89"/>
      <c r="Y40" s="89"/>
      <c r="Z40" s="89"/>
      <c r="AA40" s="89"/>
      <c r="AB40" s="90"/>
    </row>
    <row r="41" spans="1:28" ht="26.25" customHeight="1" x14ac:dyDescent="0.25">
      <c r="A41" s="101"/>
      <c r="B41" s="102"/>
      <c r="C41" s="102"/>
      <c r="D41" s="102"/>
      <c r="E41" s="102"/>
      <c r="F41" s="102"/>
      <c r="G41" s="102"/>
      <c r="H41" s="102"/>
      <c r="I41" s="102"/>
      <c r="J41" s="102"/>
      <c r="K41" s="102"/>
      <c r="L41" s="102"/>
      <c r="M41" s="102"/>
      <c r="N41" s="102"/>
      <c r="O41" s="102"/>
      <c r="P41" s="102"/>
      <c r="Q41" s="102"/>
      <c r="R41" s="102"/>
      <c r="S41" s="102"/>
      <c r="T41" s="102"/>
      <c r="U41" s="103"/>
      <c r="V41" s="92"/>
      <c r="W41" s="91" t="s">
        <v>28</v>
      </c>
      <c r="X41" s="50"/>
      <c r="Y41" s="50"/>
      <c r="Z41" s="50"/>
      <c r="AA41" s="50"/>
      <c r="AB41" s="50"/>
    </row>
    <row r="42" spans="1:28" ht="22.5" customHeight="1" x14ac:dyDescent="0.25">
      <c r="A42" s="101"/>
      <c r="B42" s="102"/>
      <c r="C42" s="102"/>
      <c r="D42" s="102"/>
      <c r="E42" s="102"/>
      <c r="F42" s="102"/>
      <c r="G42" s="102"/>
      <c r="H42" s="102"/>
      <c r="I42" s="102"/>
      <c r="J42" s="102"/>
      <c r="K42" s="102"/>
      <c r="L42" s="102"/>
      <c r="M42" s="102"/>
      <c r="N42" s="102"/>
      <c r="O42" s="102"/>
      <c r="P42" s="102"/>
      <c r="Q42" s="102"/>
      <c r="R42" s="102"/>
      <c r="S42" s="102"/>
      <c r="T42" s="102"/>
      <c r="U42" s="103"/>
      <c r="V42" s="92"/>
      <c r="W42" s="93"/>
      <c r="X42" s="94"/>
      <c r="Y42" s="94"/>
      <c r="Z42" s="94"/>
      <c r="AA42" s="94"/>
      <c r="AB42" s="95"/>
    </row>
  </sheetData>
  <sheetProtection formatCells="0" insertRows="0" deleteRows="0" selectLockedCells="1" sort="0"/>
  <mergeCells count="142">
    <mergeCell ref="A22:F22"/>
    <mergeCell ref="A21:F21"/>
    <mergeCell ref="W40:AB40"/>
    <mergeCell ref="W41:AB41"/>
    <mergeCell ref="V41:V42"/>
    <mergeCell ref="W42:AB42"/>
    <mergeCell ref="A37:F37"/>
    <mergeCell ref="J37:L37"/>
    <mergeCell ref="P37:S37"/>
    <mergeCell ref="W37:Y37"/>
    <mergeCell ref="A35:F35"/>
    <mergeCell ref="J35:L35"/>
    <mergeCell ref="P35:S35"/>
    <mergeCell ref="W35:Y35"/>
    <mergeCell ref="A36:F36"/>
    <mergeCell ref="J36:L36"/>
    <mergeCell ref="P36:S36"/>
    <mergeCell ref="W36:Y36"/>
    <mergeCell ref="A39:U39"/>
    <mergeCell ref="A40:U42"/>
    <mergeCell ref="W39:AB39"/>
    <mergeCell ref="P28:S28"/>
    <mergeCell ref="W28:Y28"/>
    <mergeCell ref="J29:L29"/>
    <mergeCell ref="P29:S29"/>
    <mergeCell ref="W27:Y27"/>
    <mergeCell ref="J28:L28"/>
    <mergeCell ref="W29:Y29"/>
    <mergeCell ref="J30:L30"/>
    <mergeCell ref="P30:S30"/>
    <mergeCell ref="W30:Y30"/>
    <mergeCell ref="A34:F34"/>
    <mergeCell ref="J34:L34"/>
    <mergeCell ref="P34:S34"/>
    <mergeCell ref="W34:Y34"/>
    <mergeCell ref="J31:L31"/>
    <mergeCell ref="P31:S31"/>
    <mergeCell ref="W31:Y31"/>
    <mergeCell ref="A32:F32"/>
    <mergeCell ref="J32:L32"/>
    <mergeCell ref="P32:S32"/>
    <mergeCell ref="W32:Y32"/>
    <mergeCell ref="A24:F24"/>
    <mergeCell ref="A33:F33"/>
    <mergeCell ref="J33:L33"/>
    <mergeCell ref="P33:S33"/>
    <mergeCell ref="W33:Y33"/>
    <mergeCell ref="R14:V14"/>
    <mergeCell ref="W14:AB14"/>
    <mergeCell ref="A19:F19"/>
    <mergeCell ref="J21:L21"/>
    <mergeCell ref="P21:S21"/>
    <mergeCell ref="W21:Y21"/>
    <mergeCell ref="A31:F31"/>
    <mergeCell ref="J22:L22"/>
    <mergeCell ref="P22:S22"/>
    <mergeCell ref="W22:Y22"/>
    <mergeCell ref="J23:L23"/>
    <mergeCell ref="P23:S23"/>
    <mergeCell ref="W23:Y23"/>
    <mergeCell ref="J24:L24"/>
    <mergeCell ref="P24:S24"/>
    <mergeCell ref="W24:Y24"/>
    <mergeCell ref="J25:L25"/>
    <mergeCell ref="P25:S25"/>
    <mergeCell ref="W25:Y25"/>
    <mergeCell ref="J26:L26"/>
    <mergeCell ref="P26:S26"/>
    <mergeCell ref="W26:Y26"/>
    <mergeCell ref="J27:L27"/>
    <mergeCell ref="P27:S27"/>
    <mergeCell ref="G7:M7"/>
    <mergeCell ref="U7:AB7"/>
    <mergeCell ref="G8:M8"/>
    <mergeCell ref="M14:Q14"/>
    <mergeCell ref="A14:E14"/>
    <mergeCell ref="Z17:AB17"/>
    <mergeCell ref="G14:L14"/>
    <mergeCell ref="J20:L20"/>
    <mergeCell ref="P20:S20"/>
    <mergeCell ref="W20:Y20"/>
    <mergeCell ref="P18:S18"/>
    <mergeCell ref="W18:Y18"/>
    <mergeCell ref="J19:L19"/>
    <mergeCell ref="P19:S19"/>
    <mergeCell ref="W19:Y19"/>
    <mergeCell ref="G17:I17"/>
    <mergeCell ref="J17:L17"/>
    <mergeCell ref="M17:O17"/>
    <mergeCell ref="P17:S17"/>
    <mergeCell ref="T17:V17"/>
    <mergeCell ref="W17:Y17"/>
    <mergeCell ref="A17:F17"/>
    <mergeCell ref="A18:F18"/>
    <mergeCell ref="J18:L18"/>
    <mergeCell ref="A13:E13"/>
    <mergeCell ref="G13:I13"/>
    <mergeCell ref="J13:K13"/>
    <mergeCell ref="A1:A2"/>
    <mergeCell ref="I2:O2"/>
    <mergeCell ref="G4:M4"/>
    <mergeCell ref="N4:T4"/>
    <mergeCell ref="S11:T11"/>
    <mergeCell ref="G5:M5"/>
    <mergeCell ref="N5:T5"/>
    <mergeCell ref="I1:AB1"/>
    <mergeCell ref="A4:F4"/>
    <mergeCell ref="A5:F5"/>
    <mergeCell ref="A6:F6"/>
    <mergeCell ref="A7:F7"/>
    <mergeCell ref="A8:F8"/>
    <mergeCell ref="A9:F9"/>
    <mergeCell ref="U5:W5"/>
    <mergeCell ref="Y5:AB5"/>
    <mergeCell ref="G6:M6"/>
    <mergeCell ref="N6:T6"/>
    <mergeCell ref="Y6:AB6"/>
    <mergeCell ref="G9:M9"/>
    <mergeCell ref="U9:AB9"/>
    <mergeCell ref="A20:F20"/>
    <mergeCell ref="A26:F26"/>
    <mergeCell ref="A27:F27"/>
    <mergeCell ref="A25:F25"/>
    <mergeCell ref="A29:F29"/>
    <mergeCell ref="A23:F23"/>
    <mergeCell ref="U4:AB4"/>
    <mergeCell ref="AA11:AB11"/>
    <mergeCell ref="R13:T13"/>
    <mergeCell ref="U13:V13"/>
    <mergeCell ref="AA13:AB13"/>
    <mergeCell ref="O13:Q13"/>
    <mergeCell ref="N11:R11"/>
    <mergeCell ref="U11:Z11"/>
    <mergeCell ref="L13:N13"/>
    <mergeCell ref="N9:T9"/>
    <mergeCell ref="N8:T8"/>
    <mergeCell ref="N7:T7"/>
    <mergeCell ref="U8:AB8"/>
    <mergeCell ref="U6:W6"/>
    <mergeCell ref="A11:L11"/>
    <mergeCell ref="I12:T12"/>
    <mergeCell ref="W13:Z13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12700</xdr:colOff>
                    <xdr:row>17</xdr:row>
                    <xdr:rowOff>12700</xdr:rowOff>
                  </from>
                  <to>
                    <xdr:col>7</xdr:col>
                    <xdr:colOff>12700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12700</xdr:colOff>
                    <xdr:row>17</xdr:row>
                    <xdr:rowOff>12700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12700</xdr:colOff>
                    <xdr:row>18</xdr:row>
                    <xdr:rowOff>0</xdr:rowOff>
                  </from>
                  <to>
                    <xdr:col>7</xdr:col>
                    <xdr:colOff>12700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7" name="Button 19">
              <controlPr defaultSize="0" print="0" autoFill="0" autoPict="0" macro="[0]!restaH35">
                <anchor moveWithCells="1" sizeWithCells="1">
                  <from>
                    <xdr:col>6</xdr:col>
                    <xdr:colOff>12700</xdr:colOff>
                    <xdr:row>34</xdr:row>
                    <xdr:rowOff>0</xdr:rowOff>
                  </from>
                  <to>
                    <xdr:col>7</xdr:col>
                    <xdr:colOff>12700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8" name="Button 21">
              <controlPr defaultSize="0" print="0" autoFill="0" autoPict="0" macro="[0]!restaH37">
                <anchor moveWithCells="1" sizeWithCells="1">
                  <from>
                    <xdr:col>6</xdr:col>
                    <xdr:colOff>12700</xdr:colOff>
                    <xdr:row>36</xdr:row>
                    <xdr:rowOff>0</xdr:rowOff>
                  </from>
                  <to>
                    <xdr:col>7</xdr:col>
                    <xdr:colOff>12700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9" name="Button 22">
              <controlPr defaultSize="0" print="0" autoFill="0" autoPict="0" macro="[0]!sumaH19">
                <anchor moveWithCells="1" sizeWithCells="1">
                  <from>
                    <xdr:col>8</xdr:col>
                    <xdr:colOff>12700</xdr:colOff>
                    <xdr:row>18</xdr:row>
                    <xdr:rowOff>12700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10" name="Button 23">
              <controlPr defaultSize="0" print="0" autoFill="0" autoPict="0" macro="[0]!sumaH20">
                <anchor moveWithCells="1" sizeWithCells="1">
                  <from>
                    <xdr:col>8</xdr:col>
                    <xdr:colOff>12700</xdr:colOff>
                    <xdr:row>19</xdr:row>
                    <xdr:rowOff>12700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11" name="Button 24">
              <controlPr defaultSize="0" print="0" autoFill="0" autoPict="0" macro="[0]!sumaH21">
                <anchor moveWithCells="1" sizeWithCells="1">
                  <from>
                    <xdr:col>8</xdr:col>
                    <xdr:colOff>12700</xdr:colOff>
                    <xdr:row>20</xdr:row>
                    <xdr:rowOff>12700</xdr:rowOff>
                  </from>
                  <to>
                    <xdr:col>8</xdr:col>
                    <xdr:colOff>317500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2" name="Button 25">
              <controlPr defaultSize="0" print="0" autoFill="0" autoPict="0" macro="[0]!sumaH22">
                <anchor moveWithCells="1" sizeWithCells="1">
                  <from>
                    <xdr:col>8</xdr:col>
                    <xdr:colOff>12700</xdr:colOff>
                    <xdr:row>21</xdr:row>
                    <xdr:rowOff>12700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3" name="Button 26">
              <controlPr defaultSize="0" print="0" autoFill="0" autoPict="0" macro="[0]!sumaH23">
                <anchor moveWithCells="1" sizeWithCells="1">
                  <from>
                    <xdr:col>8</xdr:col>
                    <xdr:colOff>12700</xdr:colOff>
                    <xdr:row>22</xdr:row>
                    <xdr:rowOff>12700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4" name="Button 27">
              <controlPr defaultSize="0" print="0" autoFill="0" autoPict="0" macro="[0]!sumaH24">
                <anchor moveWithCells="1" sizeWithCells="1">
                  <from>
                    <xdr:col>8</xdr:col>
                    <xdr:colOff>12700</xdr:colOff>
                    <xdr:row>23</xdr:row>
                    <xdr:rowOff>12700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5" name="Button 28">
              <controlPr defaultSize="0" print="0" autoFill="0" autoPict="0" macro="[0]!sumaH25">
                <anchor moveWithCells="1" sizeWithCells="1">
                  <from>
                    <xdr:col>8</xdr:col>
                    <xdr:colOff>12700</xdr:colOff>
                    <xdr:row>24</xdr:row>
                    <xdr:rowOff>12700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6" name="Button 29">
              <controlPr defaultSize="0" print="0" autoFill="0" autoPict="0" macro="[0]!sumaH26">
                <anchor moveWithCells="1" sizeWithCells="1">
                  <from>
                    <xdr:col>8</xdr:col>
                    <xdr:colOff>12700</xdr:colOff>
                    <xdr:row>25</xdr:row>
                    <xdr:rowOff>12700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7" name="Button 30">
              <controlPr defaultSize="0" print="0" autoFill="0" autoPict="0" macro="[0]!sumaH27">
                <anchor moveWithCells="1" sizeWithCells="1">
                  <from>
                    <xdr:col>8</xdr:col>
                    <xdr:colOff>12700</xdr:colOff>
                    <xdr:row>26</xdr:row>
                    <xdr:rowOff>12700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8" name="Button 31">
              <controlPr defaultSize="0" print="0" autoFill="0" autoPict="0" macro="[0]!sumaH28">
                <anchor moveWithCells="1" sizeWithCells="1">
                  <from>
                    <xdr:col>8</xdr:col>
                    <xdr:colOff>12700</xdr:colOff>
                    <xdr:row>27</xdr:row>
                    <xdr:rowOff>12700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9" name="Button 32">
              <controlPr defaultSize="0" print="0" autoFill="0" autoPict="0" macro="[0]!sumaH29">
                <anchor moveWithCells="1" sizeWithCells="1">
                  <from>
                    <xdr:col>8</xdr:col>
                    <xdr:colOff>12700</xdr:colOff>
                    <xdr:row>28</xdr:row>
                    <xdr:rowOff>12700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0" name="Button 33">
              <controlPr defaultSize="0" print="0" autoFill="0" autoPict="0" macro="[0]!sumaH30">
                <anchor moveWithCells="1" sizeWithCells="1">
                  <from>
                    <xdr:col>8</xdr:col>
                    <xdr:colOff>12700</xdr:colOff>
                    <xdr:row>29</xdr:row>
                    <xdr:rowOff>12700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1" name="Button 34">
              <controlPr defaultSize="0" print="0" autoFill="0" autoPict="0" macro="[0]!sumaH31">
                <anchor moveWithCells="1" sizeWithCells="1">
                  <from>
                    <xdr:col>8</xdr:col>
                    <xdr:colOff>12700</xdr:colOff>
                    <xdr:row>30</xdr:row>
                    <xdr:rowOff>12700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2" name="Button 35">
              <controlPr defaultSize="0" print="0" autoFill="0" autoPict="0" macro="[0]!sumaH32">
                <anchor moveWithCells="1" sizeWithCells="1">
                  <from>
                    <xdr:col>8</xdr:col>
                    <xdr:colOff>12700</xdr:colOff>
                    <xdr:row>31</xdr:row>
                    <xdr:rowOff>12700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3" name="Button 36">
              <controlPr defaultSize="0" print="0" autoFill="0" autoPict="0" macro="[0]!sumaH33">
                <anchor moveWithCells="1" sizeWithCells="1">
                  <from>
                    <xdr:col>8</xdr:col>
                    <xdr:colOff>12700</xdr:colOff>
                    <xdr:row>32</xdr:row>
                    <xdr:rowOff>12700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24" name="Button 37">
              <controlPr defaultSize="0" print="0" autoFill="0" autoPict="0" macro="[0]!sumaH34">
                <anchor moveWithCells="1" sizeWithCells="1">
                  <from>
                    <xdr:col>8</xdr:col>
                    <xdr:colOff>12700</xdr:colOff>
                    <xdr:row>33</xdr:row>
                    <xdr:rowOff>12700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25" name="Button 38">
              <controlPr defaultSize="0" print="0" autoFill="0" autoPict="0" macro="[0]!sumaH35">
                <anchor moveWithCells="1" sizeWithCells="1">
                  <from>
                    <xdr:col>8</xdr:col>
                    <xdr:colOff>12700</xdr:colOff>
                    <xdr:row>34</xdr:row>
                    <xdr:rowOff>12700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7" r:id="rId26" name="Button 39">
              <controlPr defaultSize="0" print="0" autoFill="0" autoPict="0" macro="[0]!sumaH36">
                <anchor moveWithCells="1" sizeWithCells="1">
                  <from>
                    <xdr:col>8</xdr:col>
                    <xdr:colOff>12700</xdr:colOff>
                    <xdr:row>35</xdr:row>
                    <xdr:rowOff>12700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27" name="Button 40">
              <controlPr defaultSize="0" print="0" autoFill="0" autoPict="0" macro="[0]!sumaH37">
                <anchor moveWithCells="1" sizeWithCells="1">
                  <from>
                    <xdr:col>8</xdr:col>
                    <xdr:colOff>12700</xdr:colOff>
                    <xdr:row>36</xdr:row>
                    <xdr:rowOff>12700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28" name="Button 41">
              <controlPr defaultSize="0" print="0" autoFill="0" autoPict="0" macro="[0]!sumaAA18">
                <anchor moveWithCells="1" sizeWithCells="1">
                  <from>
                    <xdr:col>27</xdr:col>
                    <xdr:colOff>12700</xdr:colOff>
                    <xdr:row>17</xdr:row>
                    <xdr:rowOff>12700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29" name="Button 42">
              <controlPr defaultSize="0" print="0" autoFill="0" autoPict="0" macro="[0]!restan18">
                <anchor moveWithCells="1" sizeWithCells="1">
                  <from>
                    <xdr:col>12</xdr:col>
                    <xdr:colOff>12700</xdr:colOff>
                    <xdr:row>17</xdr:row>
                    <xdr:rowOff>12700</xdr:rowOff>
                  </from>
                  <to>
                    <xdr:col>13</xdr:col>
                    <xdr:colOff>12700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30" name="Button 43">
              <controlPr defaultSize="0" print="0" autoFill="0" autoPict="0" macro="[0]!restaU18">
                <anchor moveWithCells="1" sizeWithCells="1">
                  <from>
                    <xdr:col>19</xdr:col>
                    <xdr:colOff>12700</xdr:colOff>
                    <xdr:row>17</xdr:row>
                    <xdr:rowOff>12700</xdr:rowOff>
                  </from>
                  <to>
                    <xdr:col>20</xdr:col>
                    <xdr:colOff>12700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2" r:id="rId31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12700</xdr:colOff>
                    <xdr:row>17</xdr:row>
                    <xdr:rowOff>12700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3" r:id="rId32" name="Button 45">
              <controlPr defaultSize="0" print="0" autoFill="0" autoPict="0" macro="[0]!sumaH18">
                <anchor moveWithCells="1" sizeWithCells="1">
                  <from>
                    <xdr:col>14</xdr:col>
                    <xdr:colOff>12700</xdr:colOff>
                    <xdr:row>17</xdr:row>
                    <xdr:rowOff>12700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4" r:id="rId33" name="Button 46">
              <controlPr defaultSize="0" print="0" autoFill="0" autoPict="0" macro="[0]!sumaH18">
                <anchor moveWithCells="1" sizeWithCells="1">
                  <from>
                    <xdr:col>21</xdr:col>
                    <xdr:colOff>12700</xdr:colOff>
                    <xdr:row>17</xdr:row>
                    <xdr:rowOff>12700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5" r:id="rId34" name="Button 47">
              <controlPr defaultSize="0" print="0" autoFill="0" autoPict="0" macro="[0]!sumaH19">
                <anchor moveWithCells="1" sizeWithCells="1">
                  <from>
                    <xdr:col>8</xdr:col>
                    <xdr:colOff>12700</xdr:colOff>
                    <xdr:row>18</xdr:row>
                    <xdr:rowOff>12700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6" r:id="rId35" name="Button 48">
              <controlPr defaultSize="0" print="0" autoFill="0" autoPict="0" macro="[0]!sumaH18">
                <anchor moveWithCells="1" sizeWithCells="1">
                  <from>
                    <xdr:col>8</xdr:col>
                    <xdr:colOff>12700</xdr:colOff>
                    <xdr:row>19</xdr:row>
                    <xdr:rowOff>12700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7" r:id="rId36" name="Button 49">
              <controlPr defaultSize="0" print="0" autoFill="0" autoPict="0" macro="[0]!sumaH18">
                <anchor moveWithCells="1" sizeWithCells="1">
                  <from>
                    <xdr:col>8</xdr:col>
                    <xdr:colOff>12700</xdr:colOff>
                    <xdr:row>20</xdr:row>
                    <xdr:rowOff>12700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8" r:id="rId37" name="Button 50">
              <controlPr defaultSize="0" print="0" autoFill="0" autoPict="0" macro="[0]!sumaH18">
                <anchor moveWithCells="1" sizeWithCells="1">
                  <from>
                    <xdr:col>8</xdr:col>
                    <xdr:colOff>12700</xdr:colOff>
                    <xdr:row>21</xdr:row>
                    <xdr:rowOff>12700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" r:id="rId38" name="Button 51">
              <controlPr defaultSize="0" print="0" autoFill="0" autoPict="0" macro="[0]!sumaH18">
                <anchor moveWithCells="1" sizeWithCells="1">
                  <from>
                    <xdr:col>8</xdr:col>
                    <xdr:colOff>12700</xdr:colOff>
                    <xdr:row>22</xdr:row>
                    <xdr:rowOff>12700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0" r:id="rId39" name="Button 52">
              <controlPr defaultSize="0" print="0" autoFill="0" autoPict="0" macro="[0]!sumaH18">
                <anchor moveWithCells="1" sizeWithCells="1">
                  <from>
                    <xdr:col>8</xdr:col>
                    <xdr:colOff>12700</xdr:colOff>
                    <xdr:row>23</xdr:row>
                    <xdr:rowOff>12700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1" r:id="rId40" name="Button 53">
              <controlPr defaultSize="0" print="0" autoFill="0" autoPict="0" macro="[0]!sumaH18">
                <anchor moveWithCells="1" sizeWithCells="1">
                  <from>
                    <xdr:col>8</xdr:col>
                    <xdr:colOff>12700</xdr:colOff>
                    <xdr:row>24</xdr:row>
                    <xdr:rowOff>12700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2" r:id="rId41" name="Button 54">
              <controlPr defaultSize="0" print="0" autoFill="0" autoPict="0" macro="[0]!sumaH18">
                <anchor moveWithCells="1" sizeWithCells="1">
                  <from>
                    <xdr:col>8</xdr:col>
                    <xdr:colOff>12700</xdr:colOff>
                    <xdr:row>25</xdr:row>
                    <xdr:rowOff>12700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3" r:id="rId42" name="Button 55">
              <controlPr defaultSize="0" print="0" autoFill="0" autoPict="0" macro="[0]!sumaH18">
                <anchor moveWithCells="1" sizeWithCells="1">
                  <from>
                    <xdr:col>8</xdr:col>
                    <xdr:colOff>12700</xdr:colOff>
                    <xdr:row>26</xdr:row>
                    <xdr:rowOff>12700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4" r:id="rId43" name="Button 56">
              <controlPr defaultSize="0" print="0" autoFill="0" autoPict="0" macro="[0]!sumaH18">
                <anchor moveWithCells="1" sizeWithCells="1">
                  <from>
                    <xdr:col>8</xdr:col>
                    <xdr:colOff>12700</xdr:colOff>
                    <xdr:row>27</xdr:row>
                    <xdr:rowOff>12700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5" r:id="rId44" name="Button 57">
              <controlPr defaultSize="0" print="0" autoFill="0" autoPict="0" macro="[0]!sumaH18">
                <anchor moveWithCells="1" sizeWithCells="1">
                  <from>
                    <xdr:col>8</xdr:col>
                    <xdr:colOff>12700</xdr:colOff>
                    <xdr:row>28</xdr:row>
                    <xdr:rowOff>12700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6" r:id="rId45" name="Button 58">
              <controlPr defaultSize="0" print="0" autoFill="0" autoPict="0" macro="[0]!sumaH18">
                <anchor moveWithCells="1" sizeWithCells="1">
                  <from>
                    <xdr:col>8</xdr:col>
                    <xdr:colOff>12700</xdr:colOff>
                    <xdr:row>29</xdr:row>
                    <xdr:rowOff>12700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7" r:id="rId46" name="Button 59">
              <controlPr defaultSize="0" print="0" autoFill="0" autoPict="0" macro="[0]!sumaH18">
                <anchor moveWithCells="1" sizeWithCells="1">
                  <from>
                    <xdr:col>8</xdr:col>
                    <xdr:colOff>12700</xdr:colOff>
                    <xdr:row>30</xdr:row>
                    <xdr:rowOff>12700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47" name="Button 60">
              <controlPr defaultSize="0" print="0" autoFill="0" autoPict="0" macro="[0]!sumaH18">
                <anchor moveWithCells="1" sizeWithCells="1">
                  <from>
                    <xdr:col>8</xdr:col>
                    <xdr:colOff>12700</xdr:colOff>
                    <xdr:row>31</xdr:row>
                    <xdr:rowOff>12700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" r:id="rId48" name="Button 61">
              <controlPr defaultSize="0" print="0" autoFill="0" autoPict="0" macro="[0]!sumaH18">
                <anchor moveWithCells="1" sizeWithCells="1">
                  <from>
                    <xdr:col>8</xdr:col>
                    <xdr:colOff>12700</xdr:colOff>
                    <xdr:row>32</xdr:row>
                    <xdr:rowOff>12700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0" r:id="rId49" name="Button 62">
              <controlPr defaultSize="0" print="0" autoFill="0" autoPict="0" macro="[0]!sumaH18">
                <anchor moveWithCells="1" sizeWithCells="1">
                  <from>
                    <xdr:col>8</xdr:col>
                    <xdr:colOff>12700</xdr:colOff>
                    <xdr:row>33</xdr:row>
                    <xdr:rowOff>12700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50" name="Button 63">
              <controlPr defaultSize="0" print="0" autoFill="0" autoPict="0" macro="[0]!sumaH18">
                <anchor moveWithCells="1" sizeWithCells="1">
                  <from>
                    <xdr:col>8</xdr:col>
                    <xdr:colOff>12700</xdr:colOff>
                    <xdr:row>34</xdr:row>
                    <xdr:rowOff>12700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51" name="Button 64">
              <controlPr defaultSize="0" print="0" autoFill="0" autoPict="0" macro="[0]!sumaH18">
                <anchor moveWithCells="1" sizeWithCells="1">
                  <from>
                    <xdr:col>8</xdr:col>
                    <xdr:colOff>12700</xdr:colOff>
                    <xdr:row>35</xdr:row>
                    <xdr:rowOff>12700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52" name="Button 65">
              <controlPr defaultSize="0" print="0" autoFill="0" autoPict="0" macro="[0]!sumaH18">
                <anchor moveWithCells="1" sizeWithCells="1">
                  <from>
                    <xdr:col>8</xdr:col>
                    <xdr:colOff>12700</xdr:colOff>
                    <xdr:row>36</xdr:row>
                    <xdr:rowOff>12700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53" name="Button 66">
              <controlPr defaultSize="0" print="0" autoFill="0" autoPict="0" macro="[0]!sumaH18">
                <anchor moveWithCells="1" sizeWithCells="1">
                  <from>
                    <xdr:col>14</xdr:col>
                    <xdr:colOff>12700</xdr:colOff>
                    <xdr:row>18</xdr:row>
                    <xdr:rowOff>12700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54" name="Button 67">
              <controlPr defaultSize="0" print="0" autoFill="0" autoPict="0" macro="[0]!sumaH18">
                <anchor moveWithCells="1" sizeWithCells="1">
                  <from>
                    <xdr:col>14</xdr:col>
                    <xdr:colOff>12700</xdr:colOff>
                    <xdr:row>19</xdr:row>
                    <xdr:rowOff>12700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55" name="Button 68">
              <controlPr defaultSize="0" print="0" autoFill="0" autoPict="0" macro="[0]!sumaH18">
                <anchor moveWithCells="1" sizeWithCells="1">
                  <from>
                    <xdr:col>14</xdr:col>
                    <xdr:colOff>12700</xdr:colOff>
                    <xdr:row>20</xdr:row>
                    <xdr:rowOff>12700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56" name="Button 69">
              <controlPr defaultSize="0" print="0" autoFill="0" autoPict="0" macro="[0]!sumaH18">
                <anchor moveWithCells="1" sizeWithCells="1">
                  <from>
                    <xdr:col>14</xdr:col>
                    <xdr:colOff>12700</xdr:colOff>
                    <xdr:row>21</xdr:row>
                    <xdr:rowOff>12700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57" name="Button 70">
              <controlPr defaultSize="0" print="0" autoFill="0" autoPict="0" macro="[0]!sumaH18">
                <anchor moveWithCells="1" sizeWithCells="1">
                  <from>
                    <xdr:col>14</xdr:col>
                    <xdr:colOff>12700</xdr:colOff>
                    <xdr:row>22</xdr:row>
                    <xdr:rowOff>12700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58" name="Button 71">
              <controlPr defaultSize="0" print="0" autoFill="0" autoPict="0" macro="[0]!sumaH18">
                <anchor moveWithCells="1" sizeWithCells="1">
                  <from>
                    <xdr:col>14</xdr:col>
                    <xdr:colOff>12700</xdr:colOff>
                    <xdr:row>23</xdr:row>
                    <xdr:rowOff>12700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59" name="Button 72">
              <controlPr defaultSize="0" print="0" autoFill="0" autoPict="0" macro="[0]!sumaH18">
                <anchor moveWithCells="1" sizeWithCells="1">
                  <from>
                    <xdr:col>14</xdr:col>
                    <xdr:colOff>12700</xdr:colOff>
                    <xdr:row>24</xdr:row>
                    <xdr:rowOff>12700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60" name="Button 73">
              <controlPr defaultSize="0" print="0" autoFill="0" autoPict="0" macro="[0]!sumaH18">
                <anchor moveWithCells="1" sizeWithCells="1">
                  <from>
                    <xdr:col>14</xdr:col>
                    <xdr:colOff>12700</xdr:colOff>
                    <xdr:row>25</xdr:row>
                    <xdr:rowOff>12700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61" name="Button 74">
              <controlPr defaultSize="0" print="0" autoFill="0" autoPict="0" macro="[0]!sumaH18">
                <anchor moveWithCells="1" sizeWithCells="1">
                  <from>
                    <xdr:col>14</xdr:col>
                    <xdr:colOff>12700</xdr:colOff>
                    <xdr:row>26</xdr:row>
                    <xdr:rowOff>12700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62" name="Button 75">
              <controlPr defaultSize="0" print="0" autoFill="0" autoPict="0" macro="[0]!sumaH18">
                <anchor moveWithCells="1" sizeWithCells="1">
                  <from>
                    <xdr:col>14</xdr:col>
                    <xdr:colOff>12700</xdr:colOff>
                    <xdr:row>18</xdr:row>
                    <xdr:rowOff>12700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63" name="Button 76">
              <controlPr defaultSize="0" print="0" autoFill="0" autoPict="0" macro="[0]!sumaH18">
                <anchor moveWithCells="1" sizeWithCells="1">
                  <from>
                    <xdr:col>14</xdr:col>
                    <xdr:colOff>12700</xdr:colOff>
                    <xdr:row>18</xdr:row>
                    <xdr:rowOff>12700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64" name="Button 77">
              <controlPr defaultSize="0" print="0" autoFill="0" autoPict="0" macro="[0]!sumaH20">
                <anchor moveWithCells="1" sizeWithCells="1">
                  <from>
                    <xdr:col>8</xdr:col>
                    <xdr:colOff>12700</xdr:colOff>
                    <xdr:row>19</xdr:row>
                    <xdr:rowOff>12700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65" name="Button 78">
              <controlPr defaultSize="0" print="0" autoFill="0" autoPict="0" macro="[0]!sumaH21">
                <anchor moveWithCells="1" sizeWithCells="1">
                  <from>
                    <xdr:col>8</xdr:col>
                    <xdr:colOff>12700</xdr:colOff>
                    <xdr:row>20</xdr:row>
                    <xdr:rowOff>12700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66" name="Button 79">
              <controlPr defaultSize="0" print="0" autoFill="0" autoPict="0" macro="[0]!sumaH22">
                <anchor moveWithCells="1" sizeWithCells="1">
                  <from>
                    <xdr:col>8</xdr:col>
                    <xdr:colOff>12700</xdr:colOff>
                    <xdr:row>21</xdr:row>
                    <xdr:rowOff>12700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67" name="Button 80">
              <controlPr defaultSize="0" print="0" autoFill="0" autoPict="0" macro="[0]!sumaH23">
                <anchor moveWithCells="1" sizeWithCells="1">
                  <from>
                    <xdr:col>8</xdr:col>
                    <xdr:colOff>12700</xdr:colOff>
                    <xdr:row>22</xdr:row>
                    <xdr:rowOff>12700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68" name="Button 81">
              <controlPr defaultSize="0" print="0" autoFill="0" autoPict="0" macro="[0]!sumaH24">
                <anchor moveWithCells="1" sizeWithCells="1">
                  <from>
                    <xdr:col>8</xdr:col>
                    <xdr:colOff>12700</xdr:colOff>
                    <xdr:row>23</xdr:row>
                    <xdr:rowOff>12700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69" name="Button 82">
              <controlPr defaultSize="0" print="0" autoFill="0" autoPict="0" macro="[0]!sumaH25">
                <anchor moveWithCells="1" sizeWithCells="1">
                  <from>
                    <xdr:col>8</xdr:col>
                    <xdr:colOff>12700</xdr:colOff>
                    <xdr:row>24</xdr:row>
                    <xdr:rowOff>12700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70" name="Button 83">
              <controlPr defaultSize="0" print="0" autoFill="0" autoPict="0" macro="[0]!sumaH26">
                <anchor moveWithCells="1" sizeWithCells="1">
                  <from>
                    <xdr:col>8</xdr:col>
                    <xdr:colOff>12700</xdr:colOff>
                    <xdr:row>25</xdr:row>
                    <xdr:rowOff>12700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71" name="Button 84">
              <controlPr defaultSize="0" print="0" autoFill="0" autoPict="0" macro="[0]!sumaH27">
                <anchor moveWithCells="1" sizeWithCells="1">
                  <from>
                    <xdr:col>8</xdr:col>
                    <xdr:colOff>12700</xdr:colOff>
                    <xdr:row>26</xdr:row>
                    <xdr:rowOff>12700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72" name="Button 85">
              <controlPr defaultSize="0" print="0" autoFill="0" autoPict="0" macro="[0]!sumaH28">
                <anchor moveWithCells="1" sizeWithCells="1">
                  <from>
                    <xdr:col>8</xdr:col>
                    <xdr:colOff>12700</xdr:colOff>
                    <xdr:row>27</xdr:row>
                    <xdr:rowOff>12700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73" name="Button 86">
              <controlPr defaultSize="0" print="0" autoFill="0" autoPict="0" macro="[0]!sumaH29">
                <anchor moveWithCells="1" sizeWithCells="1">
                  <from>
                    <xdr:col>8</xdr:col>
                    <xdr:colOff>12700</xdr:colOff>
                    <xdr:row>28</xdr:row>
                    <xdr:rowOff>12700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74" name="Button 87">
              <controlPr defaultSize="0" print="0" autoFill="0" autoPict="0" macro="[0]!sumaH30">
                <anchor moveWithCells="1" sizeWithCells="1">
                  <from>
                    <xdr:col>8</xdr:col>
                    <xdr:colOff>12700</xdr:colOff>
                    <xdr:row>29</xdr:row>
                    <xdr:rowOff>12700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6" r:id="rId75" name="Button 88">
              <controlPr defaultSize="0" print="0" autoFill="0" autoPict="0" macro="[0]!sumaH31">
                <anchor moveWithCells="1" sizeWithCells="1">
                  <from>
                    <xdr:col>8</xdr:col>
                    <xdr:colOff>12700</xdr:colOff>
                    <xdr:row>30</xdr:row>
                    <xdr:rowOff>12700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7" r:id="rId76" name="Button 89">
              <controlPr defaultSize="0" print="0" autoFill="0" autoPict="0" macro="[0]!sumaH32">
                <anchor moveWithCells="1" sizeWithCells="1">
                  <from>
                    <xdr:col>8</xdr:col>
                    <xdr:colOff>12700</xdr:colOff>
                    <xdr:row>31</xdr:row>
                    <xdr:rowOff>12700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8" r:id="rId77" name="Button 90">
              <controlPr defaultSize="0" print="0" autoFill="0" autoPict="0" macro="[0]!sumaH33">
                <anchor moveWithCells="1" sizeWithCells="1">
                  <from>
                    <xdr:col>8</xdr:col>
                    <xdr:colOff>12700</xdr:colOff>
                    <xdr:row>32</xdr:row>
                    <xdr:rowOff>12700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9" r:id="rId78" name="Button 91">
              <controlPr defaultSize="0" print="0" autoFill="0" autoPict="0" macro="[0]!sumaH34">
                <anchor moveWithCells="1" sizeWithCells="1">
                  <from>
                    <xdr:col>8</xdr:col>
                    <xdr:colOff>12700</xdr:colOff>
                    <xdr:row>33</xdr:row>
                    <xdr:rowOff>12700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" r:id="rId79" name="Button 92">
              <controlPr defaultSize="0" print="0" autoFill="0" autoPict="0" macro="[0]!sumaH35">
                <anchor moveWithCells="1" sizeWithCells="1">
                  <from>
                    <xdr:col>8</xdr:col>
                    <xdr:colOff>12700</xdr:colOff>
                    <xdr:row>34</xdr:row>
                    <xdr:rowOff>12700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1" r:id="rId80" name="Button 93">
              <controlPr defaultSize="0" print="0" autoFill="0" autoPict="0" macro="[0]!sumaH36">
                <anchor moveWithCells="1" sizeWithCells="1">
                  <from>
                    <xdr:col>8</xdr:col>
                    <xdr:colOff>12700</xdr:colOff>
                    <xdr:row>35</xdr:row>
                    <xdr:rowOff>12700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2" r:id="rId81" name="Button 94">
              <controlPr defaultSize="0" print="0" autoFill="0" autoPict="0" macro="[0]!sumaH37">
                <anchor moveWithCells="1" sizeWithCells="1">
                  <from>
                    <xdr:col>8</xdr:col>
                    <xdr:colOff>12700</xdr:colOff>
                    <xdr:row>36</xdr:row>
                    <xdr:rowOff>12700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3" r:id="rId82" name="Button 95">
              <controlPr defaultSize="0" print="0" autoFill="0" autoPict="0" macro="[0]!sumaN18">
                <anchor moveWithCells="1" sizeWithCells="1">
                  <from>
                    <xdr:col>14</xdr:col>
                    <xdr:colOff>12700</xdr:colOff>
                    <xdr:row>17</xdr:row>
                    <xdr:rowOff>12700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4" r:id="rId83" name="Button 96">
              <controlPr defaultSize="0" print="0" autoFill="0" autoPict="0" macro="[0]!sumaN19">
                <anchor moveWithCells="1" sizeWithCells="1">
                  <from>
                    <xdr:col>14</xdr:col>
                    <xdr:colOff>12700</xdr:colOff>
                    <xdr:row>18</xdr:row>
                    <xdr:rowOff>12700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5" r:id="rId84" name="Button 97">
              <controlPr defaultSize="0" print="0" autoFill="0" autoPict="0" macro="[0]!sumaN20">
                <anchor moveWithCells="1" sizeWithCells="1">
                  <from>
                    <xdr:col>14</xdr:col>
                    <xdr:colOff>12700</xdr:colOff>
                    <xdr:row>19</xdr:row>
                    <xdr:rowOff>12700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6" r:id="rId85" name="Button 98">
              <controlPr defaultSize="0" print="0" autoFill="0" autoPict="0" macro="[0]!sumaN21">
                <anchor moveWithCells="1" sizeWithCells="1">
                  <from>
                    <xdr:col>14</xdr:col>
                    <xdr:colOff>12700</xdr:colOff>
                    <xdr:row>20</xdr:row>
                    <xdr:rowOff>12700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7" r:id="rId86" name="Button 99">
              <controlPr defaultSize="0" print="0" autoFill="0" autoPict="0" macro="[0]!sumaN22">
                <anchor moveWithCells="1" sizeWithCells="1">
                  <from>
                    <xdr:col>14</xdr:col>
                    <xdr:colOff>12700</xdr:colOff>
                    <xdr:row>21</xdr:row>
                    <xdr:rowOff>12700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" r:id="rId87" name="Button 100">
              <controlPr defaultSize="0" print="0" autoFill="0" autoPict="0" macro="[0]!sumaN23">
                <anchor moveWithCells="1" sizeWithCells="1">
                  <from>
                    <xdr:col>14</xdr:col>
                    <xdr:colOff>12700</xdr:colOff>
                    <xdr:row>22</xdr:row>
                    <xdr:rowOff>12700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" r:id="rId88" name="Button 101">
              <controlPr defaultSize="0" print="0" autoFill="0" autoPict="0" macro="[0]!sumaN24">
                <anchor moveWithCells="1" sizeWithCells="1">
                  <from>
                    <xdr:col>14</xdr:col>
                    <xdr:colOff>12700</xdr:colOff>
                    <xdr:row>23</xdr:row>
                    <xdr:rowOff>12700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" r:id="rId89" name="Button 102">
              <controlPr defaultSize="0" print="0" autoFill="0" autoPict="0" macro="[0]!sumaN25">
                <anchor moveWithCells="1" sizeWithCells="1">
                  <from>
                    <xdr:col>14</xdr:col>
                    <xdr:colOff>12700</xdr:colOff>
                    <xdr:row>24</xdr:row>
                    <xdr:rowOff>12700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" r:id="rId90" name="Button 103">
              <controlPr defaultSize="0" print="0" autoFill="0" autoPict="0" macro="[0]!sumaN26">
                <anchor moveWithCells="1" sizeWithCells="1">
                  <from>
                    <xdr:col>14</xdr:col>
                    <xdr:colOff>12700</xdr:colOff>
                    <xdr:row>25</xdr:row>
                    <xdr:rowOff>12700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" r:id="rId91" name="Button 104">
              <controlPr defaultSize="0" print="0" autoFill="0" autoPict="0" macro="[0]!sumaN27">
                <anchor moveWithCells="1" sizeWithCells="1">
                  <from>
                    <xdr:col>14</xdr:col>
                    <xdr:colOff>12700</xdr:colOff>
                    <xdr:row>26</xdr:row>
                    <xdr:rowOff>12700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" r:id="rId92" name="Button 105">
              <controlPr defaultSize="0" print="0" autoFill="0" autoPict="0" macro="[0]!sumaN28">
                <anchor moveWithCells="1" sizeWithCells="1">
                  <from>
                    <xdr:col>14</xdr:col>
                    <xdr:colOff>12700</xdr:colOff>
                    <xdr:row>27</xdr:row>
                    <xdr:rowOff>12700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" r:id="rId93" name="Button 106">
              <controlPr defaultSize="0" print="0" autoFill="0" autoPict="0" macro="[0]!sumaN29">
                <anchor moveWithCells="1" sizeWithCells="1">
                  <from>
                    <xdr:col>14</xdr:col>
                    <xdr:colOff>12700</xdr:colOff>
                    <xdr:row>28</xdr:row>
                    <xdr:rowOff>12700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5" r:id="rId94" name="Button 107">
              <controlPr defaultSize="0" print="0" autoFill="0" autoPict="0" macro="[0]!sumaN30">
                <anchor moveWithCells="1" sizeWithCells="1">
                  <from>
                    <xdr:col>14</xdr:col>
                    <xdr:colOff>12700</xdr:colOff>
                    <xdr:row>29</xdr:row>
                    <xdr:rowOff>12700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6" r:id="rId95" name="Button 108">
              <controlPr defaultSize="0" print="0" autoFill="0" autoPict="0" macro="[0]!sumaN31">
                <anchor moveWithCells="1" sizeWithCells="1">
                  <from>
                    <xdr:col>14</xdr:col>
                    <xdr:colOff>12700</xdr:colOff>
                    <xdr:row>30</xdr:row>
                    <xdr:rowOff>12700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7" r:id="rId96" name="Button 109">
              <controlPr defaultSize="0" print="0" autoFill="0" autoPict="0" macro="[0]!sumaN32">
                <anchor moveWithCells="1" sizeWithCells="1">
                  <from>
                    <xdr:col>14</xdr:col>
                    <xdr:colOff>12700</xdr:colOff>
                    <xdr:row>31</xdr:row>
                    <xdr:rowOff>12700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8" r:id="rId97" name="Button 110">
              <controlPr defaultSize="0" print="0" autoFill="0" autoPict="0" macro="[0]!sumaN33">
                <anchor moveWithCells="1" sizeWithCells="1">
                  <from>
                    <xdr:col>14</xdr:col>
                    <xdr:colOff>12700</xdr:colOff>
                    <xdr:row>32</xdr:row>
                    <xdr:rowOff>12700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9" r:id="rId98" name="Button 111">
              <controlPr defaultSize="0" print="0" autoFill="0" autoPict="0" macro="[0]!sumaN34">
                <anchor moveWithCells="1" sizeWithCells="1">
                  <from>
                    <xdr:col>14</xdr:col>
                    <xdr:colOff>12700</xdr:colOff>
                    <xdr:row>33</xdr:row>
                    <xdr:rowOff>12700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" r:id="rId99" name="Button 112">
              <controlPr defaultSize="0" print="0" autoFill="0" autoPict="0" macro="[0]!sumaN35">
                <anchor moveWithCells="1" sizeWithCells="1">
                  <from>
                    <xdr:col>14</xdr:col>
                    <xdr:colOff>12700</xdr:colOff>
                    <xdr:row>34</xdr:row>
                    <xdr:rowOff>12700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" r:id="rId100" name="Button 113">
              <controlPr defaultSize="0" print="0" autoFill="0" autoPict="0" macro="[0]!sumaN36">
                <anchor moveWithCells="1" sizeWithCells="1">
                  <from>
                    <xdr:col>14</xdr:col>
                    <xdr:colOff>12700</xdr:colOff>
                    <xdr:row>35</xdr:row>
                    <xdr:rowOff>12700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2" r:id="rId101" name="Button 114">
              <controlPr defaultSize="0" print="0" autoFill="0" autoPict="0" macro="[0]!sumaN37">
                <anchor moveWithCells="1" sizeWithCells="1">
                  <from>
                    <xdr:col>14</xdr:col>
                    <xdr:colOff>12700</xdr:colOff>
                    <xdr:row>36</xdr:row>
                    <xdr:rowOff>12700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3" r:id="rId102" name="Button 115">
              <controlPr defaultSize="0" print="0" autoFill="0" autoPict="0" macro="[0]!sumaU18">
                <anchor moveWithCells="1" sizeWithCells="1">
                  <from>
                    <xdr:col>21</xdr:col>
                    <xdr:colOff>12700</xdr:colOff>
                    <xdr:row>17</xdr:row>
                    <xdr:rowOff>12700</xdr:rowOff>
                  </from>
                  <to>
                    <xdr:col>21</xdr:col>
                    <xdr:colOff>298450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4" r:id="rId103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12700</xdr:colOff>
                    <xdr:row>18</xdr:row>
                    <xdr:rowOff>0</xdr:rowOff>
                  </from>
                  <to>
                    <xdr:col>25</xdr:col>
                    <xdr:colOff>374650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" r:id="rId104" name="Button 117">
              <controlPr defaultSize="0" print="0" autoFill="0" autoPict="0" macro="[0]!sumaU19">
                <anchor moveWithCells="1" sizeWithCells="1">
                  <from>
                    <xdr:col>21</xdr:col>
                    <xdr:colOff>12700</xdr:colOff>
                    <xdr:row>18</xdr:row>
                    <xdr:rowOff>12700</xdr:rowOff>
                  </from>
                  <to>
                    <xdr:col>21</xdr:col>
                    <xdr:colOff>298450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105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12700</xdr:colOff>
                    <xdr:row>19</xdr:row>
                    <xdr:rowOff>0</xdr:rowOff>
                  </from>
                  <to>
                    <xdr:col>25</xdr:col>
                    <xdr:colOff>374650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106" name="Button 119">
              <controlPr defaultSize="0" print="0" autoFill="0" autoPict="0" macro="[0]!sumaH18">
                <anchor moveWithCells="1" sizeWithCells="1">
                  <from>
                    <xdr:col>21</xdr:col>
                    <xdr:colOff>12700</xdr:colOff>
                    <xdr:row>19</xdr:row>
                    <xdr:rowOff>12700</xdr:rowOff>
                  </from>
                  <to>
                    <xdr:col>21</xdr:col>
                    <xdr:colOff>298450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107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12700</xdr:colOff>
                    <xdr:row>19</xdr:row>
                    <xdr:rowOff>0</xdr:rowOff>
                  </from>
                  <to>
                    <xdr:col>25</xdr:col>
                    <xdr:colOff>374650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108" name="Button 121">
              <controlPr defaultSize="0" print="0" autoFill="0" autoPict="0" macro="[0]!sumaU20">
                <anchor moveWithCells="1" sizeWithCells="1">
                  <from>
                    <xdr:col>21</xdr:col>
                    <xdr:colOff>12700</xdr:colOff>
                    <xdr:row>19</xdr:row>
                    <xdr:rowOff>12700</xdr:rowOff>
                  </from>
                  <to>
                    <xdr:col>21</xdr:col>
                    <xdr:colOff>298450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109" name="Button 122">
              <controlPr defaultSize="0" print="0" autoFill="0" autoPict="0" macro="[0]!sumaU21">
                <anchor moveWithCells="1" sizeWithCells="1">
                  <from>
                    <xdr:col>21</xdr:col>
                    <xdr:colOff>12700</xdr:colOff>
                    <xdr:row>20</xdr:row>
                    <xdr:rowOff>12700</xdr:rowOff>
                  </from>
                  <to>
                    <xdr:col>21</xdr:col>
                    <xdr:colOff>298450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110" name="Button 123">
              <controlPr defaultSize="0" print="0" autoFill="0" autoPict="0" macro="[0]!sumaU22">
                <anchor moveWithCells="1" sizeWithCells="1">
                  <from>
                    <xdr:col>21</xdr:col>
                    <xdr:colOff>12700</xdr:colOff>
                    <xdr:row>21</xdr:row>
                    <xdr:rowOff>12700</xdr:rowOff>
                  </from>
                  <to>
                    <xdr:col>21</xdr:col>
                    <xdr:colOff>298450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111" name="Button 124">
              <controlPr defaultSize="0" print="0" autoFill="0" autoPict="0" macro="[0]!sumaU23">
                <anchor moveWithCells="1" sizeWithCells="1">
                  <from>
                    <xdr:col>21</xdr:col>
                    <xdr:colOff>12700</xdr:colOff>
                    <xdr:row>22</xdr:row>
                    <xdr:rowOff>12700</xdr:rowOff>
                  </from>
                  <to>
                    <xdr:col>21</xdr:col>
                    <xdr:colOff>298450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112" name="Button 125">
              <controlPr defaultSize="0" print="0" autoFill="0" autoPict="0" macro="[0]!sumaU24">
                <anchor moveWithCells="1" sizeWithCells="1">
                  <from>
                    <xdr:col>21</xdr:col>
                    <xdr:colOff>12700</xdr:colOff>
                    <xdr:row>23</xdr:row>
                    <xdr:rowOff>12700</xdr:rowOff>
                  </from>
                  <to>
                    <xdr:col>21</xdr:col>
                    <xdr:colOff>298450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113" name="Button 126">
              <controlPr defaultSize="0" print="0" autoFill="0" autoPict="0" macro="[0]!sumaU25">
                <anchor moveWithCells="1" sizeWithCells="1">
                  <from>
                    <xdr:col>21</xdr:col>
                    <xdr:colOff>12700</xdr:colOff>
                    <xdr:row>24</xdr:row>
                    <xdr:rowOff>12700</xdr:rowOff>
                  </from>
                  <to>
                    <xdr:col>21</xdr:col>
                    <xdr:colOff>298450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114" name="Button 127">
              <controlPr defaultSize="0" print="0" autoFill="0" autoPict="0" macro="[0]!sumaU26">
                <anchor moveWithCells="1" sizeWithCells="1">
                  <from>
                    <xdr:col>21</xdr:col>
                    <xdr:colOff>12700</xdr:colOff>
                    <xdr:row>25</xdr:row>
                    <xdr:rowOff>12700</xdr:rowOff>
                  </from>
                  <to>
                    <xdr:col>21</xdr:col>
                    <xdr:colOff>298450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115" name="Button 128">
              <controlPr defaultSize="0" print="0" autoFill="0" autoPict="0" macro="[0]!sumaU27">
                <anchor moveWithCells="1" sizeWithCells="1">
                  <from>
                    <xdr:col>21</xdr:col>
                    <xdr:colOff>12700</xdr:colOff>
                    <xdr:row>26</xdr:row>
                    <xdr:rowOff>12700</xdr:rowOff>
                  </from>
                  <to>
                    <xdr:col>21</xdr:col>
                    <xdr:colOff>298450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116" name="Button 129">
              <controlPr defaultSize="0" print="0" autoFill="0" autoPict="0" macro="[0]!sumaU28">
                <anchor moveWithCells="1" sizeWithCells="1">
                  <from>
                    <xdr:col>21</xdr:col>
                    <xdr:colOff>12700</xdr:colOff>
                    <xdr:row>27</xdr:row>
                    <xdr:rowOff>12700</xdr:rowOff>
                  </from>
                  <to>
                    <xdr:col>21</xdr:col>
                    <xdr:colOff>298450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117" name="Button 130">
              <controlPr defaultSize="0" print="0" autoFill="0" autoPict="0" macro="[0]!sumaU29">
                <anchor moveWithCells="1" sizeWithCells="1">
                  <from>
                    <xdr:col>21</xdr:col>
                    <xdr:colOff>12700</xdr:colOff>
                    <xdr:row>28</xdr:row>
                    <xdr:rowOff>12700</xdr:rowOff>
                  </from>
                  <to>
                    <xdr:col>21</xdr:col>
                    <xdr:colOff>298450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118" name="Button 131">
              <controlPr defaultSize="0" print="0" autoFill="0" autoPict="0" macro="[0]!sumaU30">
                <anchor moveWithCells="1" sizeWithCells="1">
                  <from>
                    <xdr:col>21</xdr:col>
                    <xdr:colOff>12700</xdr:colOff>
                    <xdr:row>29</xdr:row>
                    <xdr:rowOff>12700</xdr:rowOff>
                  </from>
                  <to>
                    <xdr:col>21</xdr:col>
                    <xdr:colOff>298450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119" name="Button 132">
              <controlPr defaultSize="0" print="0" autoFill="0" autoPict="0" macro="[0]!sumaU31">
                <anchor moveWithCells="1" sizeWithCells="1">
                  <from>
                    <xdr:col>21</xdr:col>
                    <xdr:colOff>12700</xdr:colOff>
                    <xdr:row>30</xdr:row>
                    <xdr:rowOff>12700</xdr:rowOff>
                  </from>
                  <to>
                    <xdr:col>21</xdr:col>
                    <xdr:colOff>298450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120" name="Button 133">
              <controlPr defaultSize="0" print="0" autoFill="0" autoPict="0" macro="[0]!sumaU32">
                <anchor moveWithCells="1" sizeWithCells="1">
                  <from>
                    <xdr:col>21</xdr:col>
                    <xdr:colOff>12700</xdr:colOff>
                    <xdr:row>31</xdr:row>
                    <xdr:rowOff>12700</xdr:rowOff>
                  </from>
                  <to>
                    <xdr:col>21</xdr:col>
                    <xdr:colOff>298450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121" name="Button 134">
              <controlPr defaultSize="0" print="0" autoFill="0" autoPict="0" macro="[0]!sumaU33">
                <anchor moveWithCells="1" sizeWithCells="1">
                  <from>
                    <xdr:col>21</xdr:col>
                    <xdr:colOff>12700</xdr:colOff>
                    <xdr:row>32</xdr:row>
                    <xdr:rowOff>12700</xdr:rowOff>
                  </from>
                  <to>
                    <xdr:col>21</xdr:col>
                    <xdr:colOff>298450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122" name="Button 135">
              <controlPr defaultSize="0" print="0" autoFill="0" autoPict="0" macro="[0]!sumaU34">
                <anchor moveWithCells="1" sizeWithCells="1">
                  <from>
                    <xdr:col>21</xdr:col>
                    <xdr:colOff>12700</xdr:colOff>
                    <xdr:row>33</xdr:row>
                    <xdr:rowOff>12700</xdr:rowOff>
                  </from>
                  <to>
                    <xdr:col>21</xdr:col>
                    <xdr:colOff>298450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123" name="Button 136">
              <controlPr defaultSize="0" print="0" autoFill="0" autoPict="0" macro="[0]!sumaU35">
                <anchor moveWithCells="1" sizeWithCells="1">
                  <from>
                    <xdr:col>21</xdr:col>
                    <xdr:colOff>12700</xdr:colOff>
                    <xdr:row>34</xdr:row>
                    <xdr:rowOff>12700</xdr:rowOff>
                  </from>
                  <to>
                    <xdr:col>21</xdr:col>
                    <xdr:colOff>298450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124" name="Button 137">
              <controlPr defaultSize="0" print="0" autoFill="0" autoPict="0" macro="[0]!sumaU36">
                <anchor moveWithCells="1" sizeWithCells="1">
                  <from>
                    <xdr:col>21</xdr:col>
                    <xdr:colOff>12700</xdr:colOff>
                    <xdr:row>35</xdr:row>
                    <xdr:rowOff>12700</xdr:rowOff>
                  </from>
                  <to>
                    <xdr:col>21</xdr:col>
                    <xdr:colOff>298450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125" name="Button 138">
              <controlPr defaultSize="0" print="0" autoFill="0" autoPict="0" macro="[0]!sumaU37">
                <anchor moveWithCells="1" sizeWithCells="1">
                  <from>
                    <xdr:col>21</xdr:col>
                    <xdr:colOff>12700</xdr:colOff>
                    <xdr:row>36</xdr:row>
                    <xdr:rowOff>12700</xdr:rowOff>
                  </from>
                  <to>
                    <xdr:col>21</xdr:col>
                    <xdr:colOff>298450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126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127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12700</xdr:colOff>
                    <xdr:row>19</xdr:row>
                    <xdr:rowOff>12700</xdr:rowOff>
                  </from>
                  <to>
                    <xdr:col>20</xdr:col>
                    <xdr:colOff>12700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128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12700</xdr:rowOff>
                  </from>
                  <to>
                    <xdr:col>20</xdr:col>
                    <xdr:colOff>12700</xdr:colOff>
                    <xdr:row>21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129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12700</xdr:colOff>
                    <xdr:row>21</xdr:row>
                    <xdr:rowOff>12700</xdr:rowOff>
                  </from>
                  <to>
                    <xdr:col>20</xdr:col>
                    <xdr:colOff>12700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" r:id="rId130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12700</xdr:colOff>
                    <xdr:row>22</xdr:row>
                    <xdr:rowOff>12700</xdr:rowOff>
                  </from>
                  <to>
                    <xdr:col>20</xdr:col>
                    <xdr:colOff>12700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" r:id="rId131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12700</xdr:colOff>
                    <xdr:row>23</xdr:row>
                    <xdr:rowOff>12700</xdr:rowOff>
                  </from>
                  <to>
                    <xdr:col>20</xdr:col>
                    <xdr:colOff>12700</xdr:colOff>
                    <xdr:row>24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" r:id="rId132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12700</xdr:colOff>
                    <xdr:row>24</xdr:row>
                    <xdr:rowOff>12700</xdr:rowOff>
                  </from>
                  <to>
                    <xdr:col>20</xdr:col>
                    <xdr:colOff>12700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" r:id="rId133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12700</xdr:colOff>
                    <xdr:row>25</xdr:row>
                    <xdr:rowOff>12700</xdr:rowOff>
                  </from>
                  <to>
                    <xdr:col>20</xdr:col>
                    <xdr:colOff>12700</xdr:colOff>
                    <xdr:row>26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" r:id="rId134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12700</xdr:colOff>
                    <xdr:row>26</xdr:row>
                    <xdr:rowOff>12700</xdr:rowOff>
                  </from>
                  <to>
                    <xdr:col>20</xdr:col>
                    <xdr:colOff>12700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" r:id="rId135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12700</xdr:rowOff>
                  </from>
                  <to>
                    <xdr:col>20</xdr:col>
                    <xdr:colOff>12700</xdr:colOff>
                    <xdr:row>28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" r:id="rId136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12700</xdr:rowOff>
                  </from>
                  <to>
                    <xdr:col>20</xdr:col>
                    <xdr:colOff>12700</xdr:colOff>
                    <xdr:row>29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" r:id="rId137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31750</xdr:colOff>
                    <xdr:row>29</xdr:row>
                    <xdr:rowOff>12700</xdr:rowOff>
                  </from>
                  <to>
                    <xdr:col>20</xdr:col>
                    <xdr:colOff>12700</xdr:colOff>
                    <xdr:row>30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" r:id="rId138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12700</xdr:rowOff>
                  </from>
                  <to>
                    <xdr:col>20</xdr:col>
                    <xdr:colOff>12700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" r:id="rId139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12700</xdr:colOff>
                    <xdr:row>31</xdr:row>
                    <xdr:rowOff>12700</xdr:rowOff>
                  </from>
                  <to>
                    <xdr:col>20</xdr:col>
                    <xdr:colOff>12700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140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12700</xdr:colOff>
                    <xdr:row>32</xdr:row>
                    <xdr:rowOff>12700</xdr:rowOff>
                  </from>
                  <to>
                    <xdr:col>20</xdr:col>
                    <xdr:colOff>12700</xdr:colOff>
                    <xdr:row>33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" r:id="rId141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12700</xdr:colOff>
                    <xdr:row>33</xdr:row>
                    <xdr:rowOff>12700</xdr:rowOff>
                  </from>
                  <to>
                    <xdr:col>20</xdr:col>
                    <xdr:colOff>12700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" r:id="rId142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12700</xdr:rowOff>
                  </from>
                  <to>
                    <xdr:col>20</xdr:col>
                    <xdr:colOff>12700</xdr:colOff>
                    <xdr:row>35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" r:id="rId143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12700</xdr:colOff>
                    <xdr:row>35</xdr:row>
                    <xdr:rowOff>12700</xdr:rowOff>
                  </from>
                  <to>
                    <xdr:col>20</xdr:col>
                    <xdr:colOff>12700</xdr:colOff>
                    <xdr:row>36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144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12700</xdr:colOff>
                    <xdr:row>36</xdr:row>
                    <xdr:rowOff>12700</xdr:rowOff>
                  </from>
                  <to>
                    <xdr:col>20</xdr:col>
                    <xdr:colOff>12700</xdr:colOff>
                    <xdr:row>37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6" r:id="rId145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12700</xdr:colOff>
                    <xdr:row>18</xdr:row>
                    <xdr:rowOff>0</xdr:rowOff>
                  </from>
                  <to>
                    <xdr:col>13</xdr:col>
                    <xdr:colOff>12700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7" r:id="rId146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12700</xdr:colOff>
                    <xdr:row>19</xdr:row>
                    <xdr:rowOff>0</xdr:rowOff>
                  </from>
                  <to>
                    <xdr:col>13</xdr:col>
                    <xdr:colOff>12700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8" r:id="rId147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12700</xdr:colOff>
                    <xdr:row>20</xdr:row>
                    <xdr:rowOff>0</xdr:rowOff>
                  </from>
                  <to>
                    <xdr:col>13</xdr:col>
                    <xdr:colOff>12700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9" r:id="rId148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12700</xdr:colOff>
                    <xdr:row>21</xdr:row>
                    <xdr:rowOff>0</xdr:rowOff>
                  </from>
                  <to>
                    <xdr:col>13</xdr:col>
                    <xdr:colOff>12700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0" r:id="rId149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12700</xdr:colOff>
                    <xdr:row>22</xdr:row>
                    <xdr:rowOff>0</xdr:rowOff>
                  </from>
                  <to>
                    <xdr:col>13</xdr:col>
                    <xdr:colOff>12700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1" r:id="rId150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12700</xdr:colOff>
                    <xdr:row>23</xdr:row>
                    <xdr:rowOff>0</xdr:rowOff>
                  </from>
                  <to>
                    <xdr:col>13</xdr:col>
                    <xdr:colOff>12700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2" r:id="rId151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12700</xdr:colOff>
                    <xdr:row>24</xdr:row>
                    <xdr:rowOff>0</xdr:rowOff>
                  </from>
                  <to>
                    <xdr:col>13</xdr:col>
                    <xdr:colOff>12700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3" r:id="rId152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12700</xdr:colOff>
                    <xdr:row>25</xdr:row>
                    <xdr:rowOff>0</xdr:rowOff>
                  </from>
                  <to>
                    <xdr:col>13</xdr:col>
                    <xdr:colOff>12700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4" r:id="rId153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12700</xdr:colOff>
                    <xdr:row>26</xdr:row>
                    <xdr:rowOff>0</xdr:rowOff>
                  </from>
                  <to>
                    <xdr:col>13</xdr:col>
                    <xdr:colOff>12700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5" r:id="rId154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12700</xdr:colOff>
                    <xdr:row>27</xdr:row>
                    <xdr:rowOff>0</xdr:rowOff>
                  </from>
                  <to>
                    <xdr:col>13</xdr:col>
                    <xdr:colOff>12700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6" r:id="rId155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12700</xdr:colOff>
                    <xdr:row>28</xdr:row>
                    <xdr:rowOff>0</xdr:rowOff>
                  </from>
                  <to>
                    <xdr:col>13</xdr:col>
                    <xdr:colOff>12700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7" r:id="rId156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12700</xdr:colOff>
                    <xdr:row>29</xdr:row>
                    <xdr:rowOff>0</xdr:rowOff>
                  </from>
                  <to>
                    <xdr:col>13</xdr:col>
                    <xdr:colOff>12700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8" r:id="rId157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12700</xdr:colOff>
                    <xdr:row>30</xdr:row>
                    <xdr:rowOff>0</xdr:rowOff>
                  </from>
                  <to>
                    <xdr:col>13</xdr:col>
                    <xdr:colOff>12700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9" r:id="rId158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12700</xdr:colOff>
                    <xdr:row>31</xdr:row>
                    <xdr:rowOff>0</xdr:rowOff>
                  </from>
                  <to>
                    <xdr:col>13</xdr:col>
                    <xdr:colOff>12700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0" r:id="rId159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12700</xdr:colOff>
                    <xdr:row>32</xdr:row>
                    <xdr:rowOff>0</xdr:rowOff>
                  </from>
                  <to>
                    <xdr:col>13</xdr:col>
                    <xdr:colOff>12700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1" r:id="rId160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12700</xdr:colOff>
                    <xdr:row>33</xdr:row>
                    <xdr:rowOff>0</xdr:rowOff>
                  </from>
                  <to>
                    <xdr:col>13</xdr:col>
                    <xdr:colOff>12700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2" r:id="rId161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12700</xdr:colOff>
                    <xdr:row>34</xdr:row>
                    <xdr:rowOff>0</xdr:rowOff>
                  </from>
                  <to>
                    <xdr:col>13</xdr:col>
                    <xdr:colOff>12700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3" r:id="rId162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12700</xdr:colOff>
                    <xdr:row>35</xdr:row>
                    <xdr:rowOff>0</xdr:rowOff>
                  </from>
                  <to>
                    <xdr:col>13</xdr:col>
                    <xdr:colOff>12700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4" r:id="rId163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12700</xdr:colOff>
                    <xdr:row>36</xdr:row>
                    <xdr:rowOff>0</xdr:rowOff>
                  </from>
                  <to>
                    <xdr:col>13</xdr:col>
                    <xdr:colOff>12700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5" r:id="rId164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12700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6" r:id="rId165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12700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7" r:id="rId166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12700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8" r:id="rId167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12700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9" r:id="rId168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12700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0" r:id="rId169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12700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1" r:id="rId170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12700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2" r:id="rId171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12700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3" r:id="rId172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12700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4" r:id="rId173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12700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5" r:id="rId174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12700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6" r:id="rId175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12700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7" r:id="rId176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12700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8" r:id="rId177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12700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9" r:id="rId178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12700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0" r:id="rId179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12700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1" r:id="rId180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12700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2" r:id="rId181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12700</xdr:colOff>
                    <xdr:row>18</xdr:row>
                    <xdr:rowOff>12700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3" r:id="rId182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12700</xdr:colOff>
                    <xdr:row>19</xdr:row>
                    <xdr:rowOff>12700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4" r:id="rId183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12700</xdr:colOff>
                    <xdr:row>20</xdr:row>
                    <xdr:rowOff>12700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5" r:id="rId184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12700</xdr:colOff>
                    <xdr:row>21</xdr:row>
                    <xdr:rowOff>12700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6" r:id="rId185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12700</xdr:colOff>
                    <xdr:row>22</xdr:row>
                    <xdr:rowOff>12700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7" r:id="rId186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12700</xdr:colOff>
                    <xdr:row>23</xdr:row>
                    <xdr:rowOff>12700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8" r:id="rId187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12700</xdr:colOff>
                    <xdr:row>24</xdr:row>
                    <xdr:rowOff>12700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9" r:id="rId188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12700</xdr:colOff>
                    <xdr:row>25</xdr:row>
                    <xdr:rowOff>12700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0" r:id="rId189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12700</xdr:colOff>
                    <xdr:row>26</xdr:row>
                    <xdr:rowOff>12700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1" r:id="rId190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12700</xdr:colOff>
                    <xdr:row>27</xdr:row>
                    <xdr:rowOff>12700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2" r:id="rId191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12700</xdr:colOff>
                    <xdr:row>28</xdr:row>
                    <xdr:rowOff>12700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" r:id="rId192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12700</xdr:colOff>
                    <xdr:row>29</xdr:row>
                    <xdr:rowOff>12700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" r:id="rId193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12700</xdr:colOff>
                    <xdr:row>30</xdr:row>
                    <xdr:rowOff>12700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" r:id="rId194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12700</xdr:colOff>
                    <xdr:row>31</xdr:row>
                    <xdr:rowOff>12700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" r:id="rId195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12700</xdr:colOff>
                    <xdr:row>32</xdr:row>
                    <xdr:rowOff>12700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" r:id="rId196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12700</xdr:colOff>
                    <xdr:row>33</xdr:row>
                    <xdr:rowOff>12700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" r:id="rId197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12700</xdr:colOff>
                    <xdr:row>34</xdr:row>
                    <xdr:rowOff>12700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" r:id="rId198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12700</xdr:colOff>
                    <xdr:row>35</xdr:row>
                    <xdr:rowOff>12700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" r:id="rId199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12700</xdr:colOff>
                    <xdr:row>36</xdr:row>
                    <xdr:rowOff>12700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2" r:id="rId200" name="Button 224">
              <controlPr defaultSize="0" print="0" autoFill="0" autoPict="0" macro="[0]!restah18">
                <anchor moveWithCells="1" sizeWithCells="1">
                  <from>
                    <xdr:col>6</xdr:col>
                    <xdr:colOff>12700</xdr:colOff>
                    <xdr:row>18</xdr:row>
                    <xdr:rowOff>12700</xdr:rowOff>
                  </from>
                  <to>
                    <xdr:col>7</xdr:col>
                    <xdr:colOff>12700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201" name="Button 16">
              <controlPr defaultSize="0" print="0" autoFill="0" autoPict="0" macro="[0]!restaH32">
                <anchor moveWithCells="1" sizeWithCells="1">
                  <from>
                    <xdr:col>6</xdr:col>
                    <xdr:colOff>12700</xdr:colOff>
                    <xdr:row>31</xdr:row>
                    <xdr:rowOff>0</xdr:rowOff>
                  </from>
                  <to>
                    <xdr:col>7</xdr:col>
                    <xdr:colOff>12700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202" name="Button 4">
              <controlPr defaultSize="0" print="0" autoFill="0" autoPict="0" macro="[0]!restaH20">
                <anchor moveWithCells="1" sizeWithCells="1">
                  <from>
                    <xdr:col>6</xdr:col>
                    <xdr:colOff>12700</xdr:colOff>
                    <xdr:row>19</xdr:row>
                    <xdr:rowOff>0</xdr:rowOff>
                  </from>
                  <to>
                    <xdr:col>7</xdr:col>
                    <xdr:colOff>12700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203" name="Button 5">
              <controlPr defaultSize="0" print="0" autoFill="0" autoPict="0" macro="[0]!restaH21">
                <anchor moveWithCells="1" sizeWithCells="1">
                  <from>
                    <xdr:col>6</xdr:col>
                    <xdr:colOff>12700</xdr:colOff>
                    <xdr:row>20</xdr:row>
                    <xdr:rowOff>0</xdr:rowOff>
                  </from>
                  <to>
                    <xdr:col>7</xdr:col>
                    <xdr:colOff>12700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204" name="Button 6">
              <controlPr defaultSize="0" print="0" autoFill="0" autoPict="0" macro="[0]!restaH22">
                <anchor moveWithCells="1" sizeWithCells="1">
                  <from>
                    <xdr:col>6</xdr:col>
                    <xdr:colOff>12700</xdr:colOff>
                    <xdr:row>21</xdr:row>
                    <xdr:rowOff>0</xdr:rowOff>
                  </from>
                  <to>
                    <xdr:col>7</xdr:col>
                    <xdr:colOff>12700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205" name="Button 7">
              <controlPr defaultSize="0" print="0" autoFill="0" autoPict="0" macro="[0]!restaH23">
                <anchor moveWithCells="1" sizeWithCells="1">
                  <from>
                    <xdr:col>6</xdr:col>
                    <xdr:colOff>12700</xdr:colOff>
                    <xdr:row>22</xdr:row>
                    <xdr:rowOff>0</xdr:rowOff>
                  </from>
                  <to>
                    <xdr:col>7</xdr:col>
                    <xdr:colOff>12700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206" name="Button 8">
              <controlPr defaultSize="0" print="0" autoFill="0" autoPict="0" macro="[0]!restaH24">
                <anchor moveWithCells="1" sizeWithCells="1">
                  <from>
                    <xdr:col>6</xdr:col>
                    <xdr:colOff>12700</xdr:colOff>
                    <xdr:row>23</xdr:row>
                    <xdr:rowOff>0</xdr:rowOff>
                  </from>
                  <to>
                    <xdr:col>7</xdr:col>
                    <xdr:colOff>12700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207" name="Button 9">
              <controlPr defaultSize="0" print="0" autoFill="0" autoPict="0" macro="[0]!restaH25">
                <anchor moveWithCells="1" sizeWithCells="1">
                  <from>
                    <xdr:col>6</xdr:col>
                    <xdr:colOff>12700</xdr:colOff>
                    <xdr:row>24</xdr:row>
                    <xdr:rowOff>0</xdr:rowOff>
                  </from>
                  <to>
                    <xdr:col>7</xdr:col>
                    <xdr:colOff>12700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208" name="Button 10">
              <controlPr defaultSize="0" print="0" autoFill="0" autoPict="0" macro="[0]!restaH26">
                <anchor moveWithCells="1" sizeWithCells="1">
                  <from>
                    <xdr:col>6</xdr:col>
                    <xdr:colOff>12700</xdr:colOff>
                    <xdr:row>25</xdr:row>
                    <xdr:rowOff>0</xdr:rowOff>
                  </from>
                  <to>
                    <xdr:col>7</xdr:col>
                    <xdr:colOff>12700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209" name="Button 11">
              <controlPr defaultSize="0" print="0" autoFill="0" autoPict="0" macro="[0]!restaH27">
                <anchor moveWithCells="1" sizeWithCells="1">
                  <from>
                    <xdr:col>6</xdr:col>
                    <xdr:colOff>12700</xdr:colOff>
                    <xdr:row>26</xdr:row>
                    <xdr:rowOff>0</xdr:rowOff>
                  </from>
                  <to>
                    <xdr:col>7</xdr:col>
                    <xdr:colOff>12700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210" name="Button 12">
              <controlPr defaultSize="0" print="0" autoFill="0" autoPict="0" macro="[0]!restaH28">
                <anchor moveWithCells="1" sizeWithCells="1">
                  <from>
                    <xdr:col>6</xdr:col>
                    <xdr:colOff>12700</xdr:colOff>
                    <xdr:row>27</xdr:row>
                    <xdr:rowOff>0</xdr:rowOff>
                  </from>
                  <to>
                    <xdr:col>7</xdr:col>
                    <xdr:colOff>12700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211" name="Button 13">
              <controlPr defaultSize="0" print="0" autoFill="0" autoPict="0" macro="[0]!restaH29">
                <anchor moveWithCells="1" sizeWithCells="1">
                  <from>
                    <xdr:col>6</xdr:col>
                    <xdr:colOff>12700</xdr:colOff>
                    <xdr:row>28</xdr:row>
                    <xdr:rowOff>0</xdr:rowOff>
                  </from>
                  <to>
                    <xdr:col>7</xdr:col>
                    <xdr:colOff>12700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212" name="Button 14">
              <controlPr defaultSize="0" print="0" autoFill="0" autoPict="0" macro="[0]!restaH30">
                <anchor moveWithCells="1" sizeWithCells="1">
                  <from>
                    <xdr:col>6</xdr:col>
                    <xdr:colOff>12700</xdr:colOff>
                    <xdr:row>29</xdr:row>
                    <xdr:rowOff>0</xdr:rowOff>
                  </from>
                  <to>
                    <xdr:col>7</xdr:col>
                    <xdr:colOff>12700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213" name="Button 15">
              <controlPr defaultSize="0" print="0" autoFill="0" autoPict="0" macro="[0]!restaH31">
                <anchor moveWithCells="1" sizeWithCells="1">
                  <from>
                    <xdr:col>6</xdr:col>
                    <xdr:colOff>12700</xdr:colOff>
                    <xdr:row>30</xdr:row>
                    <xdr:rowOff>0</xdr:rowOff>
                  </from>
                  <to>
                    <xdr:col>7</xdr:col>
                    <xdr:colOff>12700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214" name="Button 225">
              <controlPr defaultSize="0" print="0" autoFill="0" autoPict="0" macro="[0]!restah18">
                <anchor moveWithCells="1" sizeWithCells="1">
                  <from>
                    <xdr:col>6</xdr:col>
                    <xdr:colOff>12700</xdr:colOff>
                    <xdr:row>19</xdr:row>
                    <xdr:rowOff>12700</xdr:rowOff>
                  </from>
                  <to>
                    <xdr:col>7</xdr:col>
                    <xdr:colOff>12700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4" r:id="rId215" name="Button 226">
              <controlPr defaultSize="0" print="0" autoFill="0" autoPict="0" macro="[0]!restah18">
                <anchor moveWithCells="1" sizeWithCells="1">
                  <from>
                    <xdr:col>6</xdr:col>
                    <xdr:colOff>12700</xdr:colOff>
                    <xdr:row>20</xdr:row>
                    <xdr:rowOff>12700</xdr:rowOff>
                  </from>
                  <to>
                    <xdr:col>7</xdr:col>
                    <xdr:colOff>12700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5" r:id="rId216" name="Button 227">
              <controlPr defaultSize="0" print="0" autoFill="0" autoPict="0" macro="[0]!restah18">
                <anchor moveWithCells="1" sizeWithCells="1">
                  <from>
                    <xdr:col>6</xdr:col>
                    <xdr:colOff>12700</xdr:colOff>
                    <xdr:row>21</xdr:row>
                    <xdr:rowOff>12700</xdr:rowOff>
                  </from>
                  <to>
                    <xdr:col>7</xdr:col>
                    <xdr:colOff>12700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6" r:id="rId217" name="Button 228">
              <controlPr defaultSize="0" print="0" autoFill="0" autoPict="0" macro="[0]!restah18">
                <anchor moveWithCells="1" sizeWithCells="1">
                  <from>
                    <xdr:col>6</xdr:col>
                    <xdr:colOff>12700</xdr:colOff>
                    <xdr:row>22</xdr:row>
                    <xdr:rowOff>12700</xdr:rowOff>
                  </from>
                  <to>
                    <xdr:col>7</xdr:col>
                    <xdr:colOff>12700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7" r:id="rId218" name="Button 229">
              <controlPr defaultSize="0" print="0" autoFill="0" autoPict="0" macro="[0]!restah18">
                <anchor moveWithCells="1" sizeWithCells="1">
                  <from>
                    <xdr:col>6</xdr:col>
                    <xdr:colOff>12700</xdr:colOff>
                    <xdr:row>23</xdr:row>
                    <xdr:rowOff>12700</xdr:rowOff>
                  </from>
                  <to>
                    <xdr:col>7</xdr:col>
                    <xdr:colOff>12700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8" r:id="rId219" name="Button 230">
              <controlPr defaultSize="0" print="0" autoFill="0" autoPict="0" macro="[0]!restah18">
                <anchor moveWithCells="1" sizeWithCells="1">
                  <from>
                    <xdr:col>6</xdr:col>
                    <xdr:colOff>12700</xdr:colOff>
                    <xdr:row>24</xdr:row>
                    <xdr:rowOff>12700</xdr:rowOff>
                  </from>
                  <to>
                    <xdr:col>7</xdr:col>
                    <xdr:colOff>12700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9" r:id="rId220" name="Button 231">
              <controlPr defaultSize="0" print="0" autoFill="0" autoPict="0" macro="[0]!restah18">
                <anchor moveWithCells="1" sizeWithCells="1">
                  <from>
                    <xdr:col>6</xdr:col>
                    <xdr:colOff>12700</xdr:colOff>
                    <xdr:row>25</xdr:row>
                    <xdr:rowOff>12700</xdr:rowOff>
                  </from>
                  <to>
                    <xdr:col>7</xdr:col>
                    <xdr:colOff>12700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0" r:id="rId221" name="Button 232">
              <controlPr defaultSize="0" print="0" autoFill="0" autoPict="0" macro="[0]!restah18">
                <anchor moveWithCells="1" sizeWithCells="1">
                  <from>
                    <xdr:col>6</xdr:col>
                    <xdr:colOff>12700</xdr:colOff>
                    <xdr:row>26</xdr:row>
                    <xdr:rowOff>12700</xdr:rowOff>
                  </from>
                  <to>
                    <xdr:col>7</xdr:col>
                    <xdr:colOff>12700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1" r:id="rId222" name="Button 233">
              <controlPr defaultSize="0" print="0" autoFill="0" autoPict="0" macro="[0]!restah18">
                <anchor moveWithCells="1" sizeWithCells="1">
                  <from>
                    <xdr:col>6</xdr:col>
                    <xdr:colOff>12700</xdr:colOff>
                    <xdr:row>27</xdr:row>
                    <xdr:rowOff>12700</xdr:rowOff>
                  </from>
                  <to>
                    <xdr:col>7</xdr:col>
                    <xdr:colOff>12700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2" r:id="rId223" name="Button 234">
              <controlPr defaultSize="0" print="0" autoFill="0" autoPict="0" macro="[0]!restaH26">
                <anchor moveWithCells="1" sizeWithCells="1">
                  <from>
                    <xdr:col>6</xdr:col>
                    <xdr:colOff>12700</xdr:colOff>
                    <xdr:row>24</xdr:row>
                    <xdr:rowOff>0</xdr:rowOff>
                  </from>
                  <to>
                    <xdr:col>7</xdr:col>
                    <xdr:colOff>12700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3" r:id="rId224" name="Button 235">
              <controlPr defaultSize="0" print="0" autoFill="0" autoPict="0" macro="[0]!restaH27">
                <anchor moveWithCells="1" sizeWithCells="1">
                  <from>
                    <xdr:col>6</xdr:col>
                    <xdr:colOff>12700</xdr:colOff>
                    <xdr:row>25</xdr:row>
                    <xdr:rowOff>0</xdr:rowOff>
                  </from>
                  <to>
                    <xdr:col>7</xdr:col>
                    <xdr:colOff>12700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4" r:id="rId225" name="Button 236">
              <controlPr defaultSize="0" print="0" autoFill="0" autoPict="0" macro="[0]!restah18">
                <anchor moveWithCells="1" sizeWithCells="1">
                  <from>
                    <xdr:col>6</xdr:col>
                    <xdr:colOff>12700</xdr:colOff>
                    <xdr:row>24</xdr:row>
                    <xdr:rowOff>12700</xdr:rowOff>
                  </from>
                  <to>
                    <xdr:col>7</xdr:col>
                    <xdr:colOff>12700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5" r:id="rId226" name="Button 237">
              <controlPr defaultSize="0" print="0" autoFill="0" autoPict="0" macro="[0]!restah18">
                <anchor moveWithCells="1" sizeWithCells="1">
                  <from>
                    <xdr:col>6</xdr:col>
                    <xdr:colOff>12700</xdr:colOff>
                    <xdr:row>25</xdr:row>
                    <xdr:rowOff>12700</xdr:rowOff>
                  </from>
                  <to>
                    <xdr:col>7</xdr:col>
                    <xdr:colOff>12700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6" r:id="rId227" name="Button 238">
              <controlPr defaultSize="0" print="0" autoFill="0" autoPict="0" macro="[0]!restaH29">
                <anchor moveWithCells="1" sizeWithCells="1">
                  <from>
                    <xdr:col>6</xdr:col>
                    <xdr:colOff>12700</xdr:colOff>
                    <xdr:row>26</xdr:row>
                    <xdr:rowOff>0</xdr:rowOff>
                  </from>
                  <to>
                    <xdr:col>7</xdr:col>
                    <xdr:colOff>12700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7" r:id="rId228" name="Button 239">
              <controlPr defaultSize="0" print="0" autoFill="0" autoPict="0" macro="[0]!restaH30">
                <anchor moveWithCells="1" sizeWithCells="1">
                  <from>
                    <xdr:col>6</xdr:col>
                    <xdr:colOff>12700</xdr:colOff>
                    <xdr:row>27</xdr:row>
                    <xdr:rowOff>0</xdr:rowOff>
                  </from>
                  <to>
                    <xdr:col>7</xdr:col>
                    <xdr:colOff>12700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8" r:id="rId229" name="Button 240">
              <controlPr defaultSize="0" print="0" autoFill="0" autoPict="0" macro="[0]!restaH31">
                <anchor moveWithCells="1" sizeWithCells="1">
                  <from>
                    <xdr:col>6</xdr:col>
                    <xdr:colOff>12700</xdr:colOff>
                    <xdr:row>28</xdr:row>
                    <xdr:rowOff>0</xdr:rowOff>
                  </from>
                  <to>
                    <xdr:col>7</xdr:col>
                    <xdr:colOff>12700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9" r:id="rId230" name="Button 241">
              <controlPr defaultSize="0" print="0" autoFill="0" autoPict="0" macro="[0]!restaH32">
                <anchor moveWithCells="1" sizeWithCells="1">
                  <from>
                    <xdr:col>6</xdr:col>
                    <xdr:colOff>12700</xdr:colOff>
                    <xdr:row>29</xdr:row>
                    <xdr:rowOff>0</xdr:rowOff>
                  </from>
                  <to>
                    <xdr:col>7</xdr:col>
                    <xdr:colOff>12700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0" r:id="rId231" name="Button 242">
              <controlPr defaultSize="0" print="0" autoFill="0" autoPict="0" macro="[0]!restaH20">
                <anchor moveWithCells="1" sizeWithCells="1">
                  <from>
                    <xdr:col>6</xdr:col>
                    <xdr:colOff>12700</xdr:colOff>
                    <xdr:row>18</xdr:row>
                    <xdr:rowOff>0</xdr:rowOff>
                  </from>
                  <to>
                    <xdr:col>7</xdr:col>
                    <xdr:colOff>12700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1" r:id="rId232" name="Button 243">
              <controlPr defaultSize="0" print="0" autoFill="0" autoPict="0" macro="[0]!restaH21">
                <anchor moveWithCells="1" sizeWithCells="1">
                  <from>
                    <xdr:col>6</xdr:col>
                    <xdr:colOff>12700</xdr:colOff>
                    <xdr:row>19</xdr:row>
                    <xdr:rowOff>0</xdr:rowOff>
                  </from>
                  <to>
                    <xdr:col>7</xdr:col>
                    <xdr:colOff>12700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2" r:id="rId233" name="Button 244">
              <controlPr defaultSize="0" print="0" autoFill="0" autoPict="0" macro="[0]!restaH22">
                <anchor moveWithCells="1" sizeWithCells="1">
                  <from>
                    <xdr:col>6</xdr:col>
                    <xdr:colOff>12700</xdr:colOff>
                    <xdr:row>20</xdr:row>
                    <xdr:rowOff>0</xdr:rowOff>
                  </from>
                  <to>
                    <xdr:col>7</xdr:col>
                    <xdr:colOff>12700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3" r:id="rId234" name="Button 245">
              <controlPr defaultSize="0" print="0" autoFill="0" autoPict="0" macro="[0]!restaH23">
                <anchor moveWithCells="1" sizeWithCells="1">
                  <from>
                    <xdr:col>6</xdr:col>
                    <xdr:colOff>12700</xdr:colOff>
                    <xdr:row>21</xdr:row>
                    <xdr:rowOff>0</xdr:rowOff>
                  </from>
                  <to>
                    <xdr:col>7</xdr:col>
                    <xdr:colOff>12700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4" r:id="rId235" name="Button 246">
              <controlPr defaultSize="0" print="0" autoFill="0" autoPict="0" macro="[0]!restaH24">
                <anchor moveWithCells="1" sizeWithCells="1">
                  <from>
                    <xdr:col>6</xdr:col>
                    <xdr:colOff>12700</xdr:colOff>
                    <xdr:row>22</xdr:row>
                    <xdr:rowOff>0</xdr:rowOff>
                  </from>
                  <to>
                    <xdr:col>7</xdr:col>
                    <xdr:colOff>12700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5" r:id="rId236" name="Button 247">
              <controlPr defaultSize="0" print="0" autoFill="0" autoPict="0" macro="[0]!restaH25">
                <anchor moveWithCells="1" sizeWithCells="1">
                  <from>
                    <xdr:col>6</xdr:col>
                    <xdr:colOff>12700</xdr:colOff>
                    <xdr:row>23</xdr:row>
                    <xdr:rowOff>0</xdr:rowOff>
                  </from>
                  <to>
                    <xdr:col>7</xdr:col>
                    <xdr:colOff>12700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6" r:id="rId237" name="Button 248">
              <controlPr defaultSize="0" print="0" autoFill="0" autoPict="0" macro="[0]!restaH26">
                <anchor moveWithCells="1" sizeWithCells="1">
                  <from>
                    <xdr:col>6</xdr:col>
                    <xdr:colOff>12700</xdr:colOff>
                    <xdr:row>24</xdr:row>
                    <xdr:rowOff>0</xdr:rowOff>
                  </from>
                  <to>
                    <xdr:col>7</xdr:col>
                    <xdr:colOff>12700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7" r:id="rId238" name="Button 249">
              <controlPr defaultSize="0" print="0" autoFill="0" autoPict="0" macro="[0]!restaH27">
                <anchor moveWithCells="1" sizeWithCells="1">
                  <from>
                    <xdr:col>6</xdr:col>
                    <xdr:colOff>12700</xdr:colOff>
                    <xdr:row>25</xdr:row>
                    <xdr:rowOff>0</xdr:rowOff>
                  </from>
                  <to>
                    <xdr:col>7</xdr:col>
                    <xdr:colOff>12700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8" r:id="rId239" name="Button 250">
              <controlPr defaultSize="0" print="0" autoFill="0" autoPict="0" macro="[0]!restaH28">
                <anchor moveWithCells="1" sizeWithCells="1">
                  <from>
                    <xdr:col>6</xdr:col>
                    <xdr:colOff>12700</xdr:colOff>
                    <xdr:row>26</xdr:row>
                    <xdr:rowOff>0</xdr:rowOff>
                  </from>
                  <to>
                    <xdr:col>7</xdr:col>
                    <xdr:colOff>12700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9" r:id="rId240" name="Button 251">
              <controlPr defaultSize="0" print="0" autoFill="0" autoPict="0" macro="[0]!restaH29">
                <anchor moveWithCells="1" sizeWithCells="1">
                  <from>
                    <xdr:col>6</xdr:col>
                    <xdr:colOff>12700</xdr:colOff>
                    <xdr:row>27</xdr:row>
                    <xdr:rowOff>0</xdr:rowOff>
                  </from>
                  <to>
                    <xdr:col>7</xdr:col>
                    <xdr:colOff>12700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0" r:id="rId241" name="Button 252">
              <controlPr defaultSize="0" print="0" autoFill="0" autoPict="0" macro="[0]!restaH30">
                <anchor moveWithCells="1" sizeWithCells="1">
                  <from>
                    <xdr:col>6</xdr:col>
                    <xdr:colOff>12700</xdr:colOff>
                    <xdr:row>28</xdr:row>
                    <xdr:rowOff>0</xdr:rowOff>
                  </from>
                  <to>
                    <xdr:col>7</xdr:col>
                    <xdr:colOff>12700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1" r:id="rId242" name="Button 253">
              <controlPr defaultSize="0" print="0" autoFill="0" autoPict="0" macro="[0]!restaH31">
                <anchor moveWithCells="1" sizeWithCells="1">
                  <from>
                    <xdr:col>6</xdr:col>
                    <xdr:colOff>12700</xdr:colOff>
                    <xdr:row>29</xdr:row>
                    <xdr:rowOff>0</xdr:rowOff>
                  </from>
                  <to>
                    <xdr:col>7</xdr:col>
                    <xdr:colOff>12700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2" r:id="rId243" name="Button 254">
              <controlPr defaultSize="0" print="0" autoFill="0" autoPict="0" macro="[0]!restah18">
                <anchor moveWithCells="1" sizeWithCells="1">
                  <from>
                    <xdr:col>6</xdr:col>
                    <xdr:colOff>12700</xdr:colOff>
                    <xdr:row>18</xdr:row>
                    <xdr:rowOff>12700</xdr:rowOff>
                  </from>
                  <to>
                    <xdr:col>7</xdr:col>
                    <xdr:colOff>12700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3" r:id="rId244" name="Button 255">
              <controlPr defaultSize="0" print="0" autoFill="0" autoPict="0" macro="[0]!restah18">
                <anchor moveWithCells="1" sizeWithCells="1">
                  <from>
                    <xdr:col>6</xdr:col>
                    <xdr:colOff>12700</xdr:colOff>
                    <xdr:row>19</xdr:row>
                    <xdr:rowOff>12700</xdr:rowOff>
                  </from>
                  <to>
                    <xdr:col>7</xdr:col>
                    <xdr:colOff>12700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4" r:id="rId245" name="Button 256">
              <controlPr defaultSize="0" print="0" autoFill="0" autoPict="0" macro="[0]!restah18">
                <anchor moveWithCells="1" sizeWithCells="1">
                  <from>
                    <xdr:col>6</xdr:col>
                    <xdr:colOff>12700</xdr:colOff>
                    <xdr:row>20</xdr:row>
                    <xdr:rowOff>12700</xdr:rowOff>
                  </from>
                  <to>
                    <xdr:col>7</xdr:col>
                    <xdr:colOff>12700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5" r:id="rId246" name="Button 257">
              <controlPr defaultSize="0" print="0" autoFill="0" autoPict="0" macro="[0]!restah18">
                <anchor moveWithCells="1" sizeWithCells="1">
                  <from>
                    <xdr:col>6</xdr:col>
                    <xdr:colOff>12700</xdr:colOff>
                    <xdr:row>21</xdr:row>
                    <xdr:rowOff>12700</xdr:rowOff>
                  </from>
                  <to>
                    <xdr:col>7</xdr:col>
                    <xdr:colOff>12700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6" r:id="rId247" name="Button 258">
              <controlPr defaultSize="0" print="0" autoFill="0" autoPict="0" macro="[0]!restah18">
                <anchor moveWithCells="1" sizeWithCells="1">
                  <from>
                    <xdr:col>6</xdr:col>
                    <xdr:colOff>12700</xdr:colOff>
                    <xdr:row>22</xdr:row>
                    <xdr:rowOff>12700</xdr:rowOff>
                  </from>
                  <to>
                    <xdr:col>7</xdr:col>
                    <xdr:colOff>12700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7" r:id="rId248" name="Button 259">
              <controlPr defaultSize="0" print="0" autoFill="0" autoPict="0" macro="[0]!restah18">
                <anchor moveWithCells="1" sizeWithCells="1">
                  <from>
                    <xdr:col>6</xdr:col>
                    <xdr:colOff>12700</xdr:colOff>
                    <xdr:row>23</xdr:row>
                    <xdr:rowOff>12700</xdr:rowOff>
                  </from>
                  <to>
                    <xdr:col>7</xdr:col>
                    <xdr:colOff>12700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8" r:id="rId249" name="Button 260">
              <controlPr defaultSize="0" print="0" autoFill="0" autoPict="0" macro="[0]!restah18">
                <anchor moveWithCells="1" sizeWithCells="1">
                  <from>
                    <xdr:col>6</xdr:col>
                    <xdr:colOff>12700</xdr:colOff>
                    <xdr:row>24</xdr:row>
                    <xdr:rowOff>12700</xdr:rowOff>
                  </from>
                  <to>
                    <xdr:col>7</xdr:col>
                    <xdr:colOff>12700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9" r:id="rId250" name="Button 261">
              <controlPr defaultSize="0" print="0" autoFill="0" autoPict="0" macro="[0]!restah18">
                <anchor moveWithCells="1" sizeWithCells="1">
                  <from>
                    <xdr:col>6</xdr:col>
                    <xdr:colOff>12700</xdr:colOff>
                    <xdr:row>25</xdr:row>
                    <xdr:rowOff>12700</xdr:rowOff>
                  </from>
                  <to>
                    <xdr:col>7</xdr:col>
                    <xdr:colOff>12700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0" r:id="rId251" name="Button 262">
              <controlPr defaultSize="0" print="0" autoFill="0" autoPict="0" macro="[0]!restah18">
                <anchor moveWithCells="1" sizeWithCells="1">
                  <from>
                    <xdr:col>6</xdr:col>
                    <xdr:colOff>12700</xdr:colOff>
                    <xdr:row>26</xdr:row>
                    <xdr:rowOff>12700</xdr:rowOff>
                  </from>
                  <to>
                    <xdr:col>7</xdr:col>
                    <xdr:colOff>12700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1" r:id="rId252" name="Button 263">
              <controlPr defaultSize="0" print="0" autoFill="0" autoPict="0" macro="[0]!restaH26">
                <anchor moveWithCells="1" sizeWithCells="1">
                  <from>
                    <xdr:col>6</xdr:col>
                    <xdr:colOff>12700</xdr:colOff>
                    <xdr:row>23</xdr:row>
                    <xdr:rowOff>0</xdr:rowOff>
                  </from>
                  <to>
                    <xdr:col>7</xdr:col>
                    <xdr:colOff>12700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2" r:id="rId253" name="Button 264">
              <controlPr defaultSize="0" print="0" autoFill="0" autoPict="0" macro="[0]!restaH27">
                <anchor moveWithCells="1" sizeWithCells="1">
                  <from>
                    <xdr:col>6</xdr:col>
                    <xdr:colOff>12700</xdr:colOff>
                    <xdr:row>24</xdr:row>
                    <xdr:rowOff>0</xdr:rowOff>
                  </from>
                  <to>
                    <xdr:col>7</xdr:col>
                    <xdr:colOff>12700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3" r:id="rId254" name="Button 265">
              <controlPr defaultSize="0" print="0" autoFill="0" autoPict="0" macro="[0]!restah18">
                <anchor moveWithCells="1" sizeWithCells="1">
                  <from>
                    <xdr:col>6</xdr:col>
                    <xdr:colOff>12700</xdr:colOff>
                    <xdr:row>23</xdr:row>
                    <xdr:rowOff>12700</xdr:rowOff>
                  </from>
                  <to>
                    <xdr:col>7</xdr:col>
                    <xdr:colOff>12700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4" r:id="rId255" name="Button 266">
              <controlPr defaultSize="0" print="0" autoFill="0" autoPict="0" macro="[0]!restah18">
                <anchor moveWithCells="1" sizeWithCells="1">
                  <from>
                    <xdr:col>6</xdr:col>
                    <xdr:colOff>12700</xdr:colOff>
                    <xdr:row>24</xdr:row>
                    <xdr:rowOff>12700</xdr:rowOff>
                  </from>
                  <to>
                    <xdr:col>7</xdr:col>
                    <xdr:colOff>12700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5" r:id="rId256" name="Button 267">
              <controlPr defaultSize="0" print="0" autoFill="0" autoPict="0" macro="[0]!restaH29">
                <anchor moveWithCells="1" sizeWithCells="1">
                  <from>
                    <xdr:col>6</xdr:col>
                    <xdr:colOff>12700</xdr:colOff>
                    <xdr:row>25</xdr:row>
                    <xdr:rowOff>0</xdr:rowOff>
                  </from>
                  <to>
                    <xdr:col>7</xdr:col>
                    <xdr:colOff>12700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6" r:id="rId257" name="Button 268">
              <controlPr defaultSize="0" print="0" autoFill="0" autoPict="0" macro="[0]!restaH30">
                <anchor moveWithCells="1" sizeWithCells="1">
                  <from>
                    <xdr:col>6</xdr:col>
                    <xdr:colOff>12700</xdr:colOff>
                    <xdr:row>26</xdr:row>
                    <xdr:rowOff>0</xdr:rowOff>
                  </from>
                  <to>
                    <xdr:col>7</xdr:col>
                    <xdr:colOff>12700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7" r:id="rId258" name="Button 269">
              <controlPr defaultSize="0" print="0" autoFill="0" autoPict="0" macro="[0]!restaH31">
                <anchor moveWithCells="1" sizeWithCells="1">
                  <from>
                    <xdr:col>6</xdr:col>
                    <xdr:colOff>12700</xdr:colOff>
                    <xdr:row>27</xdr:row>
                    <xdr:rowOff>0</xdr:rowOff>
                  </from>
                  <to>
                    <xdr:col>7</xdr:col>
                    <xdr:colOff>12700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8" r:id="rId259" name="Button 270">
              <controlPr defaultSize="0" print="0" autoFill="0" autoPict="0" macro="[0]!restaH32">
                <anchor moveWithCells="1" sizeWithCells="1">
                  <from>
                    <xdr:col>6</xdr:col>
                    <xdr:colOff>12700</xdr:colOff>
                    <xdr:row>28</xdr:row>
                    <xdr:rowOff>0</xdr:rowOff>
                  </from>
                  <to>
                    <xdr:col>7</xdr:col>
                    <xdr:colOff>12700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260" name="Button 17">
              <controlPr defaultSize="0" print="0" autoFill="0" autoPict="0" macro="[0]!restaH33">
                <anchor moveWithCells="1" sizeWithCells="1">
                  <from>
                    <xdr:col>6</xdr:col>
                    <xdr:colOff>12700</xdr:colOff>
                    <xdr:row>32</xdr:row>
                    <xdr:rowOff>0</xdr:rowOff>
                  </from>
                  <to>
                    <xdr:col>7</xdr:col>
                    <xdr:colOff>12700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9" r:id="rId261" name="Button 271">
              <controlPr defaultSize="0" print="0" autoFill="0" autoPict="0" macro="[0]!restaH33">
                <anchor moveWithCells="1" sizeWithCells="1">
                  <from>
                    <xdr:col>6</xdr:col>
                    <xdr:colOff>12700</xdr:colOff>
                    <xdr:row>30</xdr:row>
                    <xdr:rowOff>0</xdr:rowOff>
                  </from>
                  <to>
                    <xdr:col>7</xdr:col>
                    <xdr:colOff>12700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262" name="Button 18">
              <controlPr defaultSize="0" print="0" autoFill="0" autoPict="0" macro="[0]!restaH34">
                <anchor moveWithCells="1" sizeWithCells="1">
                  <from>
                    <xdr:col>6</xdr:col>
                    <xdr:colOff>12700</xdr:colOff>
                    <xdr:row>33</xdr:row>
                    <xdr:rowOff>0</xdr:rowOff>
                  </from>
                  <to>
                    <xdr:col>7</xdr:col>
                    <xdr:colOff>12700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0" r:id="rId263" name="Button 272">
              <controlPr defaultSize="0" print="0" autoFill="0" autoPict="0" macro="[0]!restaH34">
                <anchor moveWithCells="1" sizeWithCells="1">
                  <from>
                    <xdr:col>6</xdr:col>
                    <xdr:colOff>12700</xdr:colOff>
                    <xdr:row>31</xdr:row>
                    <xdr:rowOff>0</xdr:rowOff>
                  </from>
                  <to>
                    <xdr:col>7</xdr:col>
                    <xdr:colOff>12700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64" name="Button 20">
              <controlPr defaultSize="0" print="0" autoFill="0" autoPict="0" macro="[0]!restaH36">
                <anchor moveWithCells="1" sizeWithCells="1">
                  <from>
                    <xdr:col>6</xdr:col>
                    <xdr:colOff>12700</xdr:colOff>
                    <xdr:row>35</xdr:row>
                    <xdr:rowOff>0</xdr:rowOff>
                  </from>
                  <to>
                    <xdr:col>7</xdr:col>
                    <xdr:colOff>12700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1" r:id="rId265" name="Button 273">
              <controlPr defaultSize="0" print="0" autoFill="0" autoPict="0" macro="[0]!restaH36">
                <anchor moveWithCells="1" sizeWithCells="1">
                  <from>
                    <xdr:col>6</xdr:col>
                    <xdr:colOff>12700</xdr:colOff>
                    <xdr:row>32</xdr:row>
                    <xdr:rowOff>0</xdr:rowOff>
                  </from>
                  <to>
                    <xdr:col>7</xdr:col>
                    <xdr:colOff>12700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2" r:id="rId266" name="Button 274">
              <controlPr defaultSize="0" print="0" autoFill="0" autoPict="0" macro="[0]!restaH36">
                <anchor moveWithCells="1" sizeWithCells="1">
                  <from>
                    <xdr:col>6</xdr:col>
                    <xdr:colOff>12700</xdr:colOff>
                    <xdr:row>22</xdr:row>
                    <xdr:rowOff>0</xdr:rowOff>
                  </from>
                  <to>
                    <xdr:col>7</xdr:col>
                    <xdr:colOff>12700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81"/>
  <sheetViews>
    <sheetView zoomScale="101" workbookViewId="0"/>
  </sheetViews>
  <sheetFormatPr baseColWidth="10" defaultColWidth="11.453125" defaultRowHeight="12.5" x14ac:dyDescent="0.25"/>
  <cols>
    <col min="1" max="1" width="10.7265625" style="26" bestFit="1" customWidth="1"/>
    <col min="2" max="2" width="15.54296875" style="26" bestFit="1" customWidth="1"/>
    <col min="3" max="3" width="21.54296875" style="26" bestFit="1" customWidth="1"/>
    <col min="4" max="4" width="22.453125" style="26" bestFit="1" customWidth="1"/>
    <col min="5" max="5" width="19.81640625" style="26" bestFit="1" customWidth="1"/>
    <col min="6" max="6" width="22.7265625" style="26" bestFit="1" customWidth="1"/>
    <col min="7" max="7" width="24.7265625" style="26" customWidth="1"/>
    <col min="8" max="8" width="21.7265625" style="26" bestFit="1" customWidth="1"/>
    <col min="9" max="9" width="7.453125" style="26" bestFit="1" customWidth="1"/>
    <col min="10" max="10" width="11.453125" style="26"/>
    <col min="11" max="11" width="7.1796875" style="26" customWidth="1"/>
    <col min="12" max="12" width="29.54296875" style="26" customWidth="1"/>
    <col min="13" max="16384" width="11.453125" style="26"/>
  </cols>
  <sheetData>
    <row r="1" spans="1:13" s="30" customFormat="1" ht="13" x14ac:dyDescent="0.25">
      <c r="A1" s="30" t="s">
        <v>43</v>
      </c>
      <c r="B1" s="30" t="s">
        <v>44</v>
      </c>
      <c r="C1" s="30" t="s">
        <v>45</v>
      </c>
      <c r="D1" s="30" t="s">
        <v>46</v>
      </c>
      <c r="E1" s="30" t="s">
        <v>47</v>
      </c>
      <c r="F1" s="30" t="s">
        <v>48</v>
      </c>
      <c r="G1" s="30" t="s">
        <v>49</v>
      </c>
      <c r="H1" s="30" t="s">
        <v>50</v>
      </c>
      <c r="I1" s="30" t="s">
        <v>51</v>
      </c>
      <c r="J1" s="30" t="s">
        <v>52</v>
      </c>
    </row>
    <row r="2" spans="1:13" x14ac:dyDescent="0.25">
      <c r="A2" s="27" t="str">
        <f>'Densidad de Grupos'!U9</f>
        <v>SP-21-0322</v>
      </c>
      <c r="B2" s="29">
        <f>'Densidad de Grupos'!J13</f>
        <v>5.1023937052437054</v>
      </c>
      <c r="C2" s="29">
        <f>'Densidad de Grupos'!O13</f>
        <v>125</v>
      </c>
      <c r="D2" s="29">
        <f>'Densidad de Grupos'!U13</f>
        <v>5</v>
      </c>
      <c r="E2" s="29">
        <f>'Densidad de Grupos'!AA13</f>
        <v>1</v>
      </c>
      <c r="F2" s="29">
        <f>E2*D2</f>
        <v>5</v>
      </c>
      <c r="G2" s="26" t="str">
        <f>'Densidad de Grupos'!A18</f>
        <v>Decapoda (Anomura Zoea)</v>
      </c>
      <c r="H2" s="26">
        <f>'Densidad de Grupos'!H18</f>
        <v>21</v>
      </c>
      <c r="I2" s="28">
        <f>((H2*C2)/(F2*B2))*2</f>
        <v>205.78576657479803</v>
      </c>
      <c r="J2" s="28">
        <f>I2*1000</f>
        <v>205785.76657479804</v>
      </c>
      <c r="L2" s="26" t="e">
        <f ca="1">_xlfn.XLOOKUP(G2,Lista!A:A,Lista!B:B)</f>
        <v>#NAME?</v>
      </c>
      <c r="M2" s="26" t="e">
        <f ca="1">_xlfn.XLOOKUP(L2,Lista!B:B,Lista!C:C)</f>
        <v>#NAME?</v>
      </c>
    </row>
    <row r="3" spans="1:13" x14ac:dyDescent="0.25">
      <c r="A3" s="27" t="str">
        <f>$A$2</f>
        <v>SP-21-0322</v>
      </c>
      <c r="B3" s="29">
        <f>$B$2</f>
        <v>5.1023937052437054</v>
      </c>
      <c r="C3" s="29">
        <f>$C$2</f>
        <v>125</v>
      </c>
      <c r="D3" s="29">
        <f>$D$2</f>
        <v>5</v>
      </c>
      <c r="E3" s="29">
        <f>$E$2</f>
        <v>1</v>
      </c>
      <c r="F3" s="29">
        <f>$F$2</f>
        <v>5</v>
      </c>
      <c r="G3" s="26" t="str">
        <f>'Densidad de Grupos'!A19</f>
        <v>Stomatopoda</v>
      </c>
      <c r="H3" s="26">
        <f>'Densidad de Grupos'!H19</f>
        <v>4</v>
      </c>
      <c r="I3" s="28">
        <f t="shared" ref="I3:I66" si="0">((H3*C3)/(F3*B3))*2</f>
        <v>39.1972888713901</v>
      </c>
      <c r="J3" s="28">
        <f t="shared" ref="J3:J66" si="1">I3*1000</f>
        <v>39197.288871390097</v>
      </c>
      <c r="L3" s="26" t="e">
        <f ca="1">_xlfn.XLOOKUP(G3,Lista!A:A,Lista!B:B)</f>
        <v>#NAME?</v>
      </c>
      <c r="M3" s="26" t="e">
        <f ca="1">_xlfn.XLOOKUP(L3,Lista!B:B,Lista!C:C)</f>
        <v>#NAME?</v>
      </c>
    </row>
    <row r="4" spans="1:13" x14ac:dyDescent="0.25">
      <c r="A4" s="27" t="str">
        <f t="shared" ref="A4:A65" si="2">$A$2</f>
        <v>SP-21-0322</v>
      </c>
      <c r="B4" s="29">
        <f t="shared" ref="B4:B65" si="3">$B$2</f>
        <v>5.1023937052437054</v>
      </c>
      <c r="C4" s="29">
        <f t="shared" ref="C4:C65" si="4">$C$2</f>
        <v>125</v>
      </c>
      <c r="D4" s="29">
        <f t="shared" ref="D4:D65" si="5">$D$2</f>
        <v>5</v>
      </c>
      <c r="E4" s="29">
        <f t="shared" ref="E4:E65" si="6">$E$2</f>
        <v>1</v>
      </c>
      <c r="F4" s="29">
        <f t="shared" ref="F4:F65" si="7">$F$2</f>
        <v>5</v>
      </c>
      <c r="G4" s="26" t="str">
        <f>'Densidad de Grupos'!A20</f>
        <v>Decapoda (Brachyura Zoea)</v>
      </c>
      <c r="H4" s="26">
        <f>'Densidad de Grupos'!H20</f>
        <v>132</v>
      </c>
      <c r="I4" s="28">
        <f t="shared" si="0"/>
        <v>1293.5105327558733</v>
      </c>
      <c r="J4" s="28">
        <f t="shared" si="1"/>
        <v>1293510.5327558734</v>
      </c>
      <c r="L4" s="26" t="e">
        <f ca="1">_xlfn.XLOOKUP(G4,Lista!A:A,Lista!B:B)</f>
        <v>#NAME?</v>
      </c>
      <c r="M4" s="26" t="e">
        <f ca="1">_xlfn.XLOOKUP(L4,Lista!B:B,Lista!C:C)</f>
        <v>#NAME?</v>
      </c>
    </row>
    <row r="5" spans="1:13" x14ac:dyDescent="0.25">
      <c r="A5" s="27" t="str">
        <f t="shared" si="2"/>
        <v>SP-21-0322</v>
      </c>
      <c r="B5" s="29">
        <f t="shared" si="3"/>
        <v>5.1023937052437054</v>
      </c>
      <c r="C5" s="29">
        <f t="shared" si="4"/>
        <v>125</v>
      </c>
      <c r="D5" s="29">
        <f t="shared" si="5"/>
        <v>5</v>
      </c>
      <c r="E5" s="29">
        <f t="shared" si="6"/>
        <v>1</v>
      </c>
      <c r="F5" s="29">
        <f t="shared" si="7"/>
        <v>5</v>
      </c>
      <c r="G5" s="26" t="str">
        <f>'Densidad de Grupos'!A21</f>
        <v>Copepoda (Calanoida)</v>
      </c>
      <c r="H5" s="26">
        <f>'Densidad de Grupos'!H21</f>
        <v>251</v>
      </c>
      <c r="I5" s="28">
        <f t="shared" si="0"/>
        <v>2459.6298766797286</v>
      </c>
      <c r="J5" s="28">
        <f t="shared" si="1"/>
        <v>2459629.8766797287</v>
      </c>
      <c r="L5" s="26" t="e">
        <f ca="1">_xlfn.XLOOKUP(G5,Lista!A:A,Lista!B:B)</f>
        <v>#NAME?</v>
      </c>
      <c r="M5" s="26" t="e">
        <f ca="1">_xlfn.XLOOKUP(L5,Lista!B:B,Lista!C:C)</f>
        <v>#NAME?</v>
      </c>
    </row>
    <row r="6" spans="1:13" x14ac:dyDescent="0.25">
      <c r="A6" s="27" t="str">
        <f t="shared" si="2"/>
        <v>SP-21-0322</v>
      </c>
      <c r="B6" s="29">
        <f t="shared" si="3"/>
        <v>5.1023937052437054</v>
      </c>
      <c r="C6" s="29">
        <f t="shared" si="4"/>
        <v>125</v>
      </c>
      <c r="D6" s="29">
        <f t="shared" si="5"/>
        <v>5</v>
      </c>
      <c r="E6" s="29">
        <f t="shared" si="6"/>
        <v>1</v>
      </c>
      <c r="F6" s="29">
        <f t="shared" si="7"/>
        <v>5</v>
      </c>
      <c r="G6" s="26" t="str">
        <f>'Densidad de Grupos'!A22</f>
        <v>Amphipoda (Hyperiidae)</v>
      </c>
      <c r="H6" s="26">
        <f>'Densidad de Grupos'!H22</f>
        <v>2</v>
      </c>
      <c r="I6" s="28">
        <f t="shared" si="0"/>
        <v>19.59864443569505</v>
      </c>
      <c r="J6" s="28">
        <f t="shared" si="1"/>
        <v>19598.644435695049</v>
      </c>
      <c r="L6" s="26" t="e">
        <f ca="1">_xlfn.XLOOKUP(G6,Lista!A:A,Lista!B:B)</f>
        <v>#NAME?</v>
      </c>
      <c r="M6" s="26" t="e">
        <f ca="1">_xlfn.XLOOKUP(L6,Lista!B:B,Lista!C:C)</f>
        <v>#NAME?</v>
      </c>
    </row>
    <row r="7" spans="1:13" x14ac:dyDescent="0.25">
      <c r="A7" s="27" t="str">
        <f t="shared" si="2"/>
        <v>SP-21-0322</v>
      </c>
      <c r="B7" s="29">
        <f t="shared" si="3"/>
        <v>5.1023937052437054</v>
      </c>
      <c r="C7" s="29">
        <f t="shared" si="4"/>
        <v>125</v>
      </c>
      <c r="D7" s="29">
        <f t="shared" si="5"/>
        <v>5</v>
      </c>
      <c r="E7" s="29">
        <f t="shared" si="6"/>
        <v>1</v>
      </c>
      <c r="F7" s="29">
        <f t="shared" si="7"/>
        <v>5</v>
      </c>
      <c r="G7" s="26" t="str">
        <f>'Densidad de Grupos'!A23</f>
        <v>Euphausiacea</v>
      </c>
      <c r="H7" s="26">
        <f>'Densidad de Grupos'!H23</f>
        <v>5</v>
      </c>
      <c r="I7" s="28">
        <f t="shared" si="0"/>
        <v>48.996611089237625</v>
      </c>
      <c r="J7" s="28">
        <f t="shared" si="1"/>
        <v>48996.611089237624</v>
      </c>
      <c r="L7" s="26" t="e">
        <f ca="1">_xlfn.XLOOKUP(G7,Lista!A:A,Lista!B:B)</f>
        <v>#NAME?</v>
      </c>
      <c r="M7" s="26" t="e">
        <f ca="1">_xlfn.XLOOKUP(L7,Lista!B:B,Lista!C:C)</f>
        <v>#NAME?</v>
      </c>
    </row>
    <row r="8" spans="1:13" x14ac:dyDescent="0.25">
      <c r="A8" s="27" t="str">
        <f t="shared" si="2"/>
        <v>SP-21-0322</v>
      </c>
      <c r="B8" s="29">
        <f t="shared" si="3"/>
        <v>5.1023937052437054</v>
      </c>
      <c r="C8" s="29">
        <f t="shared" si="4"/>
        <v>125</v>
      </c>
      <c r="D8" s="29">
        <f t="shared" si="5"/>
        <v>5</v>
      </c>
      <c r="E8" s="29">
        <f t="shared" si="6"/>
        <v>1</v>
      </c>
      <c r="F8" s="29">
        <f t="shared" si="7"/>
        <v>5</v>
      </c>
      <c r="G8" s="26" t="str">
        <f>'Densidad de Grupos'!A24</f>
        <v>Mollusca (Creseis)</v>
      </c>
      <c r="H8" s="26">
        <f>'Densidad de Grupos'!H24</f>
        <v>1</v>
      </c>
      <c r="I8" s="28">
        <f t="shared" si="0"/>
        <v>9.799322217847525</v>
      </c>
      <c r="J8" s="28">
        <f t="shared" si="1"/>
        <v>9799.3222178475244</v>
      </c>
      <c r="L8" s="26" t="e">
        <f ca="1">_xlfn.XLOOKUP(G8,Lista!A:A,Lista!B:B)</f>
        <v>#NAME?</v>
      </c>
      <c r="M8" s="26" t="e">
        <f ca="1">_xlfn.XLOOKUP(L8,Lista!B:B,Lista!C:C)</f>
        <v>#NAME?</v>
      </c>
    </row>
    <row r="9" spans="1:13" x14ac:dyDescent="0.25">
      <c r="A9" s="27" t="str">
        <f t="shared" si="2"/>
        <v>SP-21-0322</v>
      </c>
      <c r="B9" s="29">
        <f t="shared" si="3"/>
        <v>5.1023937052437054</v>
      </c>
      <c r="C9" s="29">
        <f t="shared" si="4"/>
        <v>125</v>
      </c>
      <c r="D9" s="29">
        <f t="shared" si="5"/>
        <v>5</v>
      </c>
      <c r="E9" s="29">
        <f t="shared" si="6"/>
        <v>1</v>
      </c>
      <c r="F9" s="29">
        <f t="shared" si="7"/>
        <v>5</v>
      </c>
      <c r="G9" s="26" t="str">
        <f>'Densidad de Grupos'!A25</f>
        <v>Copepoda (Cyclopoida)</v>
      </c>
      <c r="H9" s="26">
        <f>'Densidad de Grupos'!H25</f>
        <v>48</v>
      </c>
      <c r="I9" s="28">
        <f t="shared" si="0"/>
        <v>470.3674664566812</v>
      </c>
      <c r="J9" s="28">
        <f t="shared" si="1"/>
        <v>470367.4664566812</v>
      </c>
      <c r="L9" s="26" t="e">
        <f ca="1">_xlfn.XLOOKUP(G9,Lista!A:A,Lista!B:B)</f>
        <v>#NAME?</v>
      </c>
      <c r="M9" s="26" t="e">
        <f ca="1">_xlfn.XLOOKUP(L9,Lista!B:B,Lista!C:C)</f>
        <v>#NAME?</v>
      </c>
    </row>
    <row r="10" spans="1:13" x14ac:dyDescent="0.25">
      <c r="A10" s="27" t="str">
        <f t="shared" si="2"/>
        <v>SP-21-0322</v>
      </c>
      <c r="B10" s="29">
        <f t="shared" si="3"/>
        <v>5.1023937052437054</v>
      </c>
      <c r="C10" s="29">
        <f t="shared" si="4"/>
        <v>125</v>
      </c>
      <c r="D10" s="29">
        <f t="shared" si="5"/>
        <v>5</v>
      </c>
      <c r="E10" s="29">
        <f t="shared" si="6"/>
        <v>1</v>
      </c>
      <c r="F10" s="29">
        <f t="shared" si="7"/>
        <v>5</v>
      </c>
      <c r="G10" s="26" t="str">
        <f>'Densidad de Grupos'!A26</f>
        <v>Mollusca (Atlanta)</v>
      </c>
      <c r="H10" s="26">
        <f>'Densidad de Grupos'!H26</f>
        <v>4</v>
      </c>
      <c r="I10" s="28">
        <f t="shared" si="0"/>
        <v>39.1972888713901</v>
      </c>
      <c r="J10" s="28">
        <f t="shared" si="1"/>
        <v>39197.288871390097</v>
      </c>
      <c r="L10" s="26" t="e">
        <f ca="1">_xlfn.XLOOKUP(G10,Lista!A:A,Lista!B:B)</f>
        <v>#NAME?</v>
      </c>
      <c r="M10" s="26" t="e">
        <f ca="1">_xlfn.XLOOKUP(L10,Lista!B:B,Lista!C:C)</f>
        <v>#NAME?</v>
      </c>
    </row>
    <row r="11" spans="1:13" x14ac:dyDescent="0.25">
      <c r="A11" s="27" t="str">
        <f t="shared" si="2"/>
        <v>SP-21-0322</v>
      </c>
      <c r="B11" s="29">
        <f t="shared" si="3"/>
        <v>5.1023937052437054</v>
      </c>
      <c r="C11" s="29">
        <f t="shared" si="4"/>
        <v>125</v>
      </c>
      <c r="D11" s="29">
        <f t="shared" si="5"/>
        <v>5</v>
      </c>
      <c r="E11" s="29">
        <f t="shared" si="6"/>
        <v>1</v>
      </c>
      <c r="F11" s="29">
        <f t="shared" si="7"/>
        <v>5</v>
      </c>
      <c r="G11" s="26" t="str">
        <f>'Densidad de Grupos'!A27</f>
        <v>Pez (Huevo)</v>
      </c>
      <c r="H11" s="26">
        <f>'Densidad de Grupos'!H27</f>
        <v>4</v>
      </c>
      <c r="I11" s="28">
        <f t="shared" si="0"/>
        <v>39.1972888713901</v>
      </c>
      <c r="J11" s="28">
        <f t="shared" si="1"/>
        <v>39197.288871390097</v>
      </c>
      <c r="L11" s="26" t="e">
        <f ca="1">_xlfn.XLOOKUP(G11,Lista!A:A,Lista!B:B)</f>
        <v>#NAME?</v>
      </c>
      <c r="M11" s="26" t="e">
        <f ca="1">_xlfn.XLOOKUP(L11,Lista!B:B,Lista!C:C)</f>
        <v>#NAME?</v>
      </c>
    </row>
    <row r="12" spans="1:13" x14ac:dyDescent="0.25">
      <c r="A12" s="27" t="str">
        <f t="shared" si="2"/>
        <v>SP-21-0322</v>
      </c>
      <c r="B12" s="29">
        <f t="shared" si="3"/>
        <v>5.1023937052437054</v>
      </c>
      <c r="C12" s="29">
        <f t="shared" si="4"/>
        <v>125</v>
      </c>
      <c r="D12" s="29">
        <f t="shared" si="5"/>
        <v>5</v>
      </c>
      <c r="E12" s="29">
        <f t="shared" si="6"/>
        <v>1</v>
      </c>
      <c r="F12" s="29">
        <f t="shared" si="7"/>
        <v>5</v>
      </c>
      <c r="G12" s="26">
        <f>'Densidad de Grupos'!A28</f>
        <v>0</v>
      </c>
      <c r="H12" s="26">
        <f>'Densidad de Grupos'!H28</f>
        <v>0</v>
      </c>
      <c r="I12" s="28">
        <f t="shared" si="0"/>
        <v>0</v>
      </c>
      <c r="J12" s="28">
        <f t="shared" si="1"/>
        <v>0</v>
      </c>
      <c r="L12" s="26" t="e">
        <f ca="1">_xlfn.XLOOKUP(G12,Lista!A:A,Lista!B:B)</f>
        <v>#NAME?</v>
      </c>
      <c r="M12" s="26" t="e">
        <f ca="1">_xlfn.XLOOKUP(L12,Lista!B:B,Lista!C:C)</f>
        <v>#NAME?</v>
      </c>
    </row>
    <row r="13" spans="1:13" x14ac:dyDescent="0.25">
      <c r="A13" s="27" t="str">
        <f t="shared" si="2"/>
        <v>SP-21-0322</v>
      </c>
      <c r="B13" s="29">
        <f t="shared" si="3"/>
        <v>5.1023937052437054</v>
      </c>
      <c r="C13" s="29">
        <f t="shared" si="4"/>
        <v>125</v>
      </c>
      <c r="D13" s="29">
        <f t="shared" si="5"/>
        <v>5</v>
      </c>
      <c r="E13" s="29">
        <f t="shared" si="6"/>
        <v>1</v>
      </c>
      <c r="F13" s="29">
        <f t="shared" si="7"/>
        <v>5</v>
      </c>
      <c r="G13" s="26">
        <f>'Densidad de Grupos'!A29</f>
        <v>0</v>
      </c>
      <c r="H13" s="26">
        <f>'Densidad de Grupos'!H29</f>
        <v>0</v>
      </c>
      <c r="I13" s="28">
        <f t="shared" si="0"/>
        <v>0</v>
      </c>
      <c r="J13" s="28">
        <f t="shared" si="1"/>
        <v>0</v>
      </c>
      <c r="L13" s="26" t="e">
        <f ca="1">_xlfn.XLOOKUP(G13,Lista!A:A,Lista!B:B)</f>
        <v>#NAME?</v>
      </c>
      <c r="M13" s="26" t="e">
        <f ca="1">_xlfn.XLOOKUP(L13,Lista!B:B,Lista!C:C)</f>
        <v>#NAME?</v>
      </c>
    </row>
    <row r="14" spans="1:13" x14ac:dyDescent="0.25">
      <c r="A14" s="27" t="str">
        <f t="shared" si="2"/>
        <v>SP-21-0322</v>
      </c>
      <c r="B14" s="29">
        <f t="shared" si="3"/>
        <v>5.1023937052437054</v>
      </c>
      <c r="C14" s="29">
        <f t="shared" si="4"/>
        <v>125</v>
      </c>
      <c r="D14" s="29">
        <f t="shared" si="5"/>
        <v>5</v>
      </c>
      <c r="E14" s="29">
        <f t="shared" si="6"/>
        <v>1</v>
      </c>
      <c r="F14" s="29">
        <f t="shared" si="7"/>
        <v>5</v>
      </c>
      <c r="G14" s="26">
        <f>'Densidad de Grupos'!A30</f>
        <v>0</v>
      </c>
      <c r="H14" s="26">
        <f>'Densidad de Grupos'!H30</f>
        <v>0</v>
      </c>
      <c r="I14" s="28">
        <f t="shared" si="0"/>
        <v>0</v>
      </c>
      <c r="J14" s="28">
        <f t="shared" si="1"/>
        <v>0</v>
      </c>
      <c r="L14" s="26" t="e">
        <f ca="1">_xlfn.XLOOKUP(G14,Lista!A:A,Lista!B:B)</f>
        <v>#NAME?</v>
      </c>
      <c r="M14" s="26" t="e">
        <f ca="1">_xlfn.XLOOKUP(L14,Lista!B:B,Lista!C:C)</f>
        <v>#NAME?</v>
      </c>
    </row>
    <row r="15" spans="1:13" x14ac:dyDescent="0.25">
      <c r="A15" s="27" t="str">
        <f t="shared" si="2"/>
        <v>SP-21-0322</v>
      </c>
      <c r="B15" s="29">
        <f t="shared" si="3"/>
        <v>5.1023937052437054</v>
      </c>
      <c r="C15" s="29">
        <f t="shared" si="4"/>
        <v>125</v>
      </c>
      <c r="D15" s="29">
        <f t="shared" si="5"/>
        <v>5</v>
      </c>
      <c r="E15" s="29">
        <f t="shared" si="6"/>
        <v>1</v>
      </c>
      <c r="F15" s="29">
        <f t="shared" si="7"/>
        <v>5</v>
      </c>
      <c r="G15" s="26">
        <f>'Densidad de Grupos'!A31</f>
        <v>0</v>
      </c>
      <c r="H15" s="26">
        <f>'Densidad de Grupos'!H31</f>
        <v>0</v>
      </c>
      <c r="I15" s="28">
        <f t="shared" si="0"/>
        <v>0</v>
      </c>
      <c r="J15" s="28">
        <f t="shared" si="1"/>
        <v>0</v>
      </c>
      <c r="L15" s="26" t="e">
        <f ca="1">_xlfn.XLOOKUP(G15,Lista!A:A,Lista!B:B)</f>
        <v>#NAME?</v>
      </c>
      <c r="M15" s="26" t="e">
        <f ca="1">_xlfn.XLOOKUP(L15,Lista!B:B,Lista!C:C)</f>
        <v>#NAME?</v>
      </c>
    </row>
    <row r="16" spans="1:13" x14ac:dyDescent="0.25">
      <c r="A16" s="27" t="str">
        <f t="shared" si="2"/>
        <v>SP-21-0322</v>
      </c>
      <c r="B16" s="29">
        <f t="shared" si="3"/>
        <v>5.1023937052437054</v>
      </c>
      <c r="C16" s="29">
        <f t="shared" si="4"/>
        <v>125</v>
      </c>
      <c r="D16" s="29">
        <f t="shared" si="5"/>
        <v>5</v>
      </c>
      <c r="E16" s="29">
        <f t="shared" si="6"/>
        <v>1</v>
      </c>
      <c r="F16" s="29">
        <f t="shared" si="7"/>
        <v>5</v>
      </c>
      <c r="G16" s="26">
        <f>'Densidad de Grupos'!A32</f>
        <v>0</v>
      </c>
      <c r="H16" s="26">
        <f>'Densidad de Grupos'!H32</f>
        <v>0</v>
      </c>
      <c r="I16" s="28">
        <f t="shared" si="0"/>
        <v>0</v>
      </c>
      <c r="J16" s="28">
        <f t="shared" si="1"/>
        <v>0</v>
      </c>
      <c r="L16" s="26" t="e">
        <f ca="1">_xlfn.XLOOKUP(G16,Lista!A:A,Lista!B:B)</f>
        <v>#NAME?</v>
      </c>
      <c r="M16" s="26" t="e">
        <f ca="1">_xlfn.XLOOKUP(L16,Lista!B:B,Lista!C:C)</f>
        <v>#NAME?</v>
      </c>
    </row>
    <row r="17" spans="1:13" x14ac:dyDescent="0.25">
      <c r="A17" s="27" t="str">
        <f t="shared" si="2"/>
        <v>SP-21-0322</v>
      </c>
      <c r="B17" s="29">
        <f t="shared" si="3"/>
        <v>5.1023937052437054</v>
      </c>
      <c r="C17" s="29">
        <f t="shared" si="4"/>
        <v>125</v>
      </c>
      <c r="D17" s="29">
        <f t="shared" si="5"/>
        <v>5</v>
      </c>
      <c r="E17" s="29">
        <f t="shared" si="6"/>
        <v>1</v>
      </c>
      <c r="F17" s="29">
        <f t="shared" si="7"/>
        <v>5</v>
      </c>
      <c r="G17" s="26">
        <f>'Densidad de Grupos'!A33</f>
        <v>0</v>
      </c>
      <c r="H17" s="26">
        <f>'Densidad de Grupos'!H33</f>
        <v>0</v>
      </c>
      <c r="I17" s="28">
        <f t="shared" si="0"/>
        <v>0</v>
      </c>
      <c r="J17" s="28">
        <f t="shared" si="1"/>
        <v>0</v>
      </c>
      <c r="L17" s="26" t="e">
        <f ca="1">_xlfn.XLOOKUP(G17,Lista!A:A,Lista!B:B)</f>
        <v>#NAME?</v>
      </c>
      <c r="M17" s="26" t="e">
        <f ca="1">_xlfn.XLOOKUP(L17,Lista!B:B,Lista!C:C)</f>
        <v>#NAME?</v>
      </c>
    </row>
    <row r="18" spans="1:13" x14ac:dyDescent="0.25">
      <c r="A18" s="27" t="str">
        <f t="shared" si="2"/>
        <v>SP-21-0322</v>
      </c>
      <c r="B18" s="29">
        <f t="shared" si="3"/>
        <v>5.1023937052437054</v>
      </c>
      <c r="C18" s="29">
        <f t="shared" si="4"/>
        <v>125</v>
      </c>
      <c r="D18" s="29">
        <f t="shared" si="5"/>
        <v>5</v>
      </c>
      <c r="E18" s="29">
        <f t="shared" si="6"/>
        <v>1</v>
      </c>
      <c r="F18" s="29">
        <f t="shared" si="7"/>
        <v>5</v>
      </c>
      <c r="G18" s="26">
        <f>'Densidad de Grupos'!A34</f>
        <v>0</v>
      </c>
      <c r="H18" s="26">
        <f>'Densidad de Grupos'!H34</f>
        <v>0</v>
      </c>
      <c r="I18" s="28">
        <f t="shared" si="0"/>
        <v>0</v>
      </c>
      <c r="J18" s="28">
        <f t="shared" si="1"/>
        <v>0</v>
      </c>
      <c r="L18" s="26" t="e">
        <f ca="1">_xlfn.XLOOKUP(G18,Lista!A:A,Lista!B:B)</f>
        <v>#NAME?</v>
      </c>
      <c r="M18" s="26" t="e">
        <f ca="1">_xlfn.XLOOKUP(L18,Lista!B:B,Lista!C:C)</f>
        <v>#NAME?</v>
      </c>
    </row>
    <row r="19" spans="1:13" x14ac:dyDescent="0.25">
      <c r="A19" s="27" t="str">
        <f t="shared" si="2"/>
        <v>SP-21-0322</v>
      </c>
      <c r="B19" s="29">
        <f t="shared" si="3"/>
        <v>5.1023937052437054</v>
      </c>
      <c r="C19" s="29">
        <f t="shared" si="4"/>
        <v>125</v>
      </c>
      <c r="D19" s="29">
        <f t="shared" si="5"/>
        <v>5</v>
      </c>
      <c r="E19" s="29">
        <f t="shared" si="6"/>
        <v>1</v>
      </c>
      <c r="F19" s="29">
        <f t="shared" si="7"/>
        <v>5</v>
      </c>
      <c r="G19" s="26">
        <f>'Densidad de Grupos'!A35</f>
        <v>0</v>
      </c>
      <c r="H19" s="26">
        <f>'Densidad de Grupos'!H35</f>
        <v>0</v>
      </c>
      <c r="I19" s="28">
        <f t="shared" si="0"/>
        <v>0</v>
      </c>
      <c r="J19" s="28">
        <f t="shared" si="1"/>
        <v>0</v>
      </c>
      <c r="L19" s="26" t="e">
        <f ca="1">_xlfn.XLOOKUP(G19,Lista!A:A,Lista!B:B)</f>
        <v>#NAME?</v>
      </c>
      <c r="M19" s="26" t="e">
        <f ca="1">_xlfn.XLOOKUP(L19,Lista!B:B,Lista!C:C)</f>
        <v>#NAME?</v>
      </c>
    </row>
    <row r="20" spans="1:13" x14ac:dyDescent="0.25">
      <c r="A20" s="27" t="str">
        <f t="shared" si="2"/>
        <v>SP-21-0322</v>
      </c>
      <c r="B20" s="29">
        <f t="shared" si="3"/>
        <v>5.1023937052437054</v>
      </c>
      <c r="C20" s="29">
        <f t="shared" si="4"/>
        <v>125</v>
      </c>
      <c r="D20" s="29">
        <f t="shared" si="5"/>
        <v>5</v>
      </c>
      <c r="E20" s="29">
        <f t="shared" si="6"/>
        <v>1</v>
      </c>
      <c r="F20" s="29">
        <f t="shared" si="7"/>
        <v>5</v>
      </c>
      <c r="G20" s="26">
        <f>'Densidad de Grupos'!A36</f>
        <v>0</v>
      </c>
      <c r="H20" s="26">
        <f>'Densidad de Grupos'!H36</f>
        <v>0</v>
      </c>
      <c r="I20" s="28">
        <f t="shared" si="0"/>
        <v>0</v>
      </c>
      <c r="J20" s="28">
        <f t="shared" si="1"/>
        <v>0</v>
      </c>
      <c r="L20" s="26" t="e">
        <f ca="1">_xlfn.XLOOKUP(G20,Lista!A:A,Lista!B:B)</f>
        <v>#NAME?</v>
      </c>
      <c r="M20" s="26" t="e">
        <f ca="1">_xlfn.XLOOKUP(L20,Lista!B:B,Lista!C:C)</f>
        <v>#NAME?</v>
      </c>
    </row>
    <row r="21" spans="1:13" s="34" customFormat="1" x14ac:dyDescent="0.25">
      <c r="A21" s="32" t="str">
        <f t="shared" si="2"/>
        <v>SP-21-0322</v>
      </c>
      <c r="B21" s="33">
        <f t="shared" si="3"/>
        <v>5.1023937052437054</v>
      </c>
      <c r="C21" s="33">
        <f t="shared" si="4"/>
        <v>125</v>
      </c>
      <c r="D21" s="33">
        <f t="shared" si="5"/>
        <v>5</v>
      </c>
      <c r="E21" s="33">
        <f t="shared" si="6"/>
        <v>1</v>
      </c>
      <c r="F21" s="33">
        <f t="shared" si="7"/>
        <v>5</v>
      </c>
      <c r="G21" s="26" t="str">
        <f>'Densidad de Grupos'!A37</f>
        <v>Cladocera</v>
      </c>
      <c r="H21" s="26">
        <f>'Densidad de Grupos'!H37</f>
        <v>0</v>
      </c>
      <c r="I21" s="28">
        <f t="shared" si="0"/>
        <v>0</v>
      </c>
      <c r="J21" s="28">
        <f t="shared" si="1"/>
        <v>0</v>
      </c>
      <c r="L21" s="34" t="e">
        <f ca="1">_xlfn.XLOOKUP(G21,Lista!A:A,Lista!B:B)</f>
        <v>#NAME?</v>
      </c>
      <c r="M21" s="34" t="e">
        <f ca="1">_xlfn.XLOOKUP(L21,Lista!B:B,Lista!C:C)</f>
        <v>#NAME?</v>
      </c>
    </row>
    <row r="22" spans="1:13" x14ac:dyDescent="0.25">
      <c r="A22" s="27" t="str">
        <f t="shared" si="2"/>
        <v>SP-21-0322</v>
      </c>
      <c r="B22" s="29">
        <f t="shared" si="3"/>
        <v>5.1023937052437054</v>
      </c>
      <c r="C22" s="29">
        <f t="shared" si="4"/>
        <v>125</v>
      </c>
      <c r="D22" s="29">
        <f t="shared" si="5"/>
        <v>5</v>
      </c>
      <c r="E22" s="29">
        <f t="shared" si="6"/>
        <v>1</v>
      </c>
      <c r="F22" s="29">
        <f t="shared" si="7"/>
        <v>5</v>
      </c>
      <c r="G22" s="26">
        <f>'Densidad de Grupos'!A38</f>
        <v>0</v>
      </c>
      <c r="H22" s="26">
        <f>'Densidad de Grupos'!H38</f>
        <v>0</v>
      </c>
      <c r="I22" s="28">
        <f t="shared" si="0"/>
        <v>0</v>
      </c>
      <c r="J22" s="28">
        <f t="shared" si="1"/>
        <v>0</v>
      </c>
      <c r="L22" s="26" t="e">
        <f ca="1">_xlfn.XLOOKUP(G22,Lista!A:A,Lista!B:B)</f>
        <v>#NAME?</v>
      </c>
      <c r="M22" s="26" t="e">
        <f ca="1">_xlfn.XLOOKUP(L22,Lista!B:B,Lista!C:C)</f>
        <v>#NAME?</v>
      </c>
    </row>
    <row r="23" spans="1:13" x14ac:dyDescent="0.25">
      <c r="A23" s="27" t="str">
        <f t="shared" si="2"/>
        <v>SP-21-0322</v>
      </c>
      <c r="B23" s="29">
        <f t="shared" si="3"/>
        <v>5.1023937052437054</v>
      </c>
      <c r="C23" s="29">
        <f t="shared" si="4"/>
        <v>125</v>
      </c>
      <c r="D23" s="29">
        <f t="shared" si="5"/>
        <v>5</v>
      </c>
      <c r="E23" s="29">
        <f t="shared" si="6"/>
        <v>1</v>
      </c>
      <c r="F23" s="29">
        <f t="shared" si="7"/>
        <v>5</v>
      </c>
      <c r="G23" s="26">
        <f>'Densidad de Grupos'!A39</f>
        <v>0</v>
      </c>
      <c r="H23" s="26">
        <f>'Densidad de Grupos'!H39</f>
        <v>0</v>
      </c>
      <c r="I23" s="28">
        <f t="shared" si="0"/>
        <v>0</v>
      </c>
      <c r="J23" s="28">
        <f t="shared" si="1"/>
        <v>0</v>
      </c>
      <c r="L23" s="26" t="e">
        <f ca="1">_xlfn.XLOOKUP(G23,Lista!A:A,Lista!B:B)</f>
        <v>#NAME?</v>
      </c>
      <c r="M23" s="26" t="e">
        <f ca="1">_xlfn.XLOOKUP(L23,Lista!B:B,Lista!C:C)</f>
        <v>#NAME?</v>
      </c>
    </row>
    <row r="24" spans="1:13" x14ac:dyDescent="0.25">
      <c r="A24" s="27" t="str">
        <f t="shared" si="2"/>
        <v>SP-21-0322</v>
      </c>
      <c r="B24" s="29">
        <f t="shared" si="3"/>
        <v>5.1023937052437054</v>
      </c>
      <c r="C24" s="29">
        <f t="shared" si="4"/>
        <v>125</v>
      </c>
      <c r="D24" s="29">
        <f t="shared" si="5"/>
        <v>5</v>
      </c>
      <c r="E24" s="29">
        <f t="shared" si="6"/>
        <v>1</v>
      </c>
      <c r="F24" s="29">
        <f t="shared" si="7"/>
        <v>5</v>
      </c>
      <c r="G24" s="26">
        <f>'Densidad de Grupos'!A40</f>
        <v>0</v>
      </c>
      <c r="H24" s="26">
        <f>'Densidad de Grupos'!H40</f>
        <v>0</v>
      </c>
      <c r="I24" s="28">
        <f t="shared" si="0"/>
        <v>0</v>
      </c>
      <c r="J24" s="28">
        <f t="shared" si="1"/>
        <v>0</v>
      </c>
      <c r="L24" s="26" t="e">
        <f ca="1">_xlfn.XLOOKUP(G24,Lista!A:A,Lista!B:B)</f>
        <v>#NAME?</v>
      </c>
      <c r="M24" s="26" t="e">
        <f ca="1">_xlfn.XLOOKUP(L24,Lista!B:B,Lista!C:C)</f>
        <v>#NAME?</v>
      </c>
    </row>
    <row r="25" spans="1:13" x14ac:dyDescent="0.25">
      <c r="A25" s="27" t="str">
        <f t="shared" si="2"/>
        <v>SP-21-0322</v>
      </c>
      <c r="B25" s="29">
        <f t="shared" si="3"/>
        <v>5.1023937052437054</v>
      </c>
      <c r="C25" s="29">
        <f t="shared" si="4"/>
        <v>125</v>
      </c>
      <c r="D25" s="29">
        <f t="shared" si="5"/>
        <v>5</v>
      </c>
      <c r="E25" s="29">
        <f t="shared" si="6"/>
        <v>1</v>
      </c>
      <c r="F25" s="29">
        <f t="shared" si="7"/>
        <v>5</v>
      </c>
      <c r="G25" s="26">
        <f>'Densidad de Grupos'!A41</f>
        <v>0</v>
      </c>
      <c r="H25" s="26">
        <f>'Densidad de Grupos'!H41</f>
        <v>0</v>
      </c>
      <c r="I25" s="28">
        <f t="shared" si="0"/>
        <v>0</v>
      </c>
      <c r="J25" s="28">
        <f t="shared" si="1"/>
        <v>0</v>
      </c>
      <c r="L25" s="26" t="e">
        <f ca="1">_xlfn.XLOOKUP(G25,Lista!A:A,Lista!B:B)</f>
        <v>#NAME?</v>
      </c>
      <c r="M25" s="26" t="e">
        <f ca="1">_xlfn.XLOOKUP(L25,Lista!B:B,Lista!C:C)</f>
        <v>#NAME?</v>
      </c>
    </row>
    <row r="26" spans="1:13" x14ac:dyDescent="0.25">
      <c r="A26" s="27" t="str">
        <f t="shared" si="2"/>
        <v>SP-21-0322</v>
      </c>
      <c r="B26" s="29">
        <f t="shared" si="3"/>
        <v>5.1023937052437054</v>
      </c>
      <c r="C26" s="29">
        <f t="shared" si="4"/>
        <v>125</v>
      </c>
      <c r="D26" s="29">
        <f t="shared" si="5"/>
        <v>5</v>
      </c>
      <c r="E26" s="29">
        <f t="shared" si="6"/>
        <v>1</v>
      </c>
      <c r="F26" s="29">
        <f t="shared" si="7"/>
        <v>5</v>
      </c>
      <c r="G26" s="26">
        <f>'Densidad de Grupos'!A42</f>
        <v>0</v>
      </c>
      <c r="H26" s="26">
        <f>'Densidad de Grupos'!H42</f>
        <v>0</v>
      </c>
      <c r="I26" s="28">
        <f t="shared" si="0"/>
        <v>0</v>
      </c>
      <c r="J26" s="28">
        <f t="shared" si="1"/>
        <v>0</v>
      </c>
      <c r="L26" s="26" t="e">
        <f ca="1">_xlfn.XLOOKUP(G26,Lista!A:A,Lista!B:B)</f>
        <v>#NAME?</v>
      </c>
      <c r="M26" s="26" t="e">
        <f ca="1">_xlfn.XLOOKUP(L26,Lista!B:B,Lista!C:C)</f>
        <v>#NAME?</v>
      </c>
    </row>
    <row r="27" spans="1:13" x14ac:dyDescent="0.25">
      <c r="A27" s="27" t="str">
        <f t="shared" si="2"/>
        <v>SP-21-0322</v>
      </c>
      <c r="B27" s="29">
        <f t="shared" si="3"/>
        <v>5.1023937052437054</v>
      </c>
      <c r="C27" s="29">
        <f t="shared" si="4"/>
        <v>125</v>
      </c>
      <c r="D27" s="29">
        <f t="shared" si="5"/>
        <v>5</v>
      </c>
      <c r="E27" s="29">
        <f t="shared" si="6"/>
        <v>1</v>
      </c>
      <c r="F27" s="29">
        <f t="shared" si="7"/>
        <v>5</v>
      </c>
      <c r="G27" s="26">
        <f>'Densidad de Grupos'!A43</f>
        <v>0</v>
      </c>
      <c r="H27" s="26">
        <f>'Densidad de Grupos'!H43</f>
        <v>0</v>
      </c>
      <c r="I27" s="28">
        <f t="shared" si="0"/>
        <v>0</v>
      </c>
      <c r="J27" s="28">
        <f t="shared" si="1"/>
        <v>0</v>
      </c>
      <c r="L27" s="26" t="e">
        <f ca="1">_xlfn.XLOOKUP(G27,Lista!A:A,Lista!B:B)</f>
        <v>#NAME?</v>
      </c>
      <c r="M27" s="26" t="e">
        <f ca="1">_xlfn.XLOOKUP(L27,Lista!B:B,Lista!C:C)</f>
        <v>#NAME?</v>
      </c>
    </row>
    <row r="28" spans="1:13" x14ac:dyDescent="0.25">
      <c r="A28" s="27" t="str">
        <f t="shared" si="2"/>
        <v>SP-21-0322</v>
      </c>
      <c r="B28" s="29">
        <f t="shared" si="3"/>
        <v>5.1023937052437054</v>
      </c>
      <c r="C28" s="29">
        <f t="shared" si="4"/>
        <v>125</v>
      </c>
      <c r="D28" s="29">
        <f t="shared" si="5"/>
        <v>5</v>
      </c>
      <c r="E28" s="29">
        <f t="shared" si="6"/>
        <v>1</v>
      </c>
      <c r="F28" s="29">
        <f t="shared" si="7"/>
        <v>5</v>
      </c>
      <c r="G28" s="26">
        <f>'Densidad de Grupos'!A44</f>
        <v>0</v>
      </c>
      <c r="H28" s="26">
        <f>'Densidad de Grupos'!H44</f>
        <v>0</v>
      </c>
      <c r="I28" s="28">
        <f t="shared" si="0"/>
        <v>0</v>
      </c>
      <c r="J28" s="28">
        <f t="shared" si="1"/>
        <v>0</v>
      </c>
      <c r="L28" s="26" t="e">
        <f ca="1">_xlfn.XLOOKUP(G28,Lista!A:A,Lista!B:B)</f>
        <v>#NAME?</v>
      </c>
      <c r="M28" s="26" t="e">
        <f ca="1">_xlfn.XLOOKUP(L28,Lista!B:B,Lista!C:C)</f>
        <v>#NAME?</v>
      </c>
    </row>
    <row r="29" spans="1:13" x14ac:dyDescent="0.25">
      <c r="A29" s="27" t="str">
        <f t="shared" si="2"/>
        <v>SP-21-0322</v>
      </c>
      <c r="B29" s="29">
        <f t="shared" si="3"/>
        <v>5.1023937052437054</v>
      </c>
      <c r="C29" s="29">
        <f t="shared" si="4"/>
        <v>125</v>
      </c>
      <c r="D29" s="29">
        <f t="shared" si="5"/>
        <v>5</v>
      </c>
      <c r="E29" s="29">
        <f t="shared" si="6"/>
        <v>1</v>
      </c>
      <c r="F29" s="29">
        <f t="shared" si="7"/>
        <v>5</v>
      </c>
      <c r="G29" s="26">
        <f>'Densidad de Grupos'!A45</f>
        <v>0</v>
      </c>
      <c r="H29" s="26">
        <f>'Densidad de Grupos'!H45</f>
        <v>0</v>
      </c>
      <c r="I29" s="28">
        <f t="shared" si="0"/>
        <v>0</v>
      </c>
      <c r="J29" s="28">
        <f t="shared" si="1"/>
        <v>0</v>
      </c>
      <c r="L29" s="26" t="e">
        <f ca="1">_xlfn.XLOOKUP(G29,Lista!A:A,Lista!B:B)</f>
        <v>#NAME?</v>
      </c>
      <c r="M29" s="26" t="e">
        <f ca="1">_xlfn.XLOOKUP(L29,Lista!B:B,Lista!C:C)</f>
        <v>#NAME?</v>
      </c>
    </row>
    <row r="30" spans="1:13" x14ac:dyDescent="0.25">
      <c r="A30" s="27" t="str">
        <f t="shared" si="2"/>
        <v>SP-21-0322</v>
      </c>
      <c r="B30" s="29">
        <f t="shared" si="3"/>
        <v>5.1023937052437054</v>
      </c>
      <c r="C30" s="29">
        <f t="shared" si="4"/>
        <v>125</v>
      </c>
      <c r="D30" s="29">
        <f t="shared" si="5"/>
        <v>5</v>
      </c>
      <c r="E30" s="29">
        <f t="shared" si="6"/>
        <v>1</v>
      </c>
      <c r="F30" s="29">
        <f t="shared" si="7"/>
        <v>5</v>
      </c>
      <c r="G30" s="26">
        <f>'Densidad de Grupos'!A46</f>
        <v>0</v>
      </c>
      <c r="H30" s="26">
        <f>'Densidad de Grupos'!H46</f>
        <v>0</v>
      </c>
      <c r="I30" s="28">
        <f t="shared" si="0"/>
        <v>0</v>
      </c>
      <c r="J30" s="28">
        <f t="shared" si="1"/>
        <v>0</v>
      </c>
      <c r="L30" s="26" t="e">
        <f ca="1">_xlfn.XLOOKUP(G30,Lista!A:A,Lista!B:B)</f>
        <v>#NAME?</v>
      </c>
      <c r="M30" s="26" t="e">
        <f ca="1">_xlfn.XLOOKUP(L30,Lista!B:B,Lista!C:C)</f>
        <v>#NAME?</v>
      </c>
    </row>
    <row r="31" spans="1:13" x14ac:dyDescent="0.25">
      <c r="A31" s="27" t="str">
        <f t="shared" si="2"/>
        <v>SP-21-0322</v>
      </c>
      <c r="B31" s="29">
        <f t="shared" si="3"/>
        <v>5.1023937052437054</v>
      </c>
      <c r="C31" s="29">
        <f t="shared" si="4"/>
        <v>125</v>
      </c>
      <c r="D31" s="29">
        <f t="shared" si="5"/>
        <v>5</v>
      </c>
      <c r="E31" s="29">
        <f t="shared" si="6"/>
        <v>1</v>
      </c>
      <c r="F31" s="29">
        <f t="shared" si="7"/>
        <v>5</v>
      </c>
      <c r="G31" s="26">
        <f>'Densidad de Grupos'!A47</f>
        <v>0</v>
      </c>
      <c r="H31" s="26">
        <f>'Densidad de Grupos'!H47</f>
        <v>0</v>
      </c>
      <c r="I31" s="28">
        <f t="shared" si="0"/>
        <v>0</v>
      </c>
      <c r="J31" s="28">
        <f t="shared" si="1"/>
        <v>0</v>
      </c>
      <c r="L31" s="26" t="e">
        <f ca="1">_xlfn.XLOOKUP(G31,Lista!A:A,Lista!B:B)</f>
        <v>#NAME?</v>
      </c>
      <c r="M31" s="26" t="e">
        <f ca="1">_xlfn.XLOOKUP(L31,Lista!B:B,Lista!C:C)</f>
        <v>#NAME?</v>
      </c>
    </row>
    <row r="32" spans="1:13" x14ac:dyDescent="0.25">
      <c r="A32" s="27" t="str">
        <f t="shared" si="2"/>
        <v>SP-21-0322</v>
      </c>
      <c r="B32" s="29">
        <f t="shared" si="3"/>
        <v>5.1023937052437054</v>
      </c>
      <c r="C32" s="29">
        <f t="shared" si="4"/>
        <v>125</v>
      </c>
      <c r="D32" s="29">
        <f t="shared" si="5"/>
        <v>5</v>
      </c>
      <c r="E32" s="29">
        <f t="shared" si="6"/>
        <v>1</v>
      </c>
      <c r="F32" s="29">
        <f t="shared" si="7"/>
        <v>5</v>
      </c>
      <c r="G32" s="26">
        <f>'Densidad de Grupos'!A48</f>
        <v>0</v>
      </c>
      <c r="H32" s="26">
        <f>'Densidad de Grupos'!H48</f>
        <v>0</v>
      </c>
      <c r="I32" s="28">
        <f t="shared" si="0"/>
        <v>0</v>
      </c>
      <c r="J32" s="28">
        <f t="shared" si="1"/>
        <v>0</v>
      </c>
      <c r="L32" s="26" t="e">
        <f ca="1">_xlfn.XLOOKUP(G32,Lista!A:A,Lista!B:B)</f>
        <v>#NAME?</v>
      </c>
      <c r="M32" s="26" t="e">
        <f ca="1">_xlfn.XLOOKUP(L32,Lista!B:B,Lista!C:C)</f>
        <v>#NAME?</v>
      </c>
    </row>
    <row r="33" spans="1:13" x14ac:dyDescent="0.25">
      <c r="A33" s="27" t="str">
        <f t="shared" si="2"/>
        <v>SP-21-0322</v>
      </c>
      <c r="B33" s="29">
        <f t="shared" si="3"/>
        <v>5.1023937052437054</v>
      </c>
      <c r="C33" s="29">
        <f t="shared" si="4"/>
        <v>125</v>
      </c>
      <c r="D33" s="29">
        <f t="shared" si="5"/>
        <v>5</v>
      </c>
      <c r="E33" s="29">
        <f t="shared" si="6"/>
        <v>1</v>
      </c>
      <c r="F33" s="29">
        <f t="shared" si="7"/>
        <v>5</v>
      </c>
      <c r="G33" s="26">
        <f>'Densidad de Grupos'!A49</f>
        <v>0</v>
      </c>
      <c r="H33" s="26">
        <f>'Densidad de Grupos'!H49</f>
        <v>0</v>
      </c>
      <c r="I33" s="28">
        <f t="shared" si="0"/>
        <v>0</v>
      </c>
      <c r="J33" s="28">
        <f t="shared" si="1"/>
        <v>0</v>
      </c>
      <c r="L33" s="26" t="e">
        <f ca="1">_xlfn.XLOOKUP(G33,Lista!A:A,Lista!B:B)</f>
        <v>#NAME?</v>
      </c>
      <c r="M33" s="26" t="e">
        <f ca="1">_xlfn.XLOOKUP(L33,Lista!B:B,Lista!C:C)</f>
        <v>#NAME?</v>
      </c>
    </row>
    <row r="34" spans="1:13" x14ac:dyDescent="0.25">
      <c r="A34" s="27" t="str">
        <f t="shared" si="2"/>
        <v>SP-21-0322</v>
      </c>
      <c r="B34" s="29">
        <f t="shared" si="3"/>
        <v>5.1023937052437054</v>
      </c>
      <c r="C34" s="29">
        <f t="shared" si="4"/>
        <v>125</v>
      </c>
      <c r="D34" s="29">
        <f t="shared" si="5"/>
        <v>5</v>
      </c>
      <c r="E34" s="29">
        <f t="shared" si="6"/>
        <v>1</v>
      </c>
      <c r="F34" s="29">
        <f t="shared" si="7"/>
        <v>5</v>
      </c>
      <c r="G34" s="26">
        <f>'Densidad de Grupos'!A50</f>
        <v>0</v>
      </c>
      <c r="H34" s="26">
        <f>'Densidad de Grupos'!H50</f>
        <v>0</v>
      </c>
      <c r="I34" s="28">
        <f t="shared" si="0"/>
        <v>0</v>
      </c>
      <c r="J34" s="28">
        <f t="shared" si="1"/>
        <v>0</v>
      </c>
      <c r="L34" s="26" t="e">
        <f ca="1">_xlfn.XLOOKUP(G34,Lista!A:A,Lista!B:B)</f>
        <v>#NAME?</v>
      </c>
      <c r="M34" s="26" t="e">
        <f ca="1">_xlfn.XLOOKUP(L34,Lista!B:B,Lista!C:C)</f>
        <v>#NAME?</v>
      </c>
    </row>
    <row r="35" spans="1:13" x14ac:dyDescent="0.25">
      <c r="A35" s="27" t="str">
        <f t="shared" si="2"/>
        <v>SP-21-0322</v>
      </c>
      <c r="B35" s="29">
        <f t="shared" si="3"/>
        <v>5.1023937052437054</v>
      </c>
      <c r="C35" s="29">
        <f t="shared" si="4"/>
        <v>125</v>
      </c>
      <c r="D35" s="29">
        <f t="shared" si="5"/>
        <v>5</v>
      </c>
      <c r="E35" s="29">
        <f t="shared" si="6"/>
        <v>1</v>
      </c>
      <c r="F35" s="29">
        <f t="shared" si="7"/>
        <v>5</v>
      </c>
      <c r="G35" s="26">
        <f>'Densidad de Grupos'!A51</f>
        <v>0</v>
      </c>
      <c r="H35" s="26">
        <f>'Densidad de Grupos'!H51</f>
        <v>0</v>
      </c>
      <c r="I35" s="28">
        <f t="shared" si="0"/>
        <v>0</v>
      </c>
      <c r="J35" s="28">
        <f t="shared" si="1"/>
        <v>0</v>
      </c>
      <c r="L35" s="26" t="e">
        <f ca="1">_xlfn.XLOOKUP(G35,Lista!A:A,Lista!B:B)</f>
        <v>#NAME?</v>
      </c>
      <c r="M35" s="26" t="e">
        <f ca="1">_xlfn.XLOOKUP(L35,Lista!B:B,Lista!C:C)</f>
        <v>#NAME?</v>
      </c>
    </row>
    <row r="36" spans="1:13" x14ac:dyDescent="0.25">
      <c r="A36" s="27" t="str">
        <f t="shared" si="2"/>
        <v>SP-21-0322</v>
      </c>
      <c r="B36" s="29">
        <f t="shared" si="3"/>
        <v>5.1023937052437054</v>
      </c>
      <c r="C36" s="29">
        <f t="shared" si="4"/>
        <v>125</v>
      </c>
      <c r="D36" s="29">
        <f t="shared" si="5"/>
        <v>5</v>
      </c>
      <c r="E36" s="29">
        <f t="shared" si="6"/>
        <v>1</v>
      </c>
      <c r="F36" s="29">
        <f t="shared" si="7"/>
        <v>5</v>
      </c>
      <c r="G36" s="26">
        <f>'Densidad de Grupos'!A52</f>
        <v>0</v>
      </c>
      <c r="H36" s="26">
        <f>'Densidad de Grupos'!H52</f>
        <v>0</v>
      </c>
      <c r="I36" s="28">
        <f t="shared" si="0"/>
        <v>0</v>
      </c>
      <c r="J36" s="28">
        <f t="shared" si="1"/>
        <v>0</v>
      </c>
      <c r="L36" s="26" t="e">
        <f ca="1">_xlfn.XLOOKUP(G36,Lista!A:A,Lista!B:B)</f>
        <v>#NAME?</v>
      </c>
      <c r="M36" s="26" t="e">
        <f ca="1">_xlfn.XLOOKUP(L36,Lista!B:B,Lista!C:C)</f>
        <v>#NAME?</v>
      </c>
    </row>
    <row r="37" spans="1:13" x14ac:dyDescent="0.25">
      <c r="A37" s="27" t="str">
        <f t="shared" si="2"/>
        <v>SP-21-0322</v>
      </c>
      <c r="B37" s="29">
        <f t="shared" si="3"/>
        <v>5.1023937052437054</v>
      </c>
      <c r="C37" s="29">
        <f t="shared" si="4"/>
        <v>125</v>
      </c>
      <c r="D37" s="29">
        <f t="shared" si="5"/>
        <v>5</v>
      </c>
      <c r="E37" s="29">
        <f t="shared" si="6"/>
        <v>1</v>
      </c>
      <c r="F37" s="29">
        <f t="shared" si="7"/>
        <v>5</v>
      </c>
      <c r="G37" s="26">
        <f>'Densidad de Grupos'!A53</f>
        <v>0</v>
      </c>
      <c r="H37" s="26">
        <f>'Densidad de Grupos'!H53</f>
        <v>0</v>
      </c>
      <c r="I37" s="28">
        <f t="shared" si="0"/>
        <v>0</v>
      </c>
      <c r="J37" s="28">
        <f t="shared" si="1"/>
        <v>0</v>
      </c>
      <c r="L37" s="26" t="e">
        <f ca="1">_xlfn.XLOOKUP(G37,Lista!A:A,Lista!B:B)</f>
        <v>#NAME?</v>
      </c>
      <c r="M37" s="26" t="e">
        <f ca="1">_xlfn.XLOOKUP(L37,Lista!B:B,Lista!C:C)</f>
        <v>#NAME?</v>
      </c>
    </row>
    <row r="38" spans="1:13" x14ac:dyDescent="0.25">
      <c r="A38" s="27" t="str">
        <f t="shared" si="2"/>
        <v>SP-21-0322</v>
      </c>
      <c r="B38" s="29">
        <f t="shared" si="3"/>
        <v>5.1023937052437054</v>
      </c>
      <c r="C38" s="29">
        <f t="shared" si="4"/>
        <v>125</v>
      </c>
      <c r="D38" s="29">
        <f t="shared" si="5"/>
        <v>5</v>
      </c>
      <c r="E38" s="29">
        <f t="shared" si="6"/>
        <v>1</v>
      </c>
      <c r="F38" s="29">
        <f t="shared" si="7"/>
        <v>5</v>
      </c>
      <c r="G38" s="26">
        <f>'Densidad de Grupos'!A54</f>
        <v>0</v>
      </c>
      <c r="H38" s="26">
        <f>'Densidad de Grupos'!H54</f>
        <v>0</v>
      </c>
      <c r="I38" s="28">
        <f t="shared" si="0"/>
        <v>0</v>
      </c>
      <c r="J38" s="28">
        <f t="shared" si="1"/>
        <v>0</v>
      </c>
      <c r="L38" s="26" t="e">
        <f ca="1">_xlfn.XLOOKUP(G38,Lista!A:A,Lista!B:B)</f>
        <v>#NAME?</v>
      </c>
      <c r="M38" s="26" t="e">
        <f ca="1">_xlfn.XLOOKUP(L38,Lista!B:B,Lista!C:C)</f>
        <v>#NAME?</v>
      </c>
    </row>
    <row r="39" spans="1:13" x14ac:dyDescent="0.25">
      <c r="A39" s="27" t="str">
        <f t="shared" si="2"/>
        <v>SP-21-0322</v>
      </c>
      <c r="B39" s="29">
        <f t="shared" si="3"/>
        <v>5.1023937052437054</v>
      </c>
      <c r="C39" s="29">
        <f t="shared" si="4"/>
        <v>125</v>
      </c>
      <c r="D39" s="29">
        <f t="shared" si="5"/>
        <v>5</v>
      </c>
      <c r="E39" s="29">
        <f t="shared" si="6"/>
        <v>1</v>
      </c>
      <c r="F39" s="29">
        <f t="shared" si="7"/>
        <v>5</v>
      </c>
      <c r="G39" s="26">
        <f>'Densidad de Grupos'!A55</f>
        <v>0</v>
      </c>
      <c r="H39" s="26">
        <f>'Densidad de Grupos'!H55</f>
        <v>0</v>
      </c>
      <c r="I39" s="28">
        <f t="shared" si="0"/>
        <v>0</v>
      </c>
      <c r="J39" s="28">
        <f t="shared" si="1"/>
        <v>0</v>
      </c>
      <c r="L39" s="26" t="e">
        <f ca="1">_xlfn.XLOOKUP(G39,Lista!A:A,Lista!B:B)</f>
        <v>#NAME?</v>
      </c>
      <c r="M39" s="26" t="e">
        <f ca="1">_xlfn.XLOOKUP(L39,Lista!B:B,Lista!C:C)</f>
        <v>#NAME?</v>
      </c>
    </row>
    <row r="40" spans="1:13" x14ac:dyDescent="0.25">
      <c r="A40" s="27" t="str">
        <f t="shared" si="2"/>
        <v>SP-21-0322</v>
      </c>
      <c r="B40" s="29">
        <f t="shared" si="3"/>
        <v>5.1023937052437054</v>
      </c>
      <c r="C40" s="29">
        <f t="shared" si="4"/>
        <v>125</v>
      </c>
      <c r="D40" s="29">
        <f t="shared" si="5"/>
        <v>5</v>
      </c>
      <c r="E40" s="29">
        <f t="shared" si="6"/>
        <v>1</v>
      </c>
      <c r="F40" s="29">
        <f t="shared" si="7"/>
        <v>5</v>
      </c>
      <c r="G40" s="26">
        <f>'Densidad de Grupos'!A56</f>
        <v>0</v>
      </c>
      <c r="H40" s="26">
        <f>'Densidad de Grupos'!H56</f>
        <v>0</v>
      </c>
      <c r="I40" s="28">
        <f t="shared" si="0"/>
        <v>0</v>
      </c>
      <c r="J40" s="28">
        <f t="shared" si="1"/>
        <v>0</v>
      </c>
      <c r="L40" s="26" t="e">
        <f ca="1">_xlfn.XLOOKUP(G40,Lista!A:A,Lista!B:B)</f>
        <v>#NAME?</v>
      </c>
      <c r="M40" s="26" t="e">
        <f ca="1">_xlfn.XLOOKUP(L40,Lista!B:B,Lista!C:C)</f>
        <v>#NAME?</v>
      </c>
    </row>
    <row r="41" spans="1:13" s="34" customFormat="1" x14ac:dyDescent="0.25">
      <c r="A41" s="32" t="str">
        <f t="shared" si="2"/>
        <v>SP-21-0322</v>
      </c>
      <c r="B41" s="33">
        <f t="shared" si="3"/>
        <v>5.1023937052437054</v>
      </c>
      <c r="C41" s="33">
        <f t="shared" si="4"/>
        <v>125</v>
      </c>
      <c r="D41" s="33">
        <f t="shared" si="5"/>
        <v>5</v>
      </c>
      <c r="E41" s="33">
        <f t="shared" si="6"/>
        <v>1</v>
      </c>
      <c r="F41" s="33">
        <f t="shared" si="7"/>
        <v>5</v>
      </c>
      <c r="G41" s="26">
        <f>'Densidad de Grupos'!A57</f>
        <v>0</v>
      </c>
      <c r="H41" s="26">
        <f>'Densidad de Grupos'!H57</f>
        <v>0</v>
      </c>
      <c r="I41" s="28">
        <f t="shared" si="0"/>
        <v>0</v>
      </c>
      <c r="J41" s="28">
        <f t="shared" si="1"/>
        <v>0</v>
      </c>
      <c r="L41" s="26" t="e">
        <f ca="1">_xlfn.XLOOKUP(G41,Lista!A:A,Lista!B:B)</f>
        <v>#NAME?</v>
      </c>
      <c r="M41" s="26" t="e">
        <f ca="1">_xlfn.XLOOKUP(L41,Lista!B:B,Lista!C:C)</f>
        <v>#NAME?</v>
      </c>
    </row>
    <row r="42" spans="1:13" x14ac:dyDescent="0.25">
      <c r="A42" s="27" t="str">
        <f t="shared" si="2"/>
        <v>SP-21-0322</v>
      </c>
      <c r="B42" s="29">
        <f t="shared" si="3"/>
        <v>5.1023937052437054</v>
      </c>
      <c r="C42" s="29">
        <f t="shared" si="4"/>
        <v>125</v>
      </c>
      <c r="D42" s="29">
        <f t="shared" si="5"/>
        <v>5</v>
      </c>
      <c r="E42" s="29">
        <f t="shared" si="6"/>
        <v>1</v>
      </c>
      <c r="F42" s="29">
        <f t="shared" si="7"/>
        <v>5</v>
      </c>
      <c r="G42" s="26">
        <f>'Densidad de Grupos'!A58</f>
        <v>0</v>
      </c>
      <c r="H42" s="26">
        <f>'Densidad de Grupos'!H58</f>
        <v>0</v>
      </c>
      <c r="I42" s="28">
        <f t="shared" si="0"/>
        <v>0</v>
      </c>
      <c r="J42" s="28">
        <f t="shared" si="1"/>
        <v>0</v>
      </c>
      <c r="L42" s="26" t="e">
        <f ca="1">_xlfn.XLOOKUP(G42,Lista!A:A,Lista!B:B)</f>
        <v>#NAME?</v>
      </c>
      <c r="M42" s="26" t="e">
        <f ca="1">_xlfn.XLOOKUP(L42,Lista!B:B,Lista!C:C)</f>
        <v>#NAME?</v>
      </c>
    </row>
    <row r="43" spans="1:13" x14ac:dyDescent="0.25">
      <c r="A43" s="27" t="str">
        <f t="shared" si="2"/>
        <v>SP-21-0322</v>
      </c>
      <c r="B43" s="29">
        <f t="shared" si="3"/>
        <v>5.1023937052437054</v>
      </c>
      <c r="C43" s="29">
        <f t="shared" si="4"/>
        <v>125</v>
      </c>
      <c r="D43" s="29">
        <f t="shared" si="5"/>
        <v>5</v>
      </c>
      <c r="E43" s="29">
        <f t="shared" si="6"/>
        <v>1</v>
      </c>
      <c r="F43" s="29">
        <f t="shared" si="7"/>
        <v>5</v>
      </c>
      <c r="G43" s="26">
        <f>'Densidad de Grupos'!A59</f>
        <v>0</v>
      </c>
      <c r="H43" s="26">
        <f>'Densidad de Grupos'!H59</f>
        <v>0</v>
      </c>
      <c r="I43" s="28">
        <f t="shared" si="0"/>
        <v>0</v>
      </c>
      <c r="J43" s="28">
        <f t="shared" si="1"/>
        <v>0</v>
      </c>
      <c r="L43" s="26" t="e">
        <f ca="1">_xlfn.XLOOKUP(G43,Lista!A:A,Lista!B:B)</f>
        <v>#NAME?</v>
      </c>
      <c r="M43" s="26" t="e">
        <f ca="1">_xlfn.XLOOKUP(L43,Lista!B:B,Lista!C:C)</f>
        <v>#NAME?</v>
      </c>
    </row>
    <row r="44" spans="1:13" x14ac:dyDescent="0.25">
      <c r="A44" s="27" t="str">
        <f t="shared" si="2"/>
        <v>SP-21-0322</v>
      </c>
      <c r="B44" s="29">
        <f t="shared" si="3"/>
        <v>5.1023937052437054</v>
      </c>
      <c r="C44" s="29">
        <f t="shared" si="4"/>
        <v>125</v>
      </c>
      <c r="D44" s="29">
        <f t="shared" si="5"/>
        <v>5</v>
      </c>
      <c r="E44" s="29">
        <f t="shared" si="6"/>
        <v>1</v>
      </c>
      <c r="F44" s="29">
        <f t="shared" si="7"/>
        <v>5</v>
      </c>
      <c r="G44" s="26">
        <f>'Densidad de Grupos'!A60</f>
        <v>0</v>
      </c>
      <c r="H44" s="26">
        <f>'Densidad de Grupos'!H60</f>
        <v>0</v>
      </c>
      <c r="I44" s="28">
        <f t="shared" si="0"/>
        <v>0</v>
      </c>
      <c r="J44" s="28">
        <f t="shared" si="1"/>
        <v>0</v>
      </c>
      <c r="L44" s="26" t="e">
        <f ca="1">_xlfn.XLOOKUP(G44,Lista!A:A,Lista!B:B)</f>
        <v>#NAME?</v>
      </c>
      <c r="M44" s="26" t="e">
        <f ca="1">_xlfn.XLOOKUP(L44,Lista!B:B,Lista!C:C)</f>
        <v>#NAME?</v>
      </c>
    </row>
    <row r="45" spans="1:13" x14ac:dyDescent="0.25">
      <c r="A45" s="27" t="str">
        <f t="shared" si="2"/>
        <v>SP-21-0322</v>
      </c>
      <c r="B45" s="29">
        <f t="shared" si="3"/>
        <v>5.1023937052437054</v>
      </c>
      <c r="C45" s="29">
        <f t="shared" si="4"/>
        <v>125</v>
      </c>
      <c r="D45" s="29">
        <f t="shared" si="5"/>
        <v>5</v>
      </c>
      <c r="E45" s="29">
        <f t="shared" si="6"/>
        <v>1</v>
      </c>
      <c r="F45" s="29">
        <f t="shared" si="7"/>
        <v>5</v>
      </c>
      <c r="G45" s="26">
        <f>'Densidad de Grupos'!A61</f>
        <v>0</v>
      </c>
      <c r="H45" s="26">
        <f>'Densidad de Grupos'!H61</f>
        <v>0</v>
      </c>
      <c r="I45" s="28">
        <f t="shared" si="0"/>
        <v>0</v>
      </c>
      <c r="J45" s="28">
        <f t="shared" si="1"/>
        <v>0</v>
      </c>
      <c r="L45" s="26" t="e">
        <f ca="1">_xlfn.XLOOKUP(G45,Lista!A:A,Lista!B:B)</f>
        <v>#NAME?</v>
      </c>
      <c r="M45" s="26" t="e">
        <f ca="1">_xlfn.XLOOKUP(L45,Lista!B:B,Lista!C:C)</f>
        <v>#NAME?</v>
      </c>
    </row>
    <row r="46" spans="1:13" x14ac:dyDescent="0.25">
      <c r="A46" s="27" t="str">
        <f t="shared" si="2"/>
        <v>SP-21-0322</v>
      </c>
      <c r="B46" s="29">
        <f t="shared" si="3"/>
        <v>5.1023937052437054</v>
      </c>
      <c r="C46" s="29">
        <f t="shared" si="4"/>
        <v>125</v>
      </c>
      <c r="D46" s="29">
        <f t="shared" si="5"/>
        <v>5</v>
      </c>
      <c r="E46" s="29">
        <f t="shared" si="6"/>
        <v>1</v>
      </c>
      <c r="F46" s="29">
        <f t="shared" si="7"/>
        <v>5</v>
      </c>
      <c r="G46" s="26">
        <f>'Densidad de Grupos'!A62</f>
        <v>0</v>
      </c>
      <c r="H46" s="26">
        <f>'Densidad de Grupos'!H62</f>
        <v>0</v>
      </c>
      <c r="I46" s="28">
        <f t="shared" si="0"/>
        <v>0</v>
      </c>
      <c r="J46" s="28">
        <f t="shared" si="1"/>
        <v>0</v>
      </c>
      <c r="L46" s="26" t="e">
        <f ca="1">_xlfn.XLOOKUP(G46,Lista!A:A,Lista!B:B)</f>
        <v>#NAME?</v>
      </c>
      <c r="M46" s="26" t="e">
        <f ca="1">_xlfn.XLOOKUP(L46,Lista!B:B,Lista!C:C)</f>
        <v>#NAME?</v>
      </c>
    </row>
    <row r="47" spans="1:13" x14ac:dyDescent="0.25">
      <c r="A47" s="27" t="str">
        <f t="shared" si="2"/>
        <v>SP-21-0322</v>
      </c>
      <c r="B47" s="29">
        <f t="shared" si="3"/>
        <v>5.1023937052437054</v>
      </c>
      <c r="C47" s="29">
        <f t="shared" si="4"/>
        <v>125</v>
      </c>
      <c r="D47" s="29">
        <f t="shared" si="5"/>
        <v>5</v>
      </c>
      <c r="E47" s="29">
        <f t="shared" si="6"/>
        <v>1</v>
      </c>
      <c r="F47" s="29">
        <f t="shared" si="7"/>
        <v>5</v>
      </c>
      <c r="G47" s="26">
        <f>'Densidad de Grupos'!A63</f>
        <v>0</v>
      </c>
      <c r="H47" s="26">
        <f>'Densidad de Grupos'!H63</f>
        <v>0</v>
      </c>
      <c r="I47" s="28">
        <f t="shared" si="0"/>
        <v>0</v>
      </c>
      <c r="J47" s="28">
        <f t="shared" si="1"/>
        <v>0</v>
      </c>
      <c r="L47" s="26" t="e">
        <f ca="1">_xlfn.XLOOKUP(G47,Lista!A:A,Lista!B:B)</f>
        <v>#NAME?</v>
      </c>
      <c r="M47" s="26" t="e">
        <f ca="1">_xlfn.XLOOKUP(L47,Lista!B:B,Lista!C:C)</f>
        <v>#NAME?</v>
      </c>
    </row>
    <row r="48" spans="1:13" x14ac:dyDescent="0.25">
      <c r="A48" s="27" t="str">
        <f t="shared" si="2"/>
        <v>SP-21-0322</v>
      </c>
      <c r="B48" s="29">
        <f t="shared" si="3"/>
        <v>5.1023937052437054</v>
      </c>
      <c r="C48" s="29">
        <f t="shared" si="4"/>
        <v>125</v>
      </c>
      <c r="D48" s="29">
        <f t="shared" si="5"/>
        <v>5</v>
      </c>
      <c r="E48" s="29">
        <f t="shared" si="6"/>
        <v>1</v>
      </c>
      <c r="F48" s="29">
        <f t="shared" si="7"/>
        <v>5</v>
      </c>
      <c r="G48" s="26">
        <f>'Densidad de Grupos'!A64</f>
        <v>0</v>
      </c>
      <c r="H48" s="26">
        <f>'Densidad de Grupos'!H64</f>
        <v>0</v>
      </c>
      <c r="I48" s="28">
        <f t="shared" si="0"/>
        <v>0</v>
      </c>
      <c r="J48" s="28">
        <f t="shared" si="1"/>
        <v>0</v>
      </c>
      <c r="L48" s="26" t="e">
        <f ca="1">_xlfn.XLOOKUP(G48,Lista!A:A,Lista!B:B)</f>
        <v>#NAME?</v>
      </c>
      <c r="M48" s="26" t="e">
        <f ca="1">_xlfn.XLOOKUP(L48,Lista!B:B,Lista!C:C)</f>
        <v>#NAME?</v>
      </c>
    </row>
    <row r="49" spans="1:13" x14ac:dyDescent="0.25">
      <c r="A49" s="27" t="str">
        <f t="shared" si="2"/>
        <v>SP-21-0322</v>
      </c>
      <c r="B49" s="29">
        <f t="shared" si="3"/>
        <v>5.1023937052437054</v>
      </c>
      <c r="C49" s="29">
        <f t="shared" si="4"/>
        <v>125</v>
      </c>
      <c r="D49" s="29">
        <f t="shared" si="5"/>
        <v>5</v>
      </c>
      <c r="E49" s="29">
        <f t="shared" si="6"/>
        <v>1</v>
      </c>
      <c r="F49" s="29">
        <f t="shared" si="7"/>
        <v>5</v>
      </c>
      <c r="G49" s="26">
        <f>'Densidad de Grupos'!A65</f>
        <v>0</v>
      </c>
      <c r="H49" s="26">
        <f>'Densidad de Grupos'!H65</f>
        <v>0</v>
      </c>
      <c r="I49" s="28">
        <f t="shared" si="0"/>
        <v>0</v>
      </c>
      <c r="J49" s="28">
        <f t="shared" si="1"/>
        <v>0</v>
      </c>
      <c r="L49" s="26" t="e">
        <f ca="1">_xlfn.XLOOKUP(G49,Lista!A:A,Lista!B:B)</f>
        <v>#NAME?</v>
      </c>
      <c r="M49" s="26" t="e">
        <f ca="1">_xlfn.XLOOKUP(L49,Lista!B:B,Lista!C:C)</f>
        <v>#NAME?</v>
      </c>
    </row>
    <row r="50" spans="1:13" x14ac:dyDescent="0.25">
      <c r="A50" s="27" t="str">
        <f t="shared" si="2"/>
        <v>SP-21-0322</v>
      </c>
      <c r="B50" s="29">
        <f t="shared" si="3"/>
        <v>5.1023937052437054</v>
      </c>
      <c r="C50" s="29">
        <f t="shared" si="4"/>
        <v>125</v>
      </c>
      <c r="D50" s="29">
        <f t="shared" si="5"/>
        <v>5</v>
      </c>
      <c r="E50" s="29">
        <f t="shared" si="6"/>
        <v>1</v>
      </c>
      <c r="F50" s="29">
        <f t="shared" si="7"/>
        <v>5</v>
      </c>
      <c r="G50" s="26">
        <f>'Densidad de Grupos'!A66</f>
        <v>0</v>
      </c>
      <c r="H50" s="26">
        <f>'Densidad de Grupos'!H66</f>
        <v>0</v>
      </c>
      <c r="I50" s="28">
        <f t="shared" si="0"/>
        <v>0</v>
      </c>
      <c r="J50" s="28">
        <f t="shared" si="1"/>
        <v>0</v>
      </c>
      <c r="L50" s="26" t="e">
        <f ca="1">_xlfn.XLOOKUP(G50,Lista!A:A,Lista!B:B)</f>
        <v>#NAME?</v>
      </c>
      <c r="M50" s="26" t="e">
        <f ca="1">_xlfn.XLOOKUP(L50,Lista!B:B,Lista!C:C)</f>
        <v>#NAME?</v>
      </c>
    </row>
    <row r="51" spans="1:13" x14ac:dyDescent="0.25">
      <c r="A51" s="27" t="str">
        <f t="shared" si="2"/>
        <v>SP-21-0322</v>
      </c>
      <c r="B51" s="29">
        <f t="shared" si="3"/>
        <v>5.1023937052437054</v>
      </c>
      <c r="C51" s="29">
        <f t="shared" si="4"/>
        <v>125</v>
      </c>
      <c r="D51" s="29">
        <f t="shared" si="5"/>
        <v>5</v>
      </c>
      <c r="E51" s="29">
        <f t="shared" si="6"/>
        <v>1</v>
      </c>
      <c r="F51" s="29">
        <f t="shared" si="7"/>
        <v>5</v>
      </c>
      <c r="G51" s="26">
        <f>'Densidad de Grupos'!A67</f>
        <v>0</v>
      </c>
      <c r="H51" s="26">
        <f>'Densidad de Grupos'!H67</f>
        <v>0</v>
      </c>
      <c r="I51" s="28">
        <f t="shared" si="0"/>
        <v>0</v>
      </c>
      <c r="J51" s="28">
        <f t="shared" si="1"/>
        <v>0</v>
      </c>
      <c r="L51" s="26" t="e">
        <f ca="1">_xlfn.XLOOKUP(G51,Lista!A:A,Lista!B:B)</f>
        <v>#NAME?</v>
      </c>
      <c r="M51" s="26" t="e">
        <f ca="1">_xlfn.XLOOKUP(L51,Lista!B:B,Lista!C:C)</f>
        <v>#NAME?</v>
      </c>
    </row>
    <row r="52" spans="1:13" x14ac:dyDescent="0.25">
      <c r="A52" s="27" t="str">
        <f t="shared" si="2"/>
        <v>SP-21-0322</v>
      </c>
      <c r="B52" s="29">
        <f t="shared" si="3"/>
        <v>5.1023937052437054</v>
      </c>
      <c r="C52" s="29">
        <f t="shared" si="4"/>
        <v>125</v>
      </c>
      <c r="D52" s="29">
        <f t="shared" si="5"/>
        <v>5</v>
      </c>
      <c r="E52" s="29">
        <f t="shared" si="6"/>
        <v>1</v>
      </c>
      <c r="F52" s="29">
        <f t="shared" si="7"/>
        <v>5</v>
      </c>
      <c r="G52" s="26">
        <f>'Densidad de Grupos'!A68</f>
        <v>0</v>
      </c>
      <c r="H52" s="26">
        <f>'Densidad de Grupos'!H68</f>
        <v>0</v>
      </c>
      <c r="I52" s="28">
        <f t="shared" si="0"/>
        <v>0</v>
      </c>
      <c r="J52" s="28">
        <f t="shared" si="1"/>
        <v>0</v>
      </c>
      <c r="L52" s="26" t="e">
        <f ca="1">_xlfn.XLOOKUP(G52,Lista!A:A,Lista!B:B)</f>
        <v>#NAME?</v>
      </c>
      <c r="M52" s="26" t="e">
        <f ca="1">_xlfn.XLOOKUP(L52,Lista!B:B,Lista!C:C)</f>
        <v>#NAME?</v>
      </c>
    </row>
    <row r="53" spans="1:13" x14ac:dyDescent="0.25">
      <c r="A53" s="27" t="str">
        <f t="shared" si="2"/>
        <v>SP-21-0322</v>
      </c>
      <c r="B53" s="29">
        <f t="shared" si="3"/>
        <v>5.1023937052437054</v>
      </c>
      <c r="C53" s="29">
        <f t="shared" si="4"/>
        <v>125</v>
      </c>
      <c r="D53" s="29">
        <f t="shared" si="5"/>
        <v>5</v>
      </c>
      <c r="E53" s="29">
        <f t="shared" si="6"/>
        <v>1</v>
      </c>
      <c r="F53" s="29">
        <f t="shared" si="7"/>
        <v>5</v>
      </c>
      <c r="G53" s="26">
        <f>'Densidad de Grupos'!A69</f>
        <v>0</v>
      </c>
      <c r="H53" s="26">
        <f>'Densidad de Grupos'!H69</f>
        <v>0</v>
      </c>
      <c r="I53" s="28">
        <f t="shared" si="0"/>
        <v>0</v>
      </c>
      <c r="J53" s="28">
        <f t="shared" si="1"/>
        <v>0</v>
      </c>
      <c r="L53" s="26" t="e">
        <f ca="1">_xlfn.XLOOKUP(G53,Lista!A:A,Lista!B:B)</f>
        <v>#NAME?</v>
      </c>
      <c r="M53" s="26" t="e">
        <f ca="1">_xlfn.XLOOKUP(L53,Lista!B:B,Lista!C:C)</f>
        <v>#NAME?</v>
      </c>
    </row>
    <row r="54" spans="1:13" x14ac:dyDescent="0.25">
      <c r="A54" s="27" t="str">
        <f t="shared" si="2"/>
        <v>SP-21-0322</v>
      </c>
      <c r="B54" s="29">
        <f t="shared" si="3"/>
        <v>5.1023937052437054</v>
      </c>
      <c r="C54" s="29">
        <f t="shared" si="4"/>
        <v>125</v>
      </c>
      <c r="D54" s="29">
        <f t="shared" si="5"/>
        <v>5</v>
      </c>
      <c r="E54" s="29">
        <f t="shared" si="6"/>
        <v>1</v>
      </c>
      <c r="F54" s="29">
        <f t="shared" si="7"/>
        <v>5</v>
      </c>
      <c r="G54" s="26">
        <f>'Densidad de Grupos'!A70</f>
        <v>0</v>
      </c>
      <c r="H54" s="26">
        <f>'Densidad de Grupos'!H70</f>
        <v>0</v>
      </c>
      <c r="I54" s="28">
        <f t="shared" si="0"/>
        <v>0</v>
      </c>
      <c r="J54" s="28">
        <f t="shared" si="1"/>
        <v>0</v>
      </c>
      <c r="L54" s="26" t="e">
        <f ca="1">_xlfn.XLOOKUP(G54,Lista!A:A,Lista!B:B)</f>
        <v>#NAME?</v>
      </c>
      <c r="M54" s="26" t="e">
        <f ca="1">_xlfn.XLOOKUP(L54,Lista!B:B,Lista!C:C)</f>
        <v>#NAME?</v>
      </c>
    </row>
    <row r="55" spans="1:13" x14ac:dyDescent="0.25">
      <c r="A55" s="27" t="str">
        <f t="shared" si="2"/>
        <v>SP-21-0322</v>
      </c>
      <c r="B55" s="29">
        <f t="shared" si="3"/>
        <v>5.1023937052437054</v>
      </c>
      <c r="C55" s="29">
        <f t="shared" si="4"/>
        <v>125</v>
      </c>
      <c r="D55" s="29">
        <f t="shared" si="5"/>
        <v>5</v>
      </c>
      <c r="E55" s="29">
        <f t="shared" si="6"/>
        <v>1</v>
      </c>
      <c r="F55" s="29">
        <f t="shared" si="7"/>
        <v>5</v>
      </c>
      <c r="G55" s="26">
        <f>'Densidad de Grupos'!A71</f>
        <v>0</v>
      </c>
      <c r="H55" s="26">
        <f>'Densidad de Grupos'!H71</f>
        <v>0</v>
      </c>
      <c r="I55" s="28">
        <f t="shared" si="0"/>
        <v>0</v>
      </c>
      <c r="J55" s="28">
        <f t="shared" si="1"/>
        <v>0</v>
      </c>
      <c r="L55" s="26" t="e">
        <f ca="1">_xlfn.XLOOKUP(G55,Lista!A:A,Lista!B:B)</f>
        <v>#NAME?</v>
      </c>
      <c r="M55" s="26" t="e">
        <f ca="1">_xlfn.XLOOKUP(L55,Lista!B:B,Lista!C:C)</f>
        <v>#NAME?</v>
      </c>
    </row>
    <row r="56" spans="1:13" x14ac:dyDescent="0.25">
      <c r="A56" s="27" t="str">
        <f t="shared" si="2"/>
        <v>SP-21-0322</v>
      </c>
      <c r="B56" s="29">
        <f t="shared" si="3"/>
        <v>5.1023937052437054</v>
      </c>
      <c r="C56" s="29">
        <f t="shared" si="4"/>
        <v>125</v>
      </c>
      <c r="D56" s="29">
        <f t="shared" si="5"/>
        <v>5</v>
      </c>
      <c r="E56" s="29">
        <f t="shared" si="6"/>
        <v>1</v>
      </c>
      <c r="F56" s="29">
        <f t="shared" si="7"/>
        <v>5</v>
      </c>
      <c r="G56" s="26">
        <f>'Densidad de Grupos'!A72</f>
        <v>0</v>
      </c>
      <c r="H56" s="26">
        <f>'Densidad de Grupos'!H72</f>
        <v>0</v>
      </c>
      <c r="I56" s="28">
        <f t="shared" si="0"/>
        <v>0</v>
      </c>
      <c r="J56" s="28">
        <f t="shared" si="1"/>
        <v>0</v>
      </c>
      <c r="L56" s="26" t="e">
        <f ca="1">_xlfn.XLOOKUP(G56,Lista!A:A,Lista!B:B)</f>
        <v>#NAME?</v>
      </c>
      <c r="M56" s="26" t="e">
        <f ca="1">_xlfn.XLOOKUP(L56,Lista!B:B,Lista!C:C)</f>
        <v>#NAME?</v>
      </c>
    </row>
    <row r="57" spans="1:13" x14ac:dyDescent="0.25">
      <c r="A57" s="27" t="str">
        <f t="shared" si="2"/>
        <v>SP-21-0322</v>
      </c>
      <c r="B57" s="29">
        <f t="shared" si="3"/>
        <v>5.1023937052437054</v>
      </c>
      <c r="C57" s="29">
        <f t="shared" si="4"/>
        <v>125</v>
      </c>
      <c r="D57" s="29">
        <f t="shared" si="5"/>
        <v>5</v>
      </c>
      <c r="E57" s="29">
        <f t="shared" si="6"/>
        <v>1</v>
      </c>
      <c r="F57" s="29">
        <f t="shared" si="7"/>
        <v>5</v>
      </c>
      <c r="G57" s="26">
        <f>'Densidad de Grupos'!A73</f>
        <v>0</v>
      </c>
      <c r="H57" s="26">
        <f>'Densidad de Grupos'!H73</f>
        <v>0</v>
      </c>
      <c r="I57" s="28">
        <f t="shared" si="0"/>
        <v>0</v>
      </c>
      <c r="J57" s="28">
        <f t="shared" si="1"/>
        <v>0</v>
      </c>
      <c r="L57" s="26" t="e">
        <f ca="1">_xlfn.XLOOKUP(G57,Lista!A:A,Lista!B:B)</f>
        <v>#NAME?</v>
      </c>
      <c r="M57" s="26" t="e">
        <f ca="1">_xlfn.XLOOKUP(L57,Lista!B:B,Lista!C:C)</f>
        <v>#NAME?</v>
      </c>
    </row>
    <row r="58" spans="1:13" x14ac:dyDescent="0.25">
      <c r="A58" s="27" t="str">
        <f t="shared" si="2"/>
        <v>SP-21-0322</v>
      </c>
      <c r="B58" s="29">
        <f t="shared" si="3"/>
        <v>5.1023937052437054</v>
      </c>
      <c r="C58" s="29">
        <f t="shared" si="4"/>
        <v>125</v>
      </c>
      <c r="D58" s="29">
        <f t="shared" si="5"/>
        <v>5</v>
      </c>
      <c r="E58" s="29">
        <f t="shared" si="6"/>
        <v>1</v>
      </c>
      <c r="F58" s="29">
        <f t="shared" si="7"/>
        <v>5</v>
      </c>
      <c r="G58" s="26">
        <f>'Densidad de Grupos'!A74</f>
        <v>0</v>
      </c>
      <c r="H58" s="26">
        <f>'Densidad de Grupos'!H74</f>
        <v>0</v>
      </c>
      <c r="I58" s="28">
        <f t="shared" si="0"/>
        <v>0</v>
      </c>
      <c r="J58" s="28">
        <f t="shared" si="1"/>
        <v>0</v>
      </c>
      <c r="L58" s="26" t="e">
        <f ca="1">_xlfn.XLOOKUP(G58,Lista!A:A,Lista!B:B)</f>
        <v>#NAME?</v>
      </c>
      <c r="M58" s="26" t="e">
        <f ca="1">_xlfn.XLOOKUP(L58,Lista!B:B,Lista!C:C)</f>
        <v>#NAME?</v>
      </c>
    </row>
    <row r="59" spans="1:13" x14ac:dyDescent="0.25">
      <c r="A59" s="27" t="str">
        <f t="shared" si="2"/>
        <v>SP-21-0322</v>
      </c>
      <c r="B59" s="29">
        <f t="shared" si="3"/>
        <v>5.1023937052437054</v>
      </c>
      <c r="C59" s="29">
        <f t="shared" si="4"/>
        <v>125</v>
      </c>
      <c r="D59" s="29">
        <f t="shared" si="5"/>
        <v>5</v>
      </c>
      <c r="E59" s="29">
        <f t="shared" si="6"/>
        <v>1</v>
      </c>
      <c r="F59" s="29">
        <f t="shared" si="7"/>
        <v>5</v>
      </c>
      <c r="G59" s="26">
        <f>'Densidad de Grupos'!A75</f>
        <v>0</v>
      </c>
      <c r="H59" s="26">
        <f>'Densidad de Grupos'!H75</f>
        <v>0</v>
      </c>
      <c r="I59" s="28">
        <f t="shared" si="0"/>
        <v>0</v>
      </c>
      <c r="J59" s="28">
        <f t="shared" si="1"/>
        <v>0</v>
      </c>
      <c r="L59" s="26" t="e">
        <f ca="1">_xlfn.XLOOKUP(G59,Lista!A:A,Lista!B:B)</f>
        <v>#NAME?</v>
      </c>
      <c r="M59" s="26" t="e">
        <f ca="1">_xlfn.XLOOKUP(L59,Lista!B:B,Lista!C:C)</f>
        <v>#NAME?</v>
      </c>
    </row>
    <row r="60" spans="1:13" x14ac:dyDescent="0.25">
      <c r="A60" s="27" t="str">
        <f t="shared" si="2"/>
        <v>SP-21-0322</v>
      </c>
      <c r="B60" s="29">
        <f t="shared" si="3"/>
        <v>5.1023937052437054</v>
      </c>
      <c r="C60" s="29">
        <f t="shared" si="4"/>
        <v>125</v>
      </c>
      <c r="D60" s="29">
        <f t="shared" si="5"/>
        <v>5</v>
      </c>
      <c r="E60" s="29">
        <f t="shared" si="6"/>
        <v>1</v>
      </c>
      <c r="F60" s="29">
        <f t="shared" si="7"/>
        <v>5</v>
      </c>
      <c r="G60" s="26">
        <f>'Densidad de Grupos'!A76</f>
        <v>0</v>
      </c>
      <c r="H60" s="26">
        <f>'Densidad de Grupos'!H76</f>
        <v>0</v>
      </c>
      <c r="I60" s="28">
        <f t="shared" si="0"/>
        <v>0</v>
      </c>
      <c r="J60" s="28">
        <f t="shared" si="1"/>
        <v>0</v>
      </c>
      <c r="L60" s="26" t="e">
        <f ca="1">_xlfn.XLOOKUP(G60,Lista!A:A,Lista!B:B)</f>
        <v>#NAME?</v>
      </c>
      <c r="M60" s="26" t="e">
        <f ca="1">_xlfn.XLOOKUP(L60,Lista!B:B,Lista!C:C)</f>
        <v>#NAME?</v>
      </c>
    </row>
    <row r="61" spans="1:13" s="34" customFormat="1" x14ac:dyDescent="0.25">
      <c r="A61" s="32" t="str">
        <f t="shared" si="2"/>
        <v>SP-21-0322</v>
      </c>
      <c r="B61" s="33">
        <f t="shared" si="3"/>
        <v>5.1023937052437054</v>
      </c>
      <c r="C61" s="33">
        <f t="shared" si="4"/>
        <v>125</v>
      </c>
      <c r="D61" s="33">
        <f t="shared" si="5"/>
        <v>5</v>
      </c>
      <c r="E61" s="33">
        <f t="shared" si="6"/>
        <v>1</v>
      </c>
      <c r="F61" s="33">
        <f t="shared" si="7"/>
        <v>5</v>
      </c>
      <c r="G61" s="26">
        <f>'Densidad de Grupos'!A77</f>
        <v>0</v>
      </c>
      <c r="H61" s="26">
        <f>'Densidad de Grupos'!H77</f>
        <v>0</v>
      </c>
      <c r="I61" s="28">
        <f t="shared" si="0"/>
        <v>0</v>
      </c>
      <c r="J61" s="28">
        <f t="shared" si="1"/>
        <v>0</v>
      </c>
      <c r="L61" s="26" t="e">
        <f ca="1">_xlfn.XLOOKUP(G61,Lista!A:A,Lista!B:B)</f>
        <v>#NAME?</v>
      </c>
      <c r="M61" s="26" t="e">
        <f ca="1">_xlfn.XLOOKUP(L61,Lista!B:B,Lista!C:C)</f>
        <v>#NAME?</v>
      </c>
    </row>
    <row r="62" spans="1:13" x14ac:dyDescent="0.25">
      <c r="A62" s="27" t="str">
        <f t="shared" si="2"/>
        <v>SP-21-0322</v>
      </c>
      <c r="B62" s="29">
        <f t="shared" si="3"/>
        <v>5.1023937052437054</v>
      </c>
      <c r="C62" s="29">
        <f t="shared" si="4"/>
        <v>125</v>
      </c>
      <c r="D62" s="29">
        <f t="shared" si="5"/>
        <v>5</v>
      </c>
      <c r="E62" s="29">
        <f t="shared" si="6"/>
        <v>1</v>
      </c>
      <c r="F62" s="29">
        <f t="shared" si="7"/>
        <v>5</v>
      </c>
      <c r="G62" s="26">
        <f>'Densidad de Grupos'!A78</f>
        <v>0</v>
      </c>
      <c r="H62" s="26">
        <f>'Densidad de Grupos'!H78</f>
        <v>0</v>
      </c>
      <c r="I62" s="28">
        <f t="shared" si="0"/>
        <v>0</v>
      </c>
      <c r="J62" s="28">
        <f t="shared" si="1"/>
        <v>0</v>
      </c>
      <c r="L62" s="26" t="e">
        <f ca="1">_xlfn.XLOOKUP(G62,Lista!A:A,Lista!B:B)</f>
        <v>#NAME?</v>
      </c>
      <c r="M62" s="26" t="e">
        <f ca="1">_xlfn.XLOOKUP(L62,Lista!B:B,Lista!C:C)</f>
        <v>#NAME?</v>
      </c>
    </row>
    <row r="63" spans="1:13" x14ac:dyDescent="0.25">
      <c r="A63" s="27" t="str">
        <f t="shared" si="2"/>
        <v>SP-21-0322</v>
      </c>
      <c r="B63" s="29">
        <f t="shared" si="3"/>
        <v>5.1023937052437054</v>
      </c>
      <c r="C63" s="29">
        <f t="shared" si="4"/>
        <v>125</v>
      </c>
      <c r="D63" s="29">
        <f t="shared" si="5"/>
        <v>5</v>
      </c>
      <c r="E63" s="29">
        <f t="shared" si="6"/>
        <v>1</v>
      </c>
      <c r="F63" s="29">
        <f t="shared" si="7"/>
        <v>5</v>
      </c>
      <c r="G63" s="26">
        <f>'Densidad de Grupos'!A79</f>
        <v>0</v>
      </c>
      <c r="H63" s="26">
        <f>'Densidad de Grupos'!H79</f>
        <v>0</v>
      </c>
      <c r="I63" s="28">
        <f t="shared" si="0"/>
        <v>0</v>
      </c>
      <c r="J63" s="28">
        <f t="shared" si="1"/>
        <v>0</v>
      </c>
      <c r="L63" s="26" t="e">
        <f ca="1">_xlfn.XLOOKUP(G63,Lista!A:A,Lista!B:B)</f>
        <v>#NAME?</v>
      </c>
      <c r="M63" s="26" t="e">
        <f ca="1">_xlfn.XLOOKUP(L63,Lista!B:B,Lista!C:C)</f>
        <v>#NAME?</v>
      </c>
    </row>
    <row r="64" spans="1:13" x14ac:dyDescent="0.25">
      <c r="A64" s="27" t="str">
        <f t="shared" si="2"/>
        <v>SP-21-0322</v>
      </c>
      <c r="B64" s="29">
        <f t="shared" si="3"/>
        <v>5.1023937052437054</v>
      </c>
      <c r="C64" s="29">
        <f t="shared" si="4"/>
        <v>125</v>
      </c>
      <c r="D64" s="29">
        <f t="shared" si="5"/>
        <v>5</v>
      </c>
      <c r="E64" s="29">
        <f t="shared" si="6"/>
        <v>1</v>
      </c>
      <c r="F64" s="29">
        <f t="shared" si="7"/>
        <v>5</v>
      </c>
      <c r="G64" s="26">
        <f>'Densidad de Grupos'!A80</f>
        <v>0</v>
      </c>
      <c r="H64" s="26">
        <f>'Densidad de Grupos'!H80</f>
        <v>0</v>
      </c>
      <c r="I64" s="28">
        <f t="shared" si="0"/>
        <v>0</v>
      </c>
      <c r="J64" s="28">
        <f t="shared" si="1"/>
        <v>0</v>
      </c>
      <c r="L64" s="26" t="e">
        <f ca="1">_xlfn.XLOOKUP(G64,Lista!A:A,Lista!B:B)</f>
        <v>#NAME?</v>
      </c>
      <c r="M64" s="26" t="e">
        <f ca="1">_xlfn.XLOOKUP(L64,Lista!B:B,Lista!C:C)</f>
        <v>#NAME?</v>
      </c>
    </row>
    <row r="65" spans="1:13" x14ac:dyDescent="0.25">
      <c r="A65" s="27" t="str">
        <f t="shared" si="2"/>
        <v>SP-21-0322</v>
      </c>
      <c r="B65" s="29">
        <f t="shared" si="3"/>
        <v>5.1023937052437054</v>
      </c>
      <c r="C65" s="29">
        <f t="shared" si="4"/>
        <v>125</v>
      </c>
      <c r="D65" s="29">
        <f t="shared" si="5"/>
        <v>5</v>
      </c>
      <c r="E65" s="29">
        <f t="shared" si="6"/>
        <v>1</v>
      </c>
      <c r="F65" s="29">
        <f t="shared" si="7"/>
        <v>5</v>
      </c>
      <c r="G65" s="26">
        <f>'Densidad de Grupos'!A81</f>
        <v>0</v>
      </c>
      <c r="H65" s="26">
        <f>'Densidad de Grupos'!H81</f>
        <v>0</v>
      </c>
      <c r="I65" s="28">
        <f t="shared" si="0"/>
        <v>0</v>
      </c>
      <c r="J65" s="28">
        <f t="shared" si="1"/>
        <v>0</v>
      </c>
      <c r="L65" s="26" t="e">
        <f ca="1">_xlfn.XLOOKUP(G65,Lista!A:A,Lista!B:B)</f>
        <v>#NAME?</v>
      </c>
      <c r="M65" s="26" t="e">
        <f ca="1">_xlfn.XLOOKUP(L65,Lista!B:B,Lista!C:C)</f>
        <v>#NAME?</v>
      </c>
    </row>
    <row r="66" spans="1:13" x14ac:dyDescent="0.25">
      <c r="A66" s="27" t="str">
        <f t="shared" ref="A66:A81" si="8">$A$2</f>
        <v>SP-21-0322</v>
      </c>
      <c r="B66" s="29">
        <f t="shared" ref="B66:B81" si="9">$B$2</f>
        <v>5.1023937052437054</v>
      </c>
      <c r="C66" s="29">
        <f t="shared" ref="C66:C81" si="10">$C$2</f>
        <v>125</v>
      </c>
      <c r="D66" s="29">
        <f t="shared" ref="D66:D81" si="11">$D$2</f>
        <v>5</v>
      </c>
      <c r="E66" s="29">
        <f t="shared" ref="E66:E81" si="12">$E$2</f>
        <v>1</v>
      </c>
      <c r="F66" s="29">
        <f t="shared" ref="F66:F81" si="13">$F$2</f>
        <v>5</v>
      </c>
      <c r="G66" s="26">
        <f>'Densidad de Grupos'!A82</f>
        <v>0</v>
      </c>
      <c r="H66" s="26">
        <f>'Densidad de Grupos'!H82</f>
        <v>0</v>
      </c>
      <c r="I66" s="28">
        <f t="shared" si="0"/>
        <v>0</v>
      </c>
      <c r="J66" s="28">
        <f t="shared" si="1"/>
        <v>0</v>
      </c>
      <c r="L66" s="26" t="e">
        <f ca="1">_xlfn.XLOOKUP(G66,Lista!A:A,Lista!B:B)</f>
        <v>#NAME?</v>
      </c>
      <c r="M66" s="26" t="e">
        <f ca="1">_xlfn.XLOOKUP(L66,Lista!B:B,Lista!C:C)</f>
        <v>#NAME?</v>
      </c>
    </row>
    <row r="67" spans="1:13" x14ac:dyDescent="0.25">
      <c r="A67" s="27" t="str">
        <f t="shared" si="8"/>
        <v>SP-21-0322</v>
      </c>
      <c r="B67" s="29">
        <f t="shared" si="9"/>
        <v>5.1023937052437054</v>
      </c>
      <c r="C67" s="29">
        <f t="shared" si="10"/>
        <v>125</v>
      </c>
      <c r="D67" s="29">
        <f t="shared" si="11"/>
        <v>5</v>
      </c>
      <c r="E67" s="29">
        <f t="shared" si="12"/>
        <v>1</v>
      </c>
      <c r="F67" s="29">
        <f t="shared" si="13"/>
        <v>5</v>
      </c>
      <c r="G67" s="26">
        <f>'Densidad de Grupos'!A83</f>
        <v>0</v>
      </c>
      <c r="H67" s="26">
        <f>'Densidad de Grupos'!H83</f>
        <v>0</v>
      </c>
      <c r="I67" s="28">
        <f t="shared" ref="I67:I81" si="14">((H67*C67)/(F67*B67))*2</f>
        <v>0</v>
      </c>
      <c r="J67" s="28">
        <f t="shared" ref="J67:J81" si="15">I67*1000</f>
        <v>0</v>
      </c>
      <c r="L67" s="26" t="e">
        <f ca="1">_xlfn.XLOOKUP(G67,Lista!A:A,Lista!B:B)</f>
        <v>#NAME?</v>
      </c>
      <c r="M67" s="26" t="e">
        <f ca="1">_xlfn.XLOOKUP(L67,Lista!B:B,Lista!C:C)</f>
        <v>#NAME?</v>
      </c>
    </row>
    <row r="68" spans="1:13" x14ac:dyDescent="0.25">
      <c r="A68" s="27" t="str">
        <f t="shared" si="8"/>
        <v>SP-21-0322</v>
      </c>
      <c r="B68" s="29">
        <f t="shared" si="9"/>
        <v>5.1023937052437054</v>
      </c>
      <c r="C68" s="29">
        <f t="shared" si="10"/>
        <v>125</v>
      </c>
      <c r="D68" s="29">
        <f t="shared" si="11"/>
        <v>5</v>
      </c>
      <c r="E68" s="29">
        <f t="shared" si="12"/>
        <v>1</v>
      </c>
      <c r="F68" s="29">
        <f t="shared" si="13"/>
        <v>5</v>
      </c>
      <c r="G68" s="26">
        <f>'Densidad de Grupos'!A84</f>
        <v>0</v>
      </c>
      <c r="H68" s="26">
        <f>'Densidad de Grupos'!H84</f>
        <v>0</v>
      </c>
      <c r="I68" s="28">
        <f t="shared" si="14"/>
        <v>0</v>
      </c>
      <c r="J68" s="28">
        <f t="shared" si="15"/>
        <v>0</v>
      </c>
      <c r="L68" s="26" t="e">
        <f ca="1">_xlfn.XLOOKUP(G68,Lista!A:A,Lista!B:B)</f>
        <v>#NAME?</v>
      </c>
      <c r="M68" s="26" t="e">
        <f ca="1">_xlfn.XLOOKUP(L68,Lista!B:B,Lista!C:C)</f>
        <v>#NAME?</v>
      </c>
    </row>
    <row r="69" spans="1:13" x14ac:dyDescent="0.25">
      <c r="A69" s="27" t="str">
        <f t="shared" si="8"/>
        <v>SP-21-0322</v>
      </c>
      <c r="B69" s="29">
        <f t="shared" si="9"/>
        <v>5.1023937052437054</v>
      </c>
      <c r="C69" s="29">
        <f t="shared" si="10"/>
        <v>125</v>
      </c>
      <c r="D69" s="29">
        <f t="shared" si="11"/>
        <v>5</v>
      </c>
      <c r="E69" s="29">
        <f t="shared" si="12"/>
        <v>1</v>
      </c>
      <c r="F69" s="29">
        <f t="shared" si="13"/>
        <v>5</v>
      </c>
      <c r="G69" s="26">
        <f>'Densidad de Grupos'!A85</f>
        <v>0</v>
      </c>
      <c r="H69" s="26">
        <f>'Densidad de Grupos'!H85</f>
        <v>0</v>
      </c>
      <c r="I69" s="28">
        <f t="shared" si="14"/>
        <v>0</v>
      </c>
      <c r="J69" s="28">
        <f t="shared" si="15"/>
        <v>0</v>
      </c>
      <c r="L69" s="26" t="e">
        <f ca="1">_xlfn.XLOOKUP(G69,Lista!A:A,Lista!B:B)</f>
        <v>#NAME?</v>
      </c>
      <c r="M69" s="26" t="e">
        <f ca="1">_xlfn.XLOOKUP(L69,Lista!B:B,Lista!C:C)</f>
        <v>#NAME?</v>
      </c>
    </row>
    <row r="70" spans="1:13" x14ac:dyDescent="0.25">
      <c r="A70" s="27" t="str">
        <f t="shared" si="8"/>
        <v>SP-21-0322</v>
      </c>
      <c r="B70" s="29">
        <f t="shared" si="9"/>
        <v>5.1023937052437054</v>
      </c>
      <c r="C70" s="29">
        <f t="shared" si="10"/>
        <v>125</v>
      </c>
      <c r="D70" s="29">
        <f t="shared" si="11"/>
        <v>5</v>
      </c>
      <c r="E70" s="29">
        <f t="shared" si="12"/>
        <v>1</v>
      </c>
      <c r="F70" s="29">
        <f t="shared" si="13"/>
        <v>5</v>
      </c>
      <c r="G70" s="26">
        <f>'Densidad de Grupos'!A86</f>
        <v>0</v>
      </c>
      <c r="H70" s="26">
        <f>'Densidad de Grupos'!H86</f>
        <v>0</v>
      </c>
      <c r="I70" s="28">
        <f t="shared" si="14"/>
        <v>0</v>
      </c>
      <c r="J70" s="28">
        <f t="shared" si="15"/>
        <v>0</v>
      </c>
      <c r="L70" s="26" t="e">
        <f ca="1">_xlfn.XLOOKUP(G70,Lista!A:A,Lista!B:B)</f>
        <v>#NAME?</v>
      </c>
      <c r="M70" s="26" t="e">
        <f ca="1">_xlfn.XLOOKUP(L70,Lista!B:B,Lista!C:C)</f>
        <v>#NAME?</v>
      </c>
    </row>
    <row r="71" spans="1:13" x14ac:dyDescent="0.25">
      <c r="A71" s="27" t="str">
        <f t="shared" si="8"/>
        <v>SP-21-0322</v>
      </c>
      <c r="B71" s="29">
        <f t="shared" si="9"/>
        <v>5.1023937052437054</v>
      </c>
      <c r="C71" s="29">
        <f t="shared" si="10"/>
        <v>125</v>
      </c>
      <c r="D71" s="29">
        <f t="shared" si="11"/>
        <v>5</v>
      </c>
      <c r="E71" s="29">
        <f t="shared" si="12"/>
        <v>1</v>
      </c>
      <c r="F71" s="29">
        <f t="shared" si="13"/>
        <v>5</v>
      </c>
      <c r="G71" s="26">
        <f>'Densidad de Grupos'!A87</f>
        <v>0</v>
      </c>
      <c r="H71" s="26">
        <f>'Densidad de Grupos'!H87</f>
        <v>0</v>
      </c>
      <c r="I71" s="28">
        <f t="shared" si="14"/>
        <v>0</v>
      </c>
      <c r="J71" s="28">
        <f t="shared" si="15"/>
        <v>0</v>
      </c>
      <c r="L71" s="26" t="e">
        <f ca="1">_xlfn.XLOOKUP(G71,Lista!A:A,Lista!B:B)</f>
        <v>#NAME?</v>
      </c>
      <c r="M71" s="26" t="e">
        <f ca="1">_xlfn.XLOOKUP(L71,Lista!B:B,Lista!C:C)</f>
        <v>#NAME?</v>
      </c>
    </row>
    <row r="72" spans="1:13" x14ac:dyDescent="0.25">
      <c r="A72" s="27" t="str">
        <f t="shared" si="8"/>
        <v>SP-21-0322</v>
      </c>
      <c r="B72" s="29">
        <f t="shared" si="9"/>
        <v>5.1023937052437054</v>
      </c>
      <c r="C72" s="29">
        <f t="shared" si="10"/>
        <v>125</v>
      </c>
      <c r="D72" s="29">
        <f t="shared" si="11"/>
        <v>5</v>
      </c>
      <c r="E72" s="29">
        <f t="shared" si="12"/>
        <v>1</v>
      </c>
      <c r="F72" s="29">
        <f t="shared" si="13"/>
        <v>5</v>
      </c>
      <c r="G72" s="26">
        <f>'Densidad de Grupos'!A88</f>
        <v>0</v>
      </c>
      <c r="H72" s="26">
        <f>'Densidad de Grupos'!H88</f>
        <v>0</v>
      </c>
      <c r="I72" s="28">
        <f t="shared" si="14"/>
        <v>0</v>
      </c>
      <c r="J72" s="28">
        <f t="shared" si="15"/>
        <v>0</v>
      </c>
      <c r="L72" s="26" t="e">
        <f ca="1">_xlfn.XLOOKUP(G72,Lista!A:A,Lista!B:B)</f>
        <v>#NAME?</v>
      </c>
      <c r="M72" s="26" t="e">
        <f ca="1">_xlfn.XLOOKUP(L72,Lista!B:B,Lista!C:C)</f>
        <v>#NAME?</v>
      </c>
    </row>
    <row r="73" spans="1:13" x14ac:dyDescent="0.25">
      <c r="A73" s="27" t="str">
        <f t="shared" si="8"/>
        <v>SP-21-0322</v>
      </c>
      <c r="B73" s="29">
        <f t="shared" si="9"/>
        <v>5.1023937052437054</v>
      </c>
      <c r="C73" s="29">
        <f t="shared" si="10"/>
        <v>125</v>
      </c>
      <c r="D73" s="29">
        <f t="shared" si="11"/>
        <v>5</v>
      </c>
      <c r="E73" s="29">
        <f t="shared" si="12"/>
        <v>1</v>
      </c>
      <c r="F73" s="29">
        <f t="shared" si="13"/>
        <v>5</v>
      </c>
      <c r="G73" s="26">
        <f>'Densidad de Grupos'!A89</f>
        <v>0</v>
      </c>
      <c r="H73" s="26">
        <f>'Densidad de Grupos'!H89</f>
        <v>0</v>
      </c>
      <c r="I73" s="28">
        <f t="shared" si="14"/>
        <v>0</v>
      </c>
      <c r="J73" s="28">
        <f t="shared" si="15"/>
        <v>0</v>
      </c>
      <c r="L73" s="26" t="e">
        <f ca="1">_xlfn.XLOOKUP(G73,Lista!A:A,Lista!B:B)</f>
        <v>#NAME?</v>
      </c>
      <c r="M73" s="26" t="e">
        <f ca="1">_xlfn.XLOOKUP(L73,Lista!B:B,Lista!C:C)</f>
        <v>#NAME?</v>
      </c>
    </row>
    <row r="74" spans="1:13" x14ac:dyDescent="0.25">
      <c r="A74" s="27" t="str">
        <f t="shared" si="8"/>
        <v>SP-21-0322</v>
      </c>
      <c r="B74" s="29">
        <f t="shared" si="9"/>
        <v>5.1023937052437054</v>
      </c>
      <c r="C74" s="29">
        <f t="shared" si="10"/>
        <v>125</v>
      </c>
      <c r="D74" s="29">
        <f t="shared" si="11"/>
        <v>5</v>
      </c>
      <c r="E74" s="29">
        <f t="shared" si="12"/>
        <v>1</v>
      </c>
      <c r="F74" s="29">
        <f t="shared" si="13"/>
        <v>5</v>
      </c>
      <c r="G74" s="26">
        <f>'Densidad de Grupos'!A90</f>
        <v>0</v>
      </c>
      <c r="H74" s="26">
        <f>'Densidad de Grupos'!H90</f>
        <v>0</v>
      </c>
      <c r="I74" s="28">
        <f t="shared" si="14"/>
        <v>0</v>
      </c>
      <c r="J74" s="28">
        <f t="shared" si="15"/>
        <v>0</v>
      </c>
      <c r="L74" s="26" t="e">
        <f ca="1">_xlfn.XLOOKUP(G74,Lista!A:A,Lista!B:B)</f>
        <v>#NAME?</v>
      </c>
      <c r="M74" s="26" t="e">
        <f ca="1">_xlfn.XLOOKUP(L74,Lista!B:B,Lista!C:C)</f>
        <v>#NAME?</v>
      </c>
    </row>
    <row r="75" spans="1:13" x14ac:dyDescent="0.25">
      <c r="A75" s="27" t="str">
        <f t="shared" si="8"/>
        <v>SP-21-0322</v>
      </c>
      <c r="B75" s="29">
        <f t="shared" si="9"/>
        <v>5.1023937052437054</v>
      </c>
      <c r="C75" s="29">
        <f t="shared" si="10"/>
        <v>125</v>
      </c>
      <c r="D75" s="29">
        <f t="shared" si="11"/>
        <v>5</v>
      </c>
      <c r="E75" s="29">
        <f t="shared" si="12"/>
        <v>1</v>
      </c>
      <c r="F75" s="29">
        <f t="shared" si="13"/>
        <v>5</v>
      </c>
      <c r="G75" s="26">
        <f>'Densidad de Grupos'!A91</f>
        <v>0</v>
      </c>
      <c r="H75" s="26">
        <f>'Densidad de Grupos'!H91</f>
        <v>0</v>
      </c>
      <c r="I75" s="28">
        <f t="shared" si="14"/>
        <v>0</v>
      </c>
      <c r="J75" s="28">
        <f t="shared" si="15"/>
        <v>0</v>
      </c>
      <c r="L75" s="26" t="e">
        <f ca="1">_xlfn.XLOOKUP(G75,Lista!A:A,Lista!B:B)</f>
        <v>#NAME?</v>
      </c>
      <c r="M75" s="26" t="e">
        <f ca="1">_xlfn.XLOOKUP(L75,Lista!B:B,Lista!C:C)</f>
        <v>#NAME?</v>
      </c>
    </row>
    <row r="76" spans="1:13" x14ac:dyDescent="0.25">
      <c r="A76" s="27" t="str">
        <f t="shared" si="8"/>
        <v>SP-21-0322</v>
      </c>
      <c r="B76" s="29">
        <f t="shared" si="9"/>
        <v>5.1023937052437054</v>
      </c>
      <c r="C76" s="29">
        <f t="shared" si="10"/>
        <v>125</v>
      </c>
      <c r="D76" s="29">
        <f t="shared" si="11"/>
        <v>5</v>
      </c>
      <c r="E76" s="29">
        <f t="shared" si="12"/>
        <v>1</v>
      </c>
      <c r="F76" s="29">
        <f t="shared" si="13"/>
        <v>5</v>
      </c>
      <c r="G76" s="26">
        <f>'Densidad de Grupos'!A92</f>
        <v>0</v>
      </c>
      <c r="H76" s="26">
        <f>'Densidad de Grupos'!H92</f>
        <v>0</v>
      </c>
      <c r="I76" s="28">
        <f t="shared" si="14"/>
        <v>0</v>
      </c>
      <c r="J76" s="28">
        <f t="shared" si="15"/>
        <v>0</v>
      </c>
      <c r="L76" s="26" t="e">
        <f ca="1">_xlfn.XLOOKUP(G76,Lista!A:A,Lista!B:B)</f>
        <v>#NAME?</v>
      </c>
      <c r="M76" s="26" t="e">
        <f ca="1">_xlfn.XLOOKUP(L76,Lista!B:B,Lista!C:C)</f>
        <v>#NAME?</v>
      </c>
    </row>
    <row r="77" spans="1:13" x14ac:dyDescent="0.25">
      <c r="A77" s="27" t="str">
        <f t="shared" si="8"/>
        <v>SP-21-0322</v>
      </c>
      <c r="B77" s="29">
        <f t="shared" si="9"/>
        <v>5.1023937052437054</v>
      </c>
      <c r="C77" s="29">
        <f t="shared" si="10"/>
        <v>125</v>
      </c>
      <c r="D77" s="29">
        <f t="shared" si="11"/>
        <v>5</v>
      </c>
      <c r="E77" s="29">
        <f t="shared" si="12"/>
        <v>1</v>
      </c>
      <c r="F77" s="29">
        <f t="shared" si="13"/>
        <v>5</v>
      </c>
      <c r="G77" s="26">
        <f>'Densidad de Grupos'!A93</f>
        <v>0</v>
      </c>
      <c r="H77" s="26">
        <f>'Densidad de Grupos'!H93</f>
        <v>0</v>
      </c>
      <c r="I77" s="28">
        <f t="shared" si="14"/>
        <v>0</v>
      </c>
      <c r="J77" s="28">
        <f t="shared" si="15"/>
        <v>0</v>
      </c>
      <c r="L77" s="26" t="e">
        <f ca="1">_xlfn.XLOOKUP(G77,Lista!A:A,Lista!B:B)</f>
        <v>#NAME?</v>
      </c>
      <c r="M77" s="26" t="e">
        <f ca="1">_xlfn.XLOOKUP(L77,Lista!B:B,Lista!C:C)</f>
        <v>#NAME?</v>
      </c>
    </row>
    <row r="78" spans="1:13" x14ac:dyDescent="0.25">
      <c r="A78" s="27" t="str">
        <f t="shared" si="8"/>
        <v>SP-21-0322</v>
      </c>
      <c r="B78" s="29">
        <f t="shared" si="9"/>
        <v>5.1023937052437054</v>
      </c>
      <c r="C78" s="29">
        <f t="shared" si="10"/>
        <v>125</v>
      </c>
      <c r="D78" s="29">
        <f t="shared" si="11"/>
        <v>5</v>
      </c>
      <c r="E78" s="29">
        <f t="shared" si="12"/>
        <v>1</v>
      </c>
      <c r="F78" s="29">
        <f t="shared" si="13"/>
        <v>5</v>
      </c>
      <c r="G78" s="26">
        <f>'Densidad de Grupos'!A94</f>
        <v>0</v>
      </c>
      <c r="H78" s="26">
        <f>'Densidad de Grupos'!H94</f>
        <v>0</v>
      </c>
      <c r="I78" s="28">
        <f t="shared" si="14"/>
        <v>0</v>
      </c>
      <c r="J78" s="28">
        <f t="shared" si="15"/>
        <v>0</v>
      </c>
      <c r="L78" s="26" t="e">
        <f ca="1">_xlfn.XLOOKUP(G78,Lista!A:A,Lista!B:B)</f>
        <v>#NAME?</v>
      </c>
      <c r="M78" s="26" t="e">
        <f ca="1">_xlfn.XLOOKUP(L78,Lista!B:B,Lista!C:C)</f>
        <v>#NAME?</v>
      </c>
    </row>
    <row r="79" spans="1:13" x14ac:dyDescent="0.25">
      <c r="A79" s="27" t="str">
        <f t="shared" si="8"/>
        <v>SP-21-0322</v>
      </c>
      <c r="B79" s="29">
        <f t="shared" si="9"/>
        <v>5.1023937052437054</v>
      </c>
      <c r="C79" s="29">
        <f t="shared" si="10"/>
        <v>125</v>
      </c>
      <c r="D79" s="29">
        <f t="shared" si="11"/>
        <v>5</v>
      </c>
      <c r="E79" s="29">
        <f t="shared" si="12"/>
        <v>1</v>
      </c>
      <c r="F79" s="29">
        <f t="shared" si="13"/>
        <v>5</v>
      </c>
      <c r="G79" s="26">
        <f>'Densidad de Grupos'!A95</f>
        <v>0</v>
      </c>
      <c r="H79" s="26">
        <f>'Densidad de Grupos'!H95</f>
        <v>0</v>
      </c>
      <c r="I79" s="28">
        <f t="shared" si="14"/>
        <v>0</v>
      </c>
      <c r="J79" s="28">
        <f t="shared" si="15"/>
        <v>0</v>
      </c>
      <c r="L79" s="26" t="e">
        <f ca="1">_xlfn.XLOOKUP(G79,Lista!A:A,Lista!B:B)</f>
        <v>#NAME?</v>
      </c>
      <c r="M79" s="26" t="e">
        <f ca="1">_xlfn.XLOOKUP(L79,Lista!B:B,Lista!C:C)</f>
        <v>#NAME?</v>
      </c>
    </row>
    <row r="80" spans="1:13" x14ac:dyDescent="0.25">
      <c r="A80" s="27" t="str">
        <f t="shared" si="8"/>
        <v>SP-21-0322</v>
      </c>
      <c r="B80" s="29">
        <f t="shared" si="9"/>
        <v>5.1023937052437054</v>
      </c>
      <c r="C80" s="29">
        <f t="shared" si="10"/>
        <v>125</v>
      </c>
      <c r="D80" s="29">
        <f t="shared" si="11"/>
        <v>5</v>
      </c>
      <c r="E80" s="29">
        <f t="shared" si="12"/>
        <v>1</v>
      </c>
      <c r="F80" s="29">
        <f t="shared" si="13"/>
        <v>5</v>
      </c>
      <c r="G80" s="26">
        <f>'Densidad de Grupos'!A96</f>
        <v>0</v>
      </c>
      <c r="H80" s="26">
        <f>'Densidad de Grupos'!H96</f>
        <v>0</v>
      </c>
      <c r="I80" s="28">
        <f t="shared" si="14"/>
        <v>0</v>
      </c>
      <c r="J80" s="28">
        <f t="shared" si="15"/>
        <v>0</v>
      </c>
      <c r="L80" s="26" t="e">
        <f ca="1">_xlfn.XLOOKUP(G80,Lista!A:A,Lista!B:B)</f>
        <v>#NAME?</v>
      </c>
      <c r="M80" s="26" t="e">
        <f ca="1">_xlfn.XLOOKUP(L80,Lista!B:B,Lista!C:C)</f>
        <v>#NAME?</v>
      </c>
    </row>
    <row r="81" spans="1:13" x14ac:dyDescent="0.25">
      <c r="A81" s="27" t="str">
        <f t="shared" si="8"/>
        <v>SP-21-0322</v>
      </c>
      <c r="B81" s="29">
        <f t="shared" si="9"/>
        <v>5.1023937052437054</v>
      </c>
      <c r="C81" s="29">
        <f t="shared" si="10"/>
        <v>125</v>
      </c>
      <c r="D81" s="29">
        <f t="shared" si="11"/>
        <v>5</v>
      </c>
      <c r="E81" s="29">
        <f t="shared" si="12"/>
        <v>1</v>
      </c>
      <c r="F81" s="29">
        <f t="shared" si="13"/>
        <v>5</v>
      </c>
      <c r="G81" s="26">
        <f>'Densidad de Grupos'!A97</f>
        <v>0</v>
      </c>
      <c r="H81" s="26">
        <f>'Densidad de Grupos'!H97</f>
        <v>0</v>
      </c>
      <c r="I81" s="28">
        <f t="shared" si="14"/>
        <v>0</v>
      </c>
      <c r="J81" s="28">
        <f t="shared" si="15"/>
        <v>0</v>
      </c>
      <c r="L81" s="26" t="e">
        <f ca="1">_xlfn.XLOOKUP(G81,Lista!A:A,Lista!B:B)</f>
        <v>#NAME?</v>
      </c>
      <c r="M81" s="26" t="e">
        <f ca="1">_xlfn.XLOOKUP(L81,Lista!B:B,Lista!C:C)</f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Lista</vt:lpstr>
      <vt:lpstr>Densidad de Grupos</vt:lpstr>
      <vt:lpstr>Cálculos_Densidad_De_Grupos</vt:lpstr>
    </vt:vector>
  </TitlesOfParts>
  <Company>DIRECCION GENERAL MARITIMA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Mildred Tilano</dc:creator>
  <cp:lastModifiedBy>ASUS</cp:lastModifiedBy>
  <cp:lastPrinted>2021-02-22T21:39:25Z</cp:lastPrinted>
  <dcterms:created xsi:type="dcterms:W3CDTF">2009-11-17T21:42:41Z</dcterms:created>
  <dcterms:modified xsi:type="dcterms:W3CDTF">2022-02-09T15:15:41Z</dcterms:modified>
</cp:coreProperties>
</file>