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Datos_primarios_Expedicion_Pacifico\"/>
    </mc:Choice>
  </mc:AlternateContent>
  <bookViews>
    <workbookView xWindow="-120" yWindow="-120" windowWidth="20730" windowHeight="11160" tabRatio="728" activeTab="1"/>
  </bookViews>
  <sheets>
    <sheet name="Lista" sheetId="8" r:id="rId1"/>
    <sheet name="Densidad de Grupos" sheetId="2" r:id="rId2"/>
    <sheet name="Cálculos_Densidad_De_Grupos" sheetId="4" r:id="rId3"/>
  </sheets>
  <externalReferences>
    <externalReference r:id="rId4"/>
    <externalReference r:id="rId5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M3" i="4"/>
  <c r="M11" i="4"/>
  <c r="M19" i="4"/>
  <c r="M27" i="4"/>
  <c r="M35" i="4"/>
  <c r="M43" i="4"/>
  <c r="M51" i="4"/>
  <c r="M59" i="4"/>
  <c r="M67" i="4"/>
  <c r="M75" i="4"/>
  <c r="M22" i="4"/>
  <c r="M54" i="4"/>
  <c r="M23" i="4"/>
  <c r="M63" i="4"/>
  <c r="M16" i="4"/>
  <c r="M56" i="4"/>
  <c r="M17" i="4"/>
  <c r="M65" i="4"/>
  <c r="M26" i="4"/>
  <c r="M58" i="4"/>
  <c r="M4" i="4"/>
  <c r="M12" i="4"/>
  <c r="M20" i="4"/>
  <c r="M28" i="4"/>
  <c r="M36" i="4"/>
  <c r="M44" i="4"/>
  <c r="M52" i="4"/>
  <c r="M60" i="4"/>
  <c r="M68" i="4"/>
  <c r="M76" i="4"/>
  <c r="M14" i="4"/>
  <c r="M70" i="4"/>
  <c r="M15" i="4"/>
  <c r="M55" i="4"/>
  <c r="M24" i="4"/>
  <c r="M72" i="4"/>
  <c r="M25" i="4"/>
  <c r="M57" i="4"/>
  <c r="M18" i="4"/>
  <c r="M74" i="4"/>
  <c r="M5" i="4"/>
  <c r="M13" i="4"/>
  <c r="M21" i="4"/>
  <c r="M29" i="4"/>
  <c r="M37" i="4"/>
  <c r="M45" i="4"/>
  <c r="M53" i="4"/>
  <c r="M61" i="4"/>
  <c r="M69" i="4"/>
  <c r="M77" i="4"/>
  <c r="M6" i="4"/>
  <c r="M30" i="4"/>
  <c r="M38" i="4"/>
  <c r="M46" i="4"/>
  <c r="M62" i="4"/>
  <c r="M78" i="4"/>
  <c r="M7" i="4"/>
  <c r="M31" i="4"/>
  <c r="M39" i="4"/>
  <c r="M47" i="4"/>
  <c r="M71" i="4"/>
  <c r="M79" i="4"/>
  <c r="M8" i="4"/>
  <c r="M32" i="4"/>
  <c r="M40" i="4"/>
  <c r="M48" i="4"/>
  <c r="M64" i="4"/>
  <c r="M80" i="4"/>
  <c r="M9" i="4"/>
  <c r="M33" i="4"/>
  <c r="M41" i="4"/>
  <c r="M49" i="4"/>
  <c r="M73" i="4"/>
  <c r="M81" i="4"/>
  <c r="M10" i="4"/>
  <c r="M34" i="4"/>
  <c r="M42" i="4"/>
  <c r="M50" i="4"/>
  <c r="M66" i="4"/>
  <c r="L3" i="4"/>
  <c r="L11" i="4"/>
  <c r="L19" i="4"/>
  <c r="L27" i="4"/>
  <c r="L35" i="4"/>
  <c r="L43" i="4"/>
  <c r="L51" i="4"/>
  <c r="L59" i="4"/>
  <c r="L67" i="4"/>
  <c r="L75" i="4"/>
  <c r="L13" i="4"/>
  <c r="L29" i="4"/>
  <c r="L37" i="4"/>
  <c r="L53" i="4"/>
  <c r="L69" i="4"/>
  <c r="L16" i="4"/>
  <c r="L40" i="4"/>
  <c r="L56" i="4"/>
  <c r="L72" i="4"/>
  <c r="L9" i="4"/>
  <c r="L41" i="4"/>
  <c r="L65" i="4"/>
  <c r="L18" i="4"/>
  <c r="L42" i="4"/>
  <c r="L66" i="4"/>
  <c r="L4" i="4"/>
  <c r="L12" i="4"/>
  <c r="L20" i="4"/>
  <c r="L28" i="4"/>
  <c r="L36" i="4"/>
  <c r="L44" i="4"/>
  <c r="L52" i="4"/>
  <c r="L60" i="4"/>
  <c r="L68" i="4"/>
  <c r="L76" i="4"/>
  <c r="L5" i="4"/>
  <c r="L21" i="4"/>
  <c r="L45" i="4"/>
  <c r="L61" i="4"/>
  <c r="L77" i="4"/>
  <c r="L79" i="4"/>
  <c r="L24" i="4"/>
  <c r="L80" i="4"/>
  <c r="L25" i="4"/>
  <c r="L49" i="4"/>
  <c r="L73" i="4"/>
  <c r="L26" i="4"/>
  <c r="L50" i="4"/>
  <c r="L74" i="4"/>
  <c r="L6" i="4"/>
  <c r="L14" i="4"/>
  <c r="L22" i="4"/>
  <c r="L30" i="4"/>
  <c r="L38" i="4"/>
  <c r="L46" i="4"/>
  <c r="L54" i="4"/>
  <c r="L62" i="4"/>
  <c r="L70" i="4"/>
  <c r="L78" i="4"/>
  <c r="L7" i="4"/>
  <c r="L15" i="4"/>
  <c r="L23" i="4"/>
  <c r="L31" i="4"/>
  <c r="L39" i="4"/>
  <c r="L47" i="4"/>
  <c r="L55" i="4"/>
  <c r="L63" i="4"/>
  <c r="L71" i="4"/>
  <c r="L8" i="4"/>
  <c r="L32" i="4"/>
  <c r="L48" i="4"/>
  <c r="L64" i="4"/>
  <c r="L17" i="4"/>
  <c r="L33" i="4"/>
  <c r="L57" i="4"/>
  <c r="L81" i="4"/>
  <c r="L10" i="4"/>
  <c r="L34" i="4"/>
  <c r="L58" i="4"/>
  <c r="C2" i="8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G2" i="4" l="1"/>
  <c r="L2" i="4"/>
  <c r="H2" i="4" l="1"/>
  <c r="E2" i="4"/>
  <c r="E81" i="4" s="1"/>
  <c r="D2" i="4"/>
  <c r="D81" i="4" s="1"/>
  <c r="C2" i="4"/>
  <c r="C81" i="4" s="1"/>
  <c r="B2" i="4"/>
  <c r="B81" i="4" s="1"/>
  <c r="A2" i="4"/>
  <c r="A81" i="4" s="1"/>
  <c r="M2" i="4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F6" i="4"/>
  <c r="I2" i="4"/>
  <c r="J2" i="4" s="1"/>
  <c r="F13" i="4"/>
  <c r="F15" i="4"/>
  <c r="F17" i="4"/>
  <c r="F19" i="4"/>
  <c r="F21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14" i="4"/>
  <c r="F16" i="4"/>
  <c r="F18" i="4"/>
  <c r="F20" i="4"/>
  <c r="F22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8" i="4"/>
  <c r="F70" i="4"/>
  <c r="F72" i="4"/>
  <c r="F74" i="4"/>
  <c r="F76" i="4"/>
  <c r="F78" i="4"/>
  <c r="F3" i="4"/>
  <c r="F11" i="4"/>
  <c r="F9" i="4"/>
  <c r="F7" i="4"/>
  <c r="F5" i="4"/>
  <c r="F65" i="4"/>
  <c r="F69" i="4"/>
  <c r="F71" i="4"/>
  <c r="F73" i="4"/>
  <c r="F75" i="4"/>
  <c r="F77" i="4"/>
  <c r="F79" i="4"/>
  <c r="F67" i="4"/>
  <c r="F12" i="4"/>
  <c r="F10" i="4"/>
  <c r="F8" i="4"/>
  <c r="F4" i="4"/>
</calcChain>
</file>

<file path=xl/sharedStrings.xml><?xml version="1.0" encoding="utf-8"?>
<sst xmlns="http://schemas.openxmlformats.org/spreadsheetml/2006/main" count="70" uniqueCount="69">
  <si>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</si>
  <si>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</si>
  <si>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</si>
  <si>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</si>
  <si>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</si>
  <si>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</si>
  <si>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</si>
  <si>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</si>
  <si>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</si>
  <si>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</si>
  <si>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</si>
  <si>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</si>
  <si>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</si>
  <si>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</si>
  <si>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</si>
  <si>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</si>
  <si>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</si>
  <si>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</si>
  <si>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</si>
  <si>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</si>
  <si>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</si>
  <si>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</si>
  <si>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</si>
  <si>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</si>
  <si>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</si>
  <si>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</si>
  <si>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</si>
  <si>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</si>
  <si>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</si>
  <si>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</si>
  <si>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</si>
  <si>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</si>
  <si>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</si>
  <si>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</si>
  <si>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</si>
  <si>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</si>
  <si>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</si>
  <si>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</si>
  <si>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</si>
  <si>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</si>
  <si>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</si>
  <si>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</si>
  <si>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</si>
  <si>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</si>
  <si>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</si>
  <si>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</si>
  <si>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</si>
  <si>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</si>
  <si>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</si>
  <si>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</si>
  <si>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</si>
  <si>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</si>
  <si>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</si>
  <si>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</si>
  <si>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</si>
  <si>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</si>
  <si>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</si>
  <si>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</si>
  <si>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</si>
  <si>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</si>
  <si>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</si>
  <si>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Mollusca (Creseis)</t>
  </si>
  <si>
    <t>Stomatopoda</t>
  </si>
  <si>
    <t>Euphausiacea</t>
  </si>
  <si>
    <t>Cladocera</t>
  </si>
  <si>
    <t>Siphonophora (Calycophorae)</t>
  </si>
  <si>
    <t>Laura C. Ortiz Mieles</t>
  </si>
  <si>
    <t>SP-21-0323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</si>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</sst>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6" formatCode="0.000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166" fontId="2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=""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=""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=""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=""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=""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=""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=""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=""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=""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=""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=""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=""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=""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=""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=""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=""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=""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=""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=""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=""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=""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=""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=""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=""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=""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=""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=""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=""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=""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=""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=""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=""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=""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=""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=""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=""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=""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=""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=""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=""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=""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=""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=""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=""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=""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=""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=""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=""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=""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=""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=""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=""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=""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=""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=""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=""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=""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=""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=""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=""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=""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=""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=""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=""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=""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=""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=""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=""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=""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=""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=""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=""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=""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=""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=""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=""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=""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=""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=""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=""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=""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=""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=""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=""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=""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=""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=""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=""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=""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=""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=""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=""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=""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=""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=""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=""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=""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=""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=""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=""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=""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=""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=""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=""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=""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=""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=""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=""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=""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=""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=""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=""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=""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=""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=""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=""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=""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=""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=""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=""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=""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=""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=""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=""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=""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=""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=""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=""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=""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=""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=""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=""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=""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=""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=""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=""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=""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=""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=""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=""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=""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=""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=""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=""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=""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=""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=""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=""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=""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=""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=""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=""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=""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=""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=""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=""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=""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=""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=""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=""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=""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=""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=""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=""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=""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=""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=""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=""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=""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=""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=""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=""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=""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=""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=""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=""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=""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=""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=""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=""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=""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=""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=""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=""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=""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=""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=""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=""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=""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=""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=""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=""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=""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=""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=""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=""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=""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=""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=""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=""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=""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=""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=""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=""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=""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=""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12700</xdr:rowOff>
        </xdr:from>
        <xdr:to>
          <xdr:col>7</xdr:col>
          <xdr:colOff>12700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=""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=""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=""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=""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=""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=""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=""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=""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=""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=""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=""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=""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=""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=""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=""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=""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=""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=""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=""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=""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=""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=""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=""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=""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=""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=""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=""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=""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=""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=""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=""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=""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=""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=""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=""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=""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=""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=""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=""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=""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=""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=""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=""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=""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=""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=""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=""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=""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=""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=""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=""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=""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=""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=""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=""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nidades%20compartidas\Zooplancton%20CCCP\LISTADO%20OFICIAL%20ZOOPLANKT\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o/Google%20Drive/CIOH-P/P%20Laura%20_Fabio/Listado%20zoo/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7"/>
  <sheetViews>
    <sheetView workbookViewId="0"/>
  </sheetViews>
  <sheetFormatPr baseColWidth="10" defaultRowHeight="12.5" x14ac:dyDescent="0.25"/>
  <cols>
    <col min="1" max="1" width="29.54296875" customWidth="1"/>
    <col min="2" max="2" width="44.26953125" customWidth="1"/>
    <col min="3" max="3" width="43.81640625" customWidth="1"/>
  </cols>
  <sheetData>
    <row r="1" spans="1:3" x14ac:dyDescent="0.25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5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5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5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5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5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5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5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5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5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5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5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5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5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5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5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5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5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5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5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5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5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5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5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5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5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5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5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5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5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5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5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5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5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5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5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5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5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5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5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5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5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5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5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5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5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5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5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5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5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5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5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5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5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5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5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5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5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5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5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5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5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5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5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5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5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5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5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5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5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5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5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5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5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5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5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5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5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5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5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5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5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5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5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5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5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5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5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5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5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5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5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5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5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5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5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5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5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5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5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5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5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5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5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5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5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5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5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5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5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5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5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5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5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5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5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5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5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5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5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5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5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5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5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5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5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5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5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5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5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5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5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5">
      <c r="A133">
        <f>[1]Taxonomía_General!$B136</f>
        <v>0</v>
      </c>
      <c r="B133">
        <f>[1]Taxonomía_General!$K136</f>
        <v>0</v>
      </c>
      <c r="C133">
        <f>[1]Taxonomía_General!$C136</f>
        <v>0</v>
      </c>
    </row>
    <row r="134" spans="1:3" x14ac:dyDescent="0.25">
      <c r="A134">
        <f>[1]Taxonomía_General!$B137</f>
        <v>0</v>
      </c>
      <c r="B134">
        <f>[1]Taxonomía_General!$K137</f>
        <v>0</v>
      </c>
      <c r="C134">
        <f>[1]Taxonomía_General!$C137</f>
        <v>0</v>
      </c>
    </row>
    <row r="135" spans="1:3" x14ac:dyDescent="0.25">
      <c r="A135">
        <f>[1]Taxonomía_General!$B138</f>
        <v>0</v>
      </c>
      <c r="B135">
        <f>[1]Taxonomía_General!$K138</f>
        <v>0</v>
      </c>
      <c r="C135">
        <f>[1]Taxonomía_General!$C138</f>
        <v>0</v>
      </c>
    </row>
    <row r="136" spans="1:3" x14ac:dyDescent="0.25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5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5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5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5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5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5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5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5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5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5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5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5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5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5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5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5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5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5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5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5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5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5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5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5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5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5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5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5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5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5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5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5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5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5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5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5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5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5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5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5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5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5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5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5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5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5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5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5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5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5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5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5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5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5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5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5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5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5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5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5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5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5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5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5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5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5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5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5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5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5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5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5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5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5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5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5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5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5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5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5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5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5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5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5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5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5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5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5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5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5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5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5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5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5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5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5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5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5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5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5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5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5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5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5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5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5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5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5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5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5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5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5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5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5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5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5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5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5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5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5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5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5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5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5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5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5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5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5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5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5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5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5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5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5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5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5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5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5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5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5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5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5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5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5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5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5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5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5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5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5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5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5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5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5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5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5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5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5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5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5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5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5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5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5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5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5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5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5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5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5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5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5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5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5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5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5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5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5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5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5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5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5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5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5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5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5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5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5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5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5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5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5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5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5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5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5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5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5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5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5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5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5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5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5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5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5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5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5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5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5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5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5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5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5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5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5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5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5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5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5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5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5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5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5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5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5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5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5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5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5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5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5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5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5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5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5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5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5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5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5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5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zoomScaleNormal="100" zoomScaleSheetLayoutView="100" workbookViewId="0">
      <selection activeCell="B2" sqref="B2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53"/>
      <c r="B1" s="6"/>
      <c r="I1" s="59" t="s">
        <v>32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3"/>
    </row>
    <row r="2" spans="1:29" ht="37.5" customHeight="1" x14ac:dyDescent="0.25">
      <c r="A2" s="53"/>
      <c r="B2" s="6"/>
      <c r="I2" s="54" t="s">
        <v>31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58" t="s">
        <v>1</v>
      </c>
      <c r="B4" s="58"/>
      <c r="C4" s="58"/>
      <c r="D4" s="58"/>
      <c r="E4" s="58"/>
      <c r="F4" s="61"/>
      <c r="G4" s="56" t="s">
        <v>68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8" t="s">
        <v>66</v>
      </c>
      <c r="V4" s="39"/>
      <c r="W4" s="39"/>
      <c r="X4" s="39"/>
      <c r="Y4" s="39"/>
      <c r="Z4" s="39"/>
      <c r="AA4" s="39"/>
      <c r="AB4" s="40"/>
      <c r="AC4" s="3"/>
    </row>
    <row r="5" spans="1:29" ht="24" customHeight="1" x14ac:dyDescent="0.25">
      <c r="A5" s="58" t="s">
        <v>5</v>
      </c>
      <c r="B5" s="58"/>
      <c r="C5" s="58"/>
      <c r="D5" s="58"/>
      <c r="E5" s="58"/>
      <c r="F5" s="61"/>
      <c r="G5" s="42" t="s">
        <v>37</v>
      </c>
      <c r="H5" s="42"/>
      <c r="I5" s="42"/>
      <c r="J5" s="42"/>
      <c r="K5" s="42"/>
      <c r="L5" s="42"/>
      <c r="M5" s="42"/>
      <c r="N5" s="58" t="s">
        <v>9</v>
      </c>
      <c r="O5" s="58"/>
      <c r="P5" s="58"/>
      <c r="Q5" s="58"/>
      <c r="R5" s="58"/>
      <c r="S5" s="58"/>
      <c r="T5" s="58"/>
      <c r="U5" s="45">
        <v>44532</v>
      </c>
      <c r="V5" s="46"/>
      <c r="W5" s="47"/>
      <c r="X5" s="24" t="s">
        <v>29</v>
      </c>
      <c r="Y5" s="64">
        <v>0.59722222222222221</v>
      </c>
      <c r="Z5" s="65"/>
      <c r="AA5" s="65"/>
      <c r="AB5" s="65"/>
    </row>
    <row r="6" spans="1:29" ht="24" customHeight="1" x14ac:dyDescent="0.25">
      <c r="A6" s="62" t="s">
        <v>7</v>
      </c>
      <c r="B6" s="62"/>
      <c r="C6" s="62"/>
      <c r="D6" s="62"/>
      <c r="E6" s="62"/>
      <c r="F6" s="63"/>
      <c r="G6" s="42" t="s">
        <v>40</v>
      </c>
      <c r="H6" s="42"/>
      <c r="I6" s="42"/>
      <c r="J6" s="42"/>
      <c r="K6" s="42"/>
      <c r="L6" s="42"/>
      <c r="M6" s="42"/>
      <c r="N6" s="66" t="s">
        <v>0</v>
      </c>
      <c r="O6" s="66"/>
      <c r="P6" s="66"/>
      <c r="Q6" s="66"/>
      <c r="R6" s="66"/>
      <c r="S6" s="66"/>
      <c r="T6" s="66"/>
      <c r="U6" s="45">
        <v>44532</v>
      </c>
      <c r="V6" s="46"/>
      <c r="W6" s="47"/>
      <c r="X6" s="24" t="s">
        <v>29</v>
      </c>
      <c r="Y6" s="64">
        <v>0.7583333333333333</v>
      </c>
      <c r="Z6" s="65"/>
      <c r="AA6" s="65"/>
      <c r="AB6" s="65"/>
    </row>
    <row r="7" spans="1:29" ht="24" customHeight="1" x14ac:dyDescent="0.25">
      <c r="A7" s="58" t="s">
        <v>10</v>
      </c>
      <c r="B7" s="58"/>
      <c r="C7" s="58"/>
      <c r="D7" s="58"/>
      <c r="E7" s="58"/>
      <c r="F7" s="61"/>
      <c r="G7" s="42" t="s">
        <v>41</v>
      </c>
      <c r="H7" s="42"/>
      <c r="I7" s="42"/>
      <c r="J7" s="42"/>
      <c r="K7" s="42"/>
      <c r="L7" s="42"/>
      <c r="M7" s="42"/>
      <c r="N7" s="43" t="s">
        <v>34</v>
      </c>
      <c r="O7" s="43"/>
      <c r="P7" s="43"/>
      <c r="Q7" s="43"/>
      <c r="R7" s="43"/>
      <c r="S7" s="43"/>
      <c r="T7" s="43"/>
      <c r="U7" s="69" t="s">
        <v>39</v>
      </c>
      <c r="V7" s="69"/>
      <c r="W7" s="69"/>
      <c r="X7" s="69"/>
      <c r="Y7" s="69"/>
      <c r="Z7" s="69"/>
      <c r="AA7" s="69"/>
      <c r="AB7" s="69"/>
    </row>
    <row r="8" spans="1:29" ht="24" customHeight="1" x14ac:dyDescent="0.25">
      <c r="A8" s="62" t="s">
        <v>2</v>
      </c>
      <c r="B8" s="62"/>
      <c r="C8" s="62"/>
      <c r="D8" s="62"/>
      <c r="E8" s="62"/>
      <c r="F8" s="63"/>
      <c r="G8" s="42">
        <v>20065667</v>
      </c>
      <c r="H8" s="42"/>
      <c r="I8" s="42"/>
      <c r="J8" s="42"/>
      <c r="K8" s="42"/>
      <c r="L8" s="42"/>
      <c r="M8" s="42"/>
      <c r="N8" s="43" t="s">
        <v>4</v>
      </c>
      <c r="O8" s="43"/>
      <c r="P8" s="43"/>
      <c r="Q8" s="43"/>
      <c r="R8" s="43"/>
      <c r="S8" s="43"/>
      <c r="T8" s="43"/>
      <c r="U8" s="44" t="s">
        <v>38</v>
      </c>
      <c r="V8" s="44"/>
      <c r="W8" s="44"/>
      <c r="X8" s="44"/>
      <c r="Y8" s="44"/>
      <c r="Z8" s="44"/>
      <c r="AA8" s="44"/>
      <c r="AB8" s="44"/>
    </row>
    <row r="9" spans="1:29" ht="24" customHeight="1" x14ac:dyDescent="0.25">
      <c r="A9" s="62" t="s">
        <v>6</v>
      </c>
      <c r="B9" s="62"/>
      <c r="C9" s="62"/>
      <c r="D9" s="62"/>
      <c r="E9" s="62"/>
      <c r="F9" s="63"/>
      <c r="G9" s="67" t="s">
        <v>42</v>
      </c>
      <c r="H9" s="67"/>
      <c r="I9" s="67"/>
      <c r="J9" s="67"/>
      <c r="K9" s="67"/>
      <c r="L9" s="67"/>
      <c r="M9" s="67"/>
      <c r="N9" s="43" t="s">
        <v>30</v>
      </c>
      <c r="O9" s="43"/>
      <c r="P9" s="43"/>
      <c r="Q9" s="43"/>
      <c r="R9" s="43"/>
      <c r="S9" s="43"/>
      <c r="T9" s="43"/>
      <c r="U9" s="68" t="s">
        <v>67</v>
      </c>
      <c r="V9" s="68"/>
      <c r="W9" s="68"/>
      <c r="X9" s="68"/>
      <c r="Y9" s="68"/>
      <c r="Z9" s="68"/>
      <c r="AA9" s="68"/>
      <c r="AB9" s="68"/>
    </row>
    <row r="10" spans="1:29" ht="6" customHeight="1" x14ac:dyDescent="0.25">
      <c r="U10" s="8"/>
      <c r="V10" s="8"/>
      <c r="W10" s="8"/>
    </row>
    <row r="11" spans="1:29" ht="23.25" customHeight="1" x14ac:dyDescent="0.25">
      <c r="A11" s="48" t="s">
        <v>8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19"/>
      <c r="N11" s="43" t="s">
        <v>12</v>
      </c>
      <c r="O11" s="43"/>
      <c r="P11" s="43"/>
      <c r="Q11" s="43"/>
      <c r="R11" s="43"/>
      <c r="S11" s="42"/>
      <c r="T11" s="42"/>
      <c r="U11" s="43" t="s">
        <v>13</v>
      </c>
      <c r="V11" s="43"/>
      <c r="W11" s="43"/>
      <c r="X11" s="43"/>
      <c r="Y11" s="43"/>
      <c r="Z11" s="43"/>
      <c r="AA11" s="38"/>
      <c r="AB11" s="40"/>
    </row>
    <row r="12" spans="1:29" ht="6" customHeight="1" x14ac:dyDescent="0.3"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9" ht="36" customHeight="1" x14ac:dyDescent="0.25">
      <c r="A13" s="50" t="s">
        <v>35</v>
      </c>
      <c r="B13" s="51"/>
      <c r="C13" s="51"/>
      <c r="D13" s="51"/>
      <c r="E13" s="51"/>
      <c r="F13" s="25" t="s">
        <v>36</v>
      </c>
      <c r="G13" s="41" t="s">
        <v>14</v>
      </c>
      <c r="H13" s="41"/>
      <c r="I13" s="41"/>
      <c r="J13" s="52">
        <v>8.5796196119196111</v>
      </c>
      <c r="K13" s="52"/>
      <c r="L13" s="41" t="s">
        <v>15</v>
      </c>
      <c r="M13" s="41"/>
      <c r="N13" s="41"/>
      <c r="O13" s="38">
        <v>40</v>
      </c>
      <c r="P13" s="39"/>
      <c r="Q13" s="40"/>
      <c r="R13" s="41" t="s">
        <v>16</v>
      </c>
      <c r="S13" s="41"/>
      <c r="T13" s="41"/>
      <c r="U13" s="42">
        <v>5</v>
      </c>
      <c r="V13" s="42"/>
      <c r="W13" s="41" t="s">
        <v>17</v>
      </c>
      <c r="X13" s="41"/>
      <c r="Y13" s="41"/>
      <c r="Z13" s="41"/>
      <c r="AA13" s="42">
        <v>4</v>
      </c>
      <c r="AB13" s="42"/>
    </row>
    <row r="14" spans="1:29" ht="27" customHeight="1" x14ac:dyDescent="0.25">
      <c r="A14" s="51" t="s">
        <v>3</v>
      </c>
      <c r="B14" s="51"/>
      <c r="C14" s="51"/>
      <c r="D14" s="51"/>
      <c r="E14" s="51"/>
      <c r="F14" s="25"/>
      <c r="G14" s="41" t="s">
        <v>18</v>
      </c>
      <c r="H14" s="41"/>
      <c r="I14" s="41"/>
      <c r="J14" s="41"/>
      <c r="K14" s="41"/>
      <c r="L14" s="41"/>
      <c r="M14" s="70"/>
      <c r="N14" s="71"/>
      <c r="O14" s="71"/>
      <c r="P14" s="71"/>
      <c r="Q14" s="72"/>
      <c r="R14" s="41" t="s">
        <v>19</v>
      </c>
      <c r="S14" s="41"/>
      <c r="T14" s="41"/>
      <c r="U14" s="41"/>
      <c r="V14" s="41"/>
      <c r="W14" s="82" t="s">
        <v>53</v>
      </c>
      <c r="X14" s="82"/>
      <c r="Y14" s="82"/>
      <c r="Z14" s="82"/>
      <c r="AA14" s="82"/>
      <c r="AB14" s="82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8" t="s">
        <v>20</v>
      </c>
      <c r="B17" s="79"/>
      <c r="C17" s="79"/>
      <c r="D17" s="79"/>
      <c r="E17" s="79"/>
      <c r="F17" s="80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5">
      <c r="A18" s="81" t="s">
        <v>55</v>
      </c>
      <c r="B18" s="81"/>
      <c r="C18" s="81"/>
      <c r="D18" s="81"/>
      <c r="E18" s="81"/>
      <c r="F18" s="81"/>
      <c r="G18" s="16">
        <v>-5</v>
      </c>
      <c r="H18" s="16">
        <v>83</v>
      </c>
      <c r="I18" s="16"/>
      <c r="J18" s="74"/>
      <c r="K18" s="75"/>
      <c r="L18" s="76"/>
      <c r="M18" s="16"/>
      <c r="N18" s="16">
        <v>0</v>
      </c>
      <c r="O18" s="16"/>
      <c r="P18" s="77"/>
      <c r="Q18" s="77"/>
      <c r="R18" s="77"/>
      <c r="S18" s="77"/>
      <c r="T18" s="17"/>
      <c r="U18" s="16">
        <v>0</v>
      </c>
      <c r="V18" s="17"/>
      <c r="W18" s="77"/>
      <c r="X18" s="77"/>
      <c r="Y18" s="77"/>
      <c r="Z18" s="17"/>
      <c r="AA18" s="16">
        <v>0</v>
      </c>
      <c r="AB18" s="17"/>
    </row>
    <row r="19" spans="1:28" ht="15" customHeight="1" x14ac:dyDescent="0.25">
      <c r="A19" s="35" t="s">
        <v>62</v>
      </c>
      <c r="B19" s="36"/>
      <c r="C19" s="36"/>
      <c r="D19" s="36"/>
      <c r="E19" s="36"/>
      <c r="F19" s="37"/>
      <c r="G19" s="16"/>
      <c r="H19" s="16">
        <v>11</v>
      </c>
      <c r="I19" s="16"/>
      <c r="J19" s="74"/>
      <c r="K19" s="75"/>
      <c r="L19" s="76"/>
      <c r="M19" s="16"/>
      <c r="N19" s="16">
        <v>0</v>
      </c>
      <c r="O19" s="16"/>
      <c r="P19" s="77"/>
      <c r="Q19" s="77"/>
      <c r="R19" s="77"/>
      <c r="S19" s="77"/>
      <c r="T19" s="17"/>
      <c r="U19" s="16">
        <v>0</v>
      </c>
      <c r="V19" s="17"/>
      <c r="W19" s="77"/>
      <c r="X19" s="77"/>
      <c r="Y19" s="77"/>
      <c r="Z19" s="17"/>
      <c r="AA19" s="16">
        <v>0</v>
      </c>
      <c r="AB19" s="17"/>
    </row>
    <row r="20" spans="1:28" ht="15" customHeight="1" x14ac:dyDescent="0.25">
      <c r="A20" s="35" t="s">
        <v>56</v>
      </c>
      <c r="B20" s="36"/>
      <c r="C20" s="36"/>
      <c r="D20" s="36"/>
      <c r="E20" s="36"/>
      <c r="F20" s="37"/>
      <c r="G20" s="16"/>
      <c r="H20" s="31">
        <v>39</v>
      </c>
      <c r="I20" s="16"/>
      <c r="J20" s="74"/>
      <c r="K20" s="75"/>
      <c r="L20" s="76"/>
      <c r="M20" s="16"/>
      <c r="N20" s="16">
        <v>0</v>
      </c>
      <c r="O20" s="16"/>
      <c r="P20" s="77"/>
      <c r="Q20" s="77"/>
      <c r="R20" s="77"/>
      <c r="S20" s="77"/>
      <c r="T20" s="17"/>
      <c r="U20" s="16">
        <v>0</v>
      </c>
      <c r="V20" s="17"/>
      <c r="W20" s="77"/>
      <c r="X20" s="77"/>
      <c r="Y20" s="77"/>
      <c r="Z20" s="18"/>
      <c r="AA20" s="16">
        <v>0</v>
      </c>
      <c r="AB20" s="17"/>
    </row>
    <row r="21" spans="1:28" ht="15" customHeight="1" x14ac:dyDescent="0.25">
      <c r="A21" s="35" t="s">
        <v>57</v>
      </c>
      <c r="B21" s="36"/>
      <c r="C21" s="36"/>
      <c r="D21" s="36"/>
      <c r="E21" s="36"/>
      <c r="F21" s="37"/>
      <c r="G21" s="16"/>
      <c r="H21" s="16">
        <v>202</v>
      </c>
      <c r="I21" s="16"/>
      <c r="J21" s="74"/>
      <c r="K21" s="75"/>
      <c r="L21" s="76"/>
      <c r="M21" s="16"/>
      <c r="N21" s="16">
        <v>0</v>
      </c>
      <c r="O21" s="16"/>
      <c r="P21" s="77"/>
      <c r="Q21" s="77"/>
      <c r="R21" s="77"/>
      <c r="S21" s="77"/>
      <c r="T21" s="17"/>
      <c r="U21" s="16">
        <v>0</v>
      </c>
      <c r="V21" s="17"/>
      <c r="W21" s="83"/>
      <c r="X21" s="83"/>
      <c r="Y21" s="83"/>
      <c r="Z21" s="17"/>
      <c r="AA21" s="16">
        <v>0</v>
      </c>
      <c r="AB21" s="17"/>
    </row>
    <row r="22" spans="1:28" ht="15" customHeight="1" x14ac:dyDescent="0.25">
      <c r="A22" s="35" t="s">
        <v>60</v>
      </c>
      <c r="B22" s="36"/>
      <c r="C22" s="36"/>
      <c r="D22" s="36"/>
      <c r="E22" s="36"/>
      <c r="F22" s="37"/>
      <c r="G22" s="31" t="s">
        <v>54</v>
      </c>
      <c r="H22" s="16">
        <v>6</v>
      </c>
      <c r="I22" s="16"/>
      <c r="J22" s="74"/>
      <c r="K22" s="75"/>
      <c r="L22" s="76"/>
      <c r="M22" s="16"/>
      <c r="N22" s="16">
        <v>0</v>
      </c>
      <c r="O22" s="16"/>
      <c r="P22" s="77"/>
      <c r="Q22" s="77"/>
      <c r="R22" s="77"/>
      <c r="S22" s="77"/>
      <c r="T22" s="17"/>
      <c r="U22" s="31">
        <v>0</v>
      </c>
      <c r="V22" s="17"/>
      <c r="W22" s="83"/>
      <c r="X22" s="83"/>
      <c r="Y22" s="83"/>
      <c r="Z22" s="17"/>
      <c r="AA22" s="16">
        <v>0</v>
      </c>
      <c r="AB22" s="17"/>
    </row>
    <row r="23" spans="1:28" ht="15" customHeight="1" x14ac:dyDescent="0.25">
      <c r="A23" s="35" t="s">
        <v>58</v>
      </c>
      <c r="B23" s="36"/>
      <c r="C23" s="36"/>
      <c r="D23" s="36"/>
      <c r="E23" s="36"/>
      <c r="F23" s="37"/>
      <c r="G23" s="16"/>
      <c r="H23" s="16">
        <v>32</v>
      </c>
      <c r="I23" s="16"/>
      <c r="J23" s="74"/>
      <c r="K23" s="75"/>
      <c r="L23" s="76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83"/>
      <c r="X23" s="83"/>
      <c r="Y23" s="83"/>
      <c r="Z23" s="17"/>
      <c r="AA23" s="16">
        <v>0</v>
      </c>
      <c r="AB23" s="17"/>
    </row>
    <row r="24" spans="1:28" ht="15" customHeight="1" x14ac:dyDescent="0.25">
      <c r="A24" s="35" t="s">
        <v>59</v>
      </c>
      <c r="B24" s="36"/>
      <c r="C24" s="36"/>
      <c r="D24" s="36"/>
      <c r="E24" s="36"/>
      <c r="F24" s="37"/>
      <c r="G24" s="16"/>
      <c r="H24" s="16">
        <v>48</v>
      </c>
      <c r="I24" s="16"/>
      <c r="J24" s="74"/>
      <c r="K24" s="75"/>
      <c r="L24" s="76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83"/>
      <c r="X24" s="83"/>
      <c r="Y24" s="83"/>
      <c r="Z24" s="17"/>
      <c r="AA24" s="16">
        <v>0</v>
      </c>
      <c r="AB24" s="17"/>
    </row>
    <row r="25" spans="1:28" ht="15" customHeight="1" x14ac:dyDescent="0.25">
      <c r="A25" s="35" t="s">
        <v>61</v>
      </c>
      <c r="B25" s="36"/>
      <c r="C25" s="36"/>
      <c r="D25" s="36"/>
      <c r="E25" s="36"/>
      <c r="F25" s="37"/>
      <c r="G25" s="16"/>
      <c r="H25" s="16">
        <v>5</v>
      </c>
      <c r="I25" s="16"/>
      <c r="J25" s="85"/>
      <c r="K25" s="86"/>
      <c r="L25" s="87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83"/>
      <c r="X25" s="83"/>
      <c r="Y25" s="83"/>
      <c r="Z25" s="17"/>
      <c r="AA25" s="16">
        <v>0</v>
      </c>
      <c r="AB25" s="17"/>
    </row>
    <row r="26" spans="1:28" ht="15" customHeight="1" x14ac:dyDescent="0.25">
      <c r="A26" s="35" t="s">
        <v>65</v>
      </c>
      <c r="B26" s="36"/>
      <c r="C26" s="36"/>
      <c r="D26" s="36"/>
      <c r="E26" s="36"/>
      <c r="F26" s="37"/>
      <c r="G26" s="16"/>
      <c r="H26" s="16">
        <v>3</v>
      </c>
      <c r="I26" s="16"/>
      <c r="J26" s="85"/>
      <c r="K26" s="86"/>
      <c r="L26" s="87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83"/>
      <c r="X26" s="83"/>
      <c r="Y26" s="83"/>
      <c r="Z26" s="17"/>
      <c r="AA26" s="16">
        <v>0</v>
      </c>
      <c r="AB26" s="17"/>
    </row>
    <row r="27" spans="1:28" ht="15" customHeight="1" x14ac:dyDescent="0.25">
      <c r="A27" s="35" t="s">
        <v>63</v>
      </c>
      <c r="B27" s="36"/>
      <c r="C27" s="36"/>
      <c r="D27" s="36"/>
      <c r="E27" s="36"/>
      <c r="F27" s="37"/>
      <c r="G27" s="16"/>
      <c r="H27" s="16">
        <v>3</v>
      </c>
      <c r="I27" s="16"/>
      <c r="J27" s="74"/>
      <c r="K27" s="75"/>
      <c r="L27" s="76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83"/>
      <c r="X27" s="83"/>
      <c r="Y27" s="83"/>
      <c r="Z27" s="17"/>
      <c r="AA27" s="16">
        <v>0</v>
      </c>
      <c r="AB27" s="17"/>
    </row>
    <row r="28" spans="1:28" ht="15" customHeight="1" x14ac:dyDescent="0.25">
      <c r="A28" s="35" t="s">
        <v>64</v>
      </c>
      <c r="B28" s="36"/>
      <c r="C28" s="36"/>
      <c r="D28" s="36"/>
      <c r="E28" s="36"/>
      <c r="F28" s="37"/>
      <c r="G28" s="16"/>
      <c r="H28" s="16">
        <v>3</v>
      </c>
      <c r="I28" s="16"/>
      <c r="J28" s="74"/>
      <c r="K28" s="75"/>
      <c r="L28" s="76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83"/>
      <c r="X28" s="83"/>
      <c r="Y28" s="83"/>
      <c r="Z28" s="17"/>
      <c r="AA28" s="16">
        <v>0</v>
      </c>
      <c r="AB28" s="17"/>
    </row>
    <row r="29" spans="1:28" ht="15" customHeight="1" x14ac:dyDescent="0.25">
      <c r="A29" s="35"/>
      <c r="B29" s="36"/>
      <c r="C29" s="36"/>
      <c r="D29" s="36"/>
      <c r="E29" s="36"/>
      <c r="F29" s="37"/>
      <c r="G29" s="16"/>
      <c r="H29" s="16">
        <v>0</v>
      </c>
      <c r="I29" s="16"/>
      <c r="J29" s="74"/>
      <c r="K29" s="75"/>
      <c r="L29" s="76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83"/>
      <c r="X29" s="83"/>
      <c r="Y29" s="83"/>
      <c r="Z29" s="17"/>
      <c r="AA29" s="16">
        <v>0</v>
      </c>
      <c r="AB29" s="17"/>
    </row>
    <row r="30" spans="1:28" ht="15" customHeight="1" x14ac:dyDescent="0.25">
      <c r="G30" s="16"/>
      <c r="H30" s="16">
        <v>0</v>
      </c>
      <c r="I30" s="16"/>
      <c r="J30" s="74"/>
      <c r="K30" s="75"/>
      <c r="L30" s="76"/>
      <c r="M30" s="16"/>
      <c r="N30" s="16">
        <v>0</v>
      </c>
      <c r="O30" s="16"/>
      <c r="P30" s="77"/>
      <c r="Q30" s="77"/>
      <c r="R30" s="77"/>
      <c r="S30" s="77"/>
      <c r="T30" s="17"/>
      <c r="U30" s="16">
        <v>0</v>
      </c>
      <c r="V30" s="17"/>
      <c r="W30" s="83"/>
      <c r="X30" s="83"/>
      <c r="Y30" s="83"/>
      <c r="Z30" s="17"/>
      <c r="AA30" s="16">
        <v>0</v>
      </c>
      <c r="AB30" s="17"/>
    </row>
    <row r="31" spans="1:28" ht="15" customHeight="1" x14ac:dyDescent="0.25">
      <c r="A31" s="81"/>
      <c r="B31" s="81"/>
      <c r="C31" s="81"/>
      <c r="D31" s="81"/>
      <c r="E31" s="81"/>
      <c r="F31" s="81"/>
      <c r="G31" s="16"/>
      <c r="H31" s="16">
        <v>0</v>
      </c>
      <c r="I31" s="16"/>
      <c r="J31" s="74"/>
      <c r="K31" s="75"/>
      <c r="L31" s="76"/>
      <c r="M31" s="16"/>
      <c r="N31" s="16">
        <v>0</v>
      </c>
      <c r="O31" s="16"/>
      <c r="P31" s="77"/>
      <c r="Q31" s="77"/>
      <c r="R31" s="77"/>
      <c r="S31" s="77"/>
      <c r="T31" s="17"/>
      <c r="U31" s="16">
        <v>0</v>
      </c>
      <c r="V31" s="17"/>
      <c r="W31" s="83"/>
      <c r="X31" s="83"/>
      <c r="Y31" s="83"/>
      <c r="Z31" s="17"/>
      <c r="AA31" s="16">
        <v>0</v>
      </c>
      <c r="AB31" s="17"/>
    </row>
    <row r="32" spans="1:28" ht="15" customHeight="1" x14ac:dyDescent="0.25">
      <c r="A32" s="81"/>
      <c r="B32" s="81"/>
      <c r="C32" s="81"/>
      <c r="D32" s="81"/>
      <c r="E32" s="81"/>
      <c r="F32" s="81"/>
      <c r="G32" s="16"/>
      <c r="H32" s="16">
        <v>0</v>
      </c>
      <c r="I32" s="16"/>
      <c r="J32" s="74"/>
      <c r="K32" s="75"/>
      <c r="L32" s="76"/>
      <c r="M32" s="16"/>
      <c r="N32" s="16">
        <v>0</v>
      </c>
      <c r="O32" s="16"/>
      <c r="P32" s="77"/>
      <c r="Q32" s="77"/>
      <c r="R32" s="77"/>
      <c r="S32" s="77"/>
      <c r="T32" s="17"/>
      <c r="U32" s="16">
        <v>0</v>
      </c>
      <c r="V32" s="17"/>
      <c r="W32" s="83"/>
      <c r="X32" s="83"/>
      <c r="Y32" s="83"/>
      <c r="Z32" s="17"/>
      <c r="AA32" s="16">
        <v>0</v>
      </c>
      <c r="AB32" s="17"/>
    </row>
    <row r="33" spans="1:28" ht="15" customHeight="1" x14ac:dyDescent="0.25">
      <c r="A33" s="35"/>
      <c r="B33" s="36"/>
      <c r="C33" s="36"/>
      <c r="D33" s="36"/>
      <c r="E33" s="36"/>
      <c r="F33" s="37"/>
      <c r="G33" s="16"/>
      <c r="H33" s="16">
        <v>0</v>
      </c>
      <c r="I33" s="16"/>
      <c r="J33" s="74"/>
      <c r="K33" s="75"/>
      <c r="L33" s="76"/>
      <c r="M33" s="16"/>
      <c r="N33" s="16">
        <v>0</v>
      </c>
      <c r="O33" s="16"/>
      <c r="P33" s="77"/>
      <c r="Q33" s="77"/>
      <c r="R33" s="77"/>
      <c r="S33" s="77"/>
      <c r="T33" s="17"/>
      <c r="U33" s="16">
        <v>0</v>
      </c>
      <c r="V33" s="17"/>
      <c r="W33" s="83"/>
      <c r="X33" s="83"/>
      <c r="Y33" s="83"/>
      <c r="Z33" s="17"/>
      <c r="AA33" s="16">
        <v>0</v>
      </c>
      <c r="AB33" s="17"/>
    </row>
    <row r="34" spans="1:28" ht="15" customHeight="1" x14ac:dyDescent="0.25">
      <c r="A34" s="35"/>
      <c r="B34" s="36"/>
      <c r="C34" s="36"/>
      <c r="D34" s="36"/>
      <c r="E34" s="36"/>
      <c r="F34" s="37"/>
      <c r="G34" s="16"/>
      <c r="H34" s="16">
        <v>0</v>
      </c>
      <c r="I34" s="16"/>
      <c r="J34" s="74"/>
      <c r="K34" s="75"/>
      <c r="L34" s="76"/>
      <c r="M34" s="16"/>
      <c r="N34" s="16">
        <v>0</v>
      </c>
      <c r="O34" s="16"/>
      <c r="P34" s="77"/>
      <c r="Q34" s="77"/>
      <c r="R34" s="77"/>
      <c r="S34" s="77"/>
      <c r="T34" s="17"/>
      <c r="U34" s="16">
        <v>0</v>
      </c>
      <c r="V34" s="17"/>
      <c r="W34" s="83"/>
      <c r="X34" s="83"/>
      <c r="Y34" s="83"/>
      <c r="Z34" s="17"/>
      <c r="AA34" s="16">
        <v>0</v>
      </c>
      <c r="AB34" s="17"/>
    </row>
    <row r="35" spans="1:28" ht="15" customHeight="1" x14ac:dyDescent="0.25">
      <c r="A35" s="35"/>
      <c r="B35" s="36"/>
      <c r="C35" s="36"/>
      <c r="D35" s="36"/>
      <c r="E35" s="36"/>
      <c r="F35" s="37"/>
      <c r="G35" s="16"/>
      <c r="H35" s="16">
        <v>0</v>
      </c>
      <c r="I35" s="16"/>
      <c r="J35" s="74"/>
      <c r="K35" s="75"/>
      <c r="L35" s="76"/>
      <c r="M35" s="16"/>
      <c r="N35" s="16">
        <v>0</v>
      </c>
      <c r="O35" s="16"/>
      <c r="P35" s="77"/>
      <c r="Q35" s="77"/>
      <c r="R35" s="77"/>
      <c r="S35" s="77"/>
      <c r="T35" s="17"/>
      <c r="U35" s="16">
        <v>0</v>
      </c>
      <c r="V35" s="17"/>
      <c r="W35" s="83"/>
      <c r="X35" s="83"/>
      <c r="Y35" s="83"/>
      <c r="Z35" s="17"/>
      <c r="AA35" s="16">
        <v>0</v>
      </c>
      <c r="AB35" s="17"/>
    </row>
    <row r="36" spans="1:28" ht="15" customHeight="1" x14ac:dyDescent="0.25">
      <c r="A36" s="35"/>
      <c r="B36" s="36"/>
      <c r="C36" s="36"/>
      <c r="D36" s="36"/>
      <c r="E36" s="36"/>
      <c r="F36" s="37"/>
      <c r="G36" s="16"/>
      <c r="H36" s="16">
        <v>0</v>
      </c>
      <c r="I36" s="16"/>
      <c r="J36" s="74"/>
      <c r="K36" s="75"/>
      <c r="L36" s="76"/>
      <c r="M36" s="16"/>
      <c r="N36" s="16">
        <v>0</v>
      </c>
      <c r="O36" s="16"/>
      <c r="P36" s="77"/>
      <c r="Q36" s="77"/>
      <c r="R36" s="77"/>
      <c r="S36" s="77"/>
      <c r="T36" s="17"/>
      <c r="U36" s="16">
        <v>0</v>
      </c>
      <c r="V36" s="17"/>
      <c r="W36" s="83"/>
      <c r="X36" s="83"/>
      <c r="Y36" s="83"/>
      <c r="Z36" s="17"/>
      <c r="AA36" s="16">
        <v>0</v>
      </c>
      <c r="AB36" s="17"/>
    </row>
    <row r="37" spans="1:28" ht="15" customHeight="1" x14ac:dyDescent="0.25">
      <c r="A37" s="35"/>
      <c r="B37" s="36"/>
      <c r="C37" s="36"/>
      <c r="D37" s="36"/>
      <c r="E37" s="36"/>
      <c r="F37" s="37"/>
      <c r="G37" s="16"/>
      <c r="H37" s="16">
        <v>0</v>
      </c>
      <c r="I37" s="16"/>
      <c r="J37" s="74"/>
      <c r="K37" s="75"/>
      <c r="L37" s="76"/>
      <c r="M37" s="16"/>
      <c r="N37" s="16">
        <v>0</v>
      </c>
      <c r="O37" s="16"/>
      <c r="P37" s="77"/>
      <c r="Q37" s="77"/>
      <c r="R37" s="77"/>
      <c r="S37" s="77"/>
      <c r="T37" s="17"/>
      <c r="U37" s="16">
        <v>0</v>
      </c>
      <c r="V37" s="17"/>
      <c r="W37" s="96"/>
      <c r="X37" s="83"/>
      <c r="Y37" s="83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50" t="s">
        <v>33</v>
      </c>
      <c r="X39" s="50"/>
      <c r="Y39" s="50"/>
      <c r="Z39" s="50"/>
      <c r="AA39" s="50"/>
      <c r="AB39" s="50"/>
    </row>
    <row r="40" spans="1:28" ht="22.5" customHeight="1" x14ac:dyDescent="0.25">
      <c r="A40" s="98">
        <v>0</v>
      </c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100"/>
      <c r="W40" s="88"/>
      <c r="X40" s="89"/>
      <c r="Y40" s="89"/>
      <c r="Z40" s="89"/>
      <c r="AA40" s="89"/>
      <c r="AB40" s="90"/>
    </row>
    <row r="41" spans="1:28" ht="26.25" customHeight="1" x14ac:dyDescent="0.25">
      <c r="A41" s="101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3"/>
      <c r="V41" s="92"/>
      <c r="W41" s="91" t="s">
        <v>28</v>
      </c>
      <c r="X41" s="50"/>
      <c r="Y41" s="50"/>
      <c r="Z41" s="50"/>
      <c r="AA41" s="50"/>
      <c r="AB41" s="50"/>
    </row>
    <row r="42" spans="1:28" ht="22.5" customHeight="1" x14ac:dyDescent="0.25">
      <c r="A42" s="101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3"/>
      <c r="V42" s="92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3">
    <mergeCell ref="A27:F27"/>
    <mergeCell ref="A28:F28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25:F25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3:F23"/>
    <mergeCell ref="A24:F24"/>
    <mergeCell ref="A29:F29"/>
    <mergeCell ref="A22:F22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27</xdr:row>
                    <xdr:rowOff>12700</xdr:rowOff>
                  </from>
                  <to>
                    <xdr:col>7</xdr:col>
                    <xdr:colOff>12700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1"/>
  <sheetViews>
    <sheetView zoomScale="101"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9.81640625" style="26" bestFit="1" customWidth="1"/>
    <col min="6" max="6" width="22.7265625" style="26" bestFit="1" customWidth="1"/>
    <col min="7" max="7" width="24.7265625" style="26" customWidth="1"/>
    <col min="8" max="8" width="21.7265625" style="26" bestFit="1" customWidth="1"/>
    <col min="9" max="9" width="7.453125" style="26" bestFit="1" customWidth="1"/>
    <col min="10" max="10" width="11.453125" style="26"/>
    <col min="11" max="11" width="7.1796875" style="26" customWidth="1"/>
    <col min="12" max="12" width="29.54296875" style="26" customWidth="1"/>
    <col min="13" max="16384" width="11.453125" style="26"/>
  </cols>
  <sheetData>
    <row r="1" spans="1:13" s="30" customFormat="1" ht="13" x14ac:dyDescent="0.25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3" x14ac:dyDescent="0.25">
      <c r="A2" s="27" t="str">
        <f>'Densidad de Grupos'!U9</f>
        <v>SP-21-0323</v>
      </c>
      <c r="B2" s="29">
        <f>'Densidad de Grupos'!J13</f>
        <v>8.5796196119196111</v>
      </c>
      <c r="C2" s="29">
        <f>'Densidad de Grupos'!O13</f>
        <v>40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83</v>
      </c>
      <c r="I2" s="28">
        <f>((H2*C2)/(F2*B2))*2</f>
        <v>38.696354269454382</v>
      </c>
      <c r="J2" s="28">
        <f>I2*1000</f>
        <v>38696.354269454379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A3" s="27" t="str">
        <f>$A$2</f>
        <v>SP-21-0323</v>
      </c>
      <c r="B3" s="29">
        <f>$B$2</f>
        <v>8.5796196119196111</v>
      </c>
      <c r="C3" s="29">
        <f>$C$2</f>
        <v>40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Stomatopoda</v>
      </c>
      <c r="H3" s="26">
        <f>'Densidad de Grupos'!H19</f>
        <v>11</v>
      </c>
      <c r="I3" s="28">
        <f t="shared" ref="I3:I66" si="0">((H3*C3)/(F3*B3))*2</f>
        <v>5.1284324935421468</v>
      </c>
      <c r="J3" s="28">
        <f t="shared" ref="J3:J66" si="1">I3*1000</f>
        <v>5128.4324935421464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A4" s="27" t="str">
        <f t="shared" ref="A4:A65" si="2">$A$2</f>
        <v>SP-21-0323</v>
      </c>
      <c r="B4" s="29">
        <f t="shared" ref="B4:B65" si="3">$B$2</f>
        <v>8.5796196119196111</v>
      </c>
      <c r="C4" s="29">
        <f t="shared" ref="C4:C65" si="4">$C$2</f>
        <v>40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39</v>
      </c>
      <c r="I4" s="28">
        <f t="shared" si="0"/>
        <v>18.182624295285795</v>
      </c>
      <c r="J4" s="28">
        <f t="shared" si="1"/>
        <v>18182.624295285794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A5" s="27" t="str">
        <f t="shared" si="2"/>
        <v>SP-21-0323</v>
      </c>
      <c r="B5" s="29">
        <f t="shared" si="3"/>
        <v>8.5796196119196111</v>
      </c>
      <c r="C5" s="29">
        <f t="shared" si="4"/>
        <v>40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202</v>
      </c>
      <c r="I5" s="28">
        <f t="shared" si="0"/>
        <v>94.176669426864891</v>
      </c>
      <c r="J5" s="28">
        <f t="shared" si="1"/>
        <v>94176.669426864886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A6" s="27" t="str">
        <f t="shared" si="2"/>
        <v>SP-21-0323</v>
      </c>
      <c r="B6" s="29">
        <f t="shared" si="3"/>
        <v>8.5796196119196111</v>
      </c>
      <c r="C6" s="29">
        <f t="shared" si="4"/>
        <v>40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Chaetognatha</v>
      </c>
      <c r="H6" s="26">
        <f>'Densidad de Grupos'!H22</f>
        <v>6</v>
      </c>
      <c r="I6" s="28">
        <f t="shared" si="0"/>
        <v>2.7973268146593528</v>
      </c>
      <c r="J6" s="28">
        <f t="shared" si="1"/>
        <v>2797.3268146593527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A7" s="27" t="str">
        <f t="shared" si="2"/>
        <v>SP-21-0323</v>
      </c>
      <c r="B7" s="29">
        <f t="shared" si="3"/>
        <v>8.5796196119196111</v>
      </c>
      <c r="C7" s="29">
        <f t="shared" si="4"/>
        <v>40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Pez (Huevo)</v>
      </c>
      <c r="H7" s="26">
        <f>'Densidad de Grupos'!H23</f>
        <v>32</v>
      </c>
      <c r="I7" s="28">
        <f t="shared" si="0"/>
        <v>14.919076344849882</v>
      </c>
      <c r="J7" s="28">
        <f t="shared" si="1"/>
        <v>14919.076344849882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A8" s="27" t="str">
        <f t="shared" si="2"/>
        <v>SP-21-0323</v>
      </c>
      <c r="B8" s="29">
        <f t="shared" si="3"/>
        <v>8.5796196119196111</v>
      </c>
      <c r="C8" s="29">
        <f t="shared" si="4"/>
        <v>40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Copepoda (Cyclopoida)</v>
      </c>
      <c r="H8" s="26">
        <f>'Densidad de Grupos'!H24</f>
        <v>48</v>
      </c>
      <c r="I8" s="28">
        <f t="shared" si="0"/>
        <v>22.378614517274823</v>
      </c>
      <c r="J8" s="28">
        <f t="shared" si="1"/>
        <v>22378.614517274822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A9" s="27" t="str">
        <f t="shared" si="2"/>
        <v>SP-21-0323</v>
      </c>
      <c r="B9" s="29">
        <f t="shared" si="3"/>
        <v>8.5796196119196111</v>
      </c>
      <c r="C9" s="29">
        <f t="shared" si="4"/>
        <v>40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Mollusca (Creseis)</v>
      </c>
      <c r="H9" s="26">
        <f>'Densidad de Grupos'!H25</f>
        <v>5</v>
      </c>
      <c r="I9" s="28">
        <f t="shared" si="0"/>
        <v>2.331105678882794</v>
      </c>
      <c r="J9" s="28">
        <f t="shared" si="1"/>
        <v>2331.1056788827941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A10" s="27" t="str">
        <f t="shared" si="2"/>
        <v>SP-21-0323</v>
      </c>
      <c r="B10" s="29">
        <f t="shared" si="3"/>
        <v>8.5796196119196111</v>
      </c>
      <c r="C10" s="29">
        <f t="shared" si="4"/>
        <v>40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Siphonophora (Calycophorae)</v>
      </c>
      <c r="H10" s="26">
        <f>'Densidad de Grupos'!H26</f>
        <v>3</v>
      </c>
      <c r="I10" s="28">
        <f t="shared" si="0"/>
        <v>1.3986634073296764</v>
      </c>
      <c r="J10" s="28">
        <f t="shared" si="1"/>
        <v>1398.6634073296764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A11" s="27" t="str">
        <f t="shared" si="2"/>
        <v>SP-21-0323</v>
      </c>
      <c r="B11" s="29">
        <f t="shared" si="3"/>
        <v>8.5796196119196111</v>
      </c>
      <c r="C11" s="29">
        <f t="shared" si="4"/>
        <v>40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Euphausiacea</v>
      </c>
      <c r="H11" s="26">
        <f>'Densidad de Grupos'!H27</f>
        <v>3</v>
      </c>
      <c r="I11" s="28">
        <f t="shared" si="0"/>
        <v>1.3986634073296764</v>
      </c>
      <c r="J11" s="28">
        <f t="shared" si="1"/>
        <v>1398.6634073296764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A12" s="27" t="str">
        <f t="shared" si="2"/>
        <v>SP-21-0323</v>
      </c>
      <c r="B12" s="29">
        <f t="shared" si="3"/>
        <v>8.5796196119196111</v>
      </c>
      <c r="C12" s="29">
        <f t="shared" si="4"/>
        <v>40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Cladocera</v>
      </c>
      <c r="H12" s="26">
        <f>'Densidad de Grupos'!H28</f>
        <v>3</v>
      </c>
      <c r="I12" s="28">
        <f t="shared" si="0"/>
        <v>1.3986634073296764</v>
      </c>
      <c r="J12" s="28">
        <f t="shared" si="1"/>
        <v>1398.6634073296764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A13" s="27" t="str">
        <f t="shared" si="2"/>
        <v>SP-21-0323</v>
      </c>
      <c r="B13" s="29">
        <f t="shared" si="3"/>
        <v>8.5796196119196111</v>
      </c>
      <c r="C13" s="29">
        <f t="shared" si="4"/>
        <v>40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>
        <f>'Densidad de Grupos'!A29</f>
        <v>0</v>
      </c>
      <c r="H13" s="26">
        <f>'Densidad de Grupos'!H29</f>
        <v>0</v>
      </c>
      <c r="I13" s="28">
        <f t="shared" si="0"/>
        <v>0</v>
      </c>
      <c r="J13" s="28">
        <f t="shared" si="1"/>
        <v>0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A14" s="27" t="str">
        <f t="shared" si="2"/>
        <v>SP-21-0323</v>
      </c>
      <c r="B14" s="29">
        <f t="shared" si="3"/>
        <v>8.5796196119196111</v>
      </c>
      <c r="C14" s="29">
        <f t="shared" si="4"/>
        <v>40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A15" s="27" t="str">
        <f t="shared" si="2"/>
        <v>SP-21-0323</v>
      </c>
      <c r="B15" s="29">
        <f t="shared" si="3"/>
        <v>8.5796196119196111</v>
      </c>
      <c r="C15" s="29">
        <f t="shared" si="4"/>
        <v>40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A16" s="27" t="str">
        <f t="shared" si="2"/>
        <v>SP-21-0323</v>
      </c>
      <c r="B16" s="29">
        <f t="shared" si="3"/>
        <v>8.5796196119196111</v>
      </c>
      <c r="C16" s="29">
        <f t="shared" si="4"/>
        <v>40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1:13" x14ac:dyDescent="0.25">
      <c r="A17" s="27" t="str">
        <f t="shared" si="2"/>
        <v>SP-21-0323</v>
      </c>
      <c r="B17" s="29">
        <f t="shared" si="3"/>
        <v>8.5796196119196111</v>
      </c>
      <c r="C17" s="29">
        <f t="shared" si="4"/>
        <v>40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1:13" x14ac:dyDescent="0.25">
      <c r="A18" s="27" t="str">
        <f t="shared" si="2"/>
        <v>SP-21-0323</v>
      </c>
      <c r="B18" s="29">
        <f t="shared" si="3"/>
        <v>8.5796196119196111</v>
      </c>
      <c r="C18" s="29">
        <f t="shared" si="4"/>
        <v>40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1:13" x14ac:dyDescent="0.25">
      <c r="A19" s="27" t="str">
        <f t="shared" si="2"/>
        <v>SP-21-0323</v>
      </c>
      <c r="B19" s="29">
        <f t="shared" si="3"/>
        <v>8.5796196119196111</v>
      </c>
      <c r="C19" s="29">
        <f t="shared" si="4"/>
        <v>40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1:13" x14ac:dyDescent="0.25">
      <c r="A20" s="27" t="str">
        <f t="shared" si="2"/>
        <v>SP-21-0323</v>
      </c>
      <c r="B20" s="29">
        <f t="shared" si="3"/>
        <v>8.5796196119196111</v>
      </c>
      <c r="C20" s="29">
        <f t="shared" si="4"/>
        <v>40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1:13" s="34" customFormat="1" x14ac:dyDescent="0.25">
      <c r="A21" s="32" t="str">
        <f t="shared" si="2"/>
        <v>SP-21-0323</v>
      </c>
      <c r="B21" s="33">
        <f t="shared" si="3"/>
        <v>8.5796196119196111</v>
      </c>
      <c r="C21" s="33">
        <f t="shared" si="4"/>
        <v>40</v>
      </c>
      <c r="D21" s="33">
        <f t="shared" si="5"/>
        <v>5</v>
      </c>
      <c r="E21" s="33">
        <f t="shared" si="6"/>
        <v>4</v>
      </c>
      <c r="F21" s="33">
        <f t="shared" si="7"/>
        <v>20</v>
      </c>
      <c r="G21" s="26">
        <f>'Densidad de Grupos'!A37</f>
        <v>0</v>
      </c>
      <c r="H21" s="26">
        <f>'Densidad de Grupos'!H37</f>
        <v>0</v>
      </c>
      <c r="I21" s="28">
        <f t="shared" si="0"/>
        <v>0</v>
      </c>
      <c r="J21" s="28">
        <f t="shared" si="1"/>
        <v>0</v>
      </c>
      <c r="L21" s="26" t="e">
        <f ca="1">_xlfn.XLOOKUP(G21,Lista!A:A,Lista!B:B)</f>
        <v>#NAME?</v>
      </c>
      <c r="M21" s="26" t="e">
        <f ca="1">_xlfn.XLOOKUP(L21,Lista!B:B,Lista!C:C)</f>
        <v>#NAME?</v>
      </c>
    </row>
    <row r="22" spans="1:13" x14ac:dyDescent="0.25">
      <c r="A22" s="27" t="str">
        <f t="shared" si="2"/>
        <v>SP-21-0323</v>
      </c>
      <c r="B22" s="29">
        <f t="shared" si="3"/>
        <v>8.5796196119196111</v>
      </c>
      <c r="C22" s="29">
        <f t="shared" si="4"/>
        <v>40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Grupos'!A38</f>
        <v>0</v>
      </c>
      <c r="H22" s="26">
        <f>'Densidad de Grupos'!H38</f>
        <v>0</v>
      </c>
      <c r="I22" s="28">
        <f t="shared" si="0"/>
        <v>0</v>
      </c>
      <c r="J22" s="28">
        <f t="shared" si="1"/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1:13" x14ac:dyDescent="0.25">
      <c r="A23" s="27" t="str">
        <f t="shared" si="2"/>
        <v>SP-21-0323</v>
      </c>
      <c r="B23" s="29">
        <f t="shared" si="3"/>
        <v>8.5796196119196111</v>
      </c>
      <c r="C23" s="29">
        <f t="shared" si="4"/>
        <v>40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Grupos'!A39</f>
        <v>0</v>
      </c>
      <c r="H23" s="26">
        <f>'Densidad de Grupos'!H39</f>
        <v>0</v>
      </c>
      <c r="I23" s="28">
        <f t="shared" si="0"/>
        <v>0</v>
      </c>
      <c r="J23" s="28">
        <f t="shared" si="1"/>
        <v>0</v>
      </c>
      <c r="L23" s="26" t="e">
        <f ca="1">_xlfn.XLOOKUP(G23,Lista!A:A,Lista!B:B)</f>
        <v>#NAME?</v>
      </c>
      <c r="M23" s="26" t="e">
        <f ca="1">_xlfn.XLOOKUP(L23,Lista!B:B,Lista!C:C)</f>
        <v>#NAME?</v>
      </c>
    </row>
    <row r="24" spans="1:13" x14ac:dyDescent="0.25">
      <c r="A24" s="27" t="str">
        <f t="shared" si="2"/>
        <v>SP-21-0323</v>
      </c>
      <c r="B24" s="29">
        <f t="shared" si="3"/>
        <v>8.5796196119196111</v>
      </c>
      <c r="C24" s="29">
        <f t="shared" si="4"/>
        <v>40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Grupos'!A40</f>
        <v>0</v>
      </c>
      <c r="H24" s="26">
        <f>'Densidad de Grupos'!H40</f>
        <v>0</v>
      </c>
      <c r="I24" s="28">
        <f t="shared" si="0"/>
        <v>0</v>
      </c>
      <c r="J24" s="28">
        <f t="shared" si="1"/>
        <v>0</v>
      </c>
      <c r="L24" s="26" t="e">
        <f ca="1">_xlfn.XLOOKUP(G24,Lista!A:A,Lista!B:B)</f>
        <v>#NAME?</v>
      </c>
      <c r="M24" s="26" t="e">
        <f ca="1">_xlfn.XLOOKUP(L24,Lista!B:B,Lista!C:C)</f>
        <v>#NAME?</v>
      </c>
    </row>
    <row r="25" spans="1:13" x14ac:dyDescent="0.25">
      <c r="A25" s="27" t="str">
        <f t="shared" si="2"/>
        <v>SP-21-0323</v>
      </c>
      <c r="B25" s="29">
        <f t="shared" si="3"/>
        <v>8.5796196119196111</v>
      </c>
      <c r="C25" s="29">
        <f t="shared" si="4"/>
        <v>40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Grupos'!A41</f>
        <v>0</v>
      </c>
      <c r="H25" s="26">
        <f>'Densidad de Grupos'!H41</f>
        <v>0</v>
      </c>
      <c r="I25" s="28">
        <f t="shared" si="0"/>
        <v>0</v>
      </c>
      <c r="J25" s="28">
        <f t="shared" si="1"/>
        <v>0</v>
      </c>
      <c r="L25" s="26" t="e">
        <f ca="1">_xlfn.XLOOKUP(G25,Lista!A:A,Lista!B:B)</f>
        <v>#NAME?</v>
      </c>
      <c r="M25" s="26" t="e">
        <f ca="1">_xlfn.XLOOKUP(L25,Lista!B:B,Lista!C:C)</f>
        <v>#NAME?</v>
      </c>
    </row>
    <row r="26" spans="1:13" x14ac:dyDescent="0.25">
      <c r="A26" s="27" t="str">
        <f t="shared" si="2"/>
        <v>SP-21-0323</v>
      </c>
      <c r="B26" s="29">
        <f t="shared" si="3"/>
        <v>8.5796196119196111</v>
      </c>
      <c r="C26" s="29">
        <f t="shared" si="4"/>
        <v>40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Grupos'!A42</f>
        <v>0</v>
      </c>
      <c r="H26" s="26">
        <f>'Densidad de Grupos'!H42</f>
        <v>0</v>
      </c>
      <c r="I26" s="28">
        <f t="shared" si="0"/>
        <v>0</v>
      </c>
      <c r="J26" s="28">
        <f t="shared" si="1"/>
        <v>0</v>
      </c>
      <c r="L26" s="26" t="e">
        <f ca="1">_xlfn.XLOOKUP(G26,Lista!A:A,Lista!B:B)</f>
        <v>#NAME?</v>
      </c>
      <c r="M26" s="26" t="e">
        <f ca="1">_xlfn.XLOOKUP(L26,Lista!B:B,Lista!C:C)</f>
        <v>#NAME?</v>
      </c>
    </row>
    <row r="27" spans="1:13" x14ac:dyDescent="0.25">
      <c r="A27" s="27" t="str">
        <f t="shared" si="2"/>
        <v>SP-21-0323</v>
      </c>
      <c r="B27" s="29">
        <f t="shared" si="3"/>
        <v>8.5796196119196111</v>
      </c>
      <c r="C27" s="29">
        <f t="shared" si="4"/>
        <v>40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Grupos'!A43</f>
        <v>0</v>
      </c>
      <c r="H27" s="26">
        <f>'Densidad de Grupos'!H43</f>
        <v>0</v>
      </c>
      <c r="I27" s="28">
        <f t="shared" si="0"/>
        <v>0</v>
      </c>
      <c r="J27" s="28">
        <f t="shared" si="1"/>
        <v>0</v>
      </c>
      <c r="L27" s="26" t="e">
        <f ca="1">_xlfn.XLOOKUP(G27,Lista!A:A,Lista!B:B)</f>
        <v>#NAME?</v>
      </c>
      <c r="M27" s="26" t="e">
        <f ca="1">_xlfn.XLOOKUP(L27,Lista!B:B,Lista!C:C)</f>
        <v>#NAME?</v>
      </c>
    </row>
    <row r="28" spans="1:13" x14ac:dyDescent="0.25">
      <c r="A28" s="27" t="str">
        <f t="shared" si="2"/>
        <v>SP-21-0323</v>
      </c>
      <c r="B28" s="29">
        <f t="shared" si="3"/>
        <v>8.5796196119196111</v>
      </c>
      <c r="C28" s="29">
        <f t="shared" si="4"/>
        <v>40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Grupos'!A44</f>
        <v>0</v>
      </c>
      <c r="H28" s="26">
        <f>'Densidad de Grupos'!H44</f>
        <v>0</v>
      </c>
      <c r="I28" s="28">
        <f t="shared" si="0"/>
        <v>0</v>
      </c>
      <c r="J28" s="28">
        <f t="shared" si="1"/>
        <v>0</v>
      </c>
      <c r="L28" s="26" t="e">
        <f ca="1">_xlfn.XLOOKUP(G28,Lista!A:A,Lista!B:B)</f>
        <v>#NAME?</v>
      </c>
      <c r="M28" s="26" t="e">
        <f ca="1">_xlfn.XLOOKUP(L28,Lista!B:B,Lista!C:C)</f>
        <v>#NAME?</v>
      </c>
    </row>
    <row r="29" spans="1:13" x14ac:dyDescent="0.25">
      <c r="A29" s="27" t="str">
        <f t="shared" si="2"/>
        <v>SP-21-0323</v>
      </c>
      <c r="B29" s="29">
        <f t="shared" si="3"/>
        <v>8.5796196119196111</v>
      </c>
      <c r="C29" s="29">
        <f t="shared" si="4"/>
        <v>40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Grupos'!A45</f>
        <v>0</v>
      </c>
      <c r="H29" s="26">
        <f>'Densidad de Grupos'!H45</f>
        <v>0</v>
      </c>
      <c r="I29" s="28">
        <f t="shared" si="0"/>
        <v>0</v>
      </c>
      <c r="J29" s="28">
        <f t="shared" si="1"/>
        <v>0</v>
      </c>
      <c r="L29" s="26" t="e">
        <f ca="1">_xlfn.XLOOKUP(G29,Lista!A:A,Lista!B:B)</f>
        <v>#NAME?</v>
      </c>
      <c r="M29" s="26" t="e">
        <f ca="1">_xlfn.XLOOKUP(L29,Lista!B:B,Lista!C:C)</f>
        <v>#NAME?</v>
      </c>
    </row>
    <row r="30" spans="1:13" x14ac:dyDescent="0.25">
      <c r="A30" s="27" t="str">
        <f t="shared" si="2"/>
        <v>SP-21-0323</v>
      </c>
      <c r="B30" s="29">
        <f t="shared" si="3"/>
        <v>8.5796196119196111</v>
      </c>
      <c r="C30" s="29">
        <f t="shared" si="4"/>
        <v>40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Grupos'!A46</f>
        <v>0</v>
      </c>
      <c r="H30" s="26">
        <f>'Densidad de Grupos'!H46</f>
        <v>0</v>
      </c>
      <c r="I30" s="28">
        <f t="shared" si="0"/>
        <v>0</v>
      </c>
      <c r="J30" s="28">
        <f t="shared" si="1"/>
        <v>0</v>
      </c>
      <c r="L30" s="26" t="e">
        <f ca="1">_xlfn.XLOOKUP(G30,Lista!A:A,Lista!B:B)</f>
        <v>#NAME?</v>
      </c>
      <c r="M30" s="26" t="e">
        <f ca="1">_xlfn.XLOOKUP(L30,Lista!B:B,Lista!C:C)</f>
        <v>#NAME?</v>
      </c>
    </row>
    <row r="31" spans="1:13" x14ac:dyDescent="0.25">
      <c r="A31" s="27" t="str">
        <f t="shared" si="2"/>
        <v>SP-21-0323</v>
      </c>
      <c r="B31" s="29">
        <f t="shared" si="3"/>
        <v>8.5796196119196111</v>
      </c>
      <c r="C31" s="29">
        <f t="shared" si="4"/>
        <v>40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Grupos'!A47</f>
        <v>0</v>
      </c>
      <c r="H31" s="26">
        <f>'Densidad de Grupos'!H47</f>
        <v>0</v>
      </c>
      <c r="I31" s="28">
        <f t="shared" si="0"/>
        <v>0</v>
      </c>
      <c r="J31" s="28">
        <f t="shared" si="1"/>
        <v>0</v>
      </c>
      <c r="L31" s="26" t="e">
        <f ca="1">_xlfn.XLOOKUP(G31,Lista!A:A,Lista!B:B)</f>
        <v>#NAME?</v>
      </c>
      <c r="M31" s="26" t="e">
        <f ca="1">_xlfn.XLOOKUP(L31,Lista!B:B,Lista!C:C)</f>
        <v>#NAME?</v>
      </c>
    </row>
    <row r="32" spans="1:13" x14ac:dyDescent="0.25">
      <c r="A32" s="27" t="str">
        <f t="shared" si="2"/>
        <v>SP-21-0323</v>
      </c>
      <c r="B32" s="29">
        <f t="shared" si="3"/>
        <v>8.5796196119196111</v>
      </c>
      <c r="C32" s="29">
        <f t="shared" si="4"/>
        <v>40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Grupos'!A48</f>
        <v>0</v>
      </c>
      <c r="H32" s="26">
        <f>'Densidad de Grupos'!H48</f>
        <v>0</v>
      </c>
      <c r="I32" s="28">
        <f t="shared" si="0"/>
        <v>0</v>
      </c>
      <c r="J32" s="28">
        <f t="shared" si="1"/>
        <v>0</v>
      </c>
      <c r="L32" s="26" t="e">
        <f ca="1">_xlfn.XLOOKUP(G32,Lista!A:A,Lista!B:B)</f>
        <v>#NAME?</v>
      </c>
      <c r="M32" s="26" t="e">
        <f ca="1">_xlfn.XLOOKUP(L32,Lista!B:B,Lista!C:C)</f>
        <v>#NAME?</v>
      </c>
    </row>
    <row r="33" spans="1:13" x14ac:dyDescent="0.25">
      <c r="A33" s="27" t="str">
        <f t="shared" si="2"/>
        <v>SP-21-0323</v>
      </c>
      <c r="B33" s="29">
        <f t="shared" si="3"/>
        <v>8.5796196119196111</v>
      </c>
      <c r="C33" s="29">
        <f t="shared" si="4"/>
        <v>40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Grupos'!A49</f>
        <v>0</v>
      </c>
      <c r="H33" s="26">
        <f>'Densidad de Grupos'!H49</f>
        <v>0</v>
      </c>
      <c r="I33" s="28">
        <f t="shared" si="0"/>
        <v>0</v>
      </c>
      <c r="J33" s="28">
        <f t="shared" si="1"/>
        <v>0</v>
      </c>
      <c r="L33" s="26" t="e">
        <f ca="1">_xlfn.XLOOKUP(G33,Lista!A:A,Lista!B:B)</f>
        <v>#NAME?</v>
      </c>
      <c r="M33" s="26" t="e">
        <f ca="1">_xlfn.XLOOKUP(L33,Lista!B:B,Lista!C:C)</f>
        <v>#NAME?</v>
      </c>
    </row>
    <row r="34" spans="1:13" x14ac:dyDescent="0.25">
      <c r="A34" s="27" t="str">
        <f t="shared" si="2"/>
        <v>SP-21-0323</v>
      </c>
      <c r="B34" s="29">
        <f t="shared" si="3"/>
        <v>8.5796196119196111</v>
      </c>
      <c r="C34" s="29">
        <f t="shared" si="4"/>
        <v>40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Grupos'!A50</f>
        <v>0</v>
      </c>
      <c r="H34" s="26">
        <f>'Densidad de Grupos'!H50</f>
        <v>0</v>
      </c>
      <c r="I34" s="28">
        <f t="shared" si="0"/>
        <v>0</v>
      </c>
      <c r="J34" s="28">
        <f t="shared" si="1"/>
        <v>0</v>
      </c>
      <c r="L34" s="26" t="e">
        <f ca="1">_xlfn.XLOOKUP(G34,Lista!A:A,Lista!B:B)</f>
        <v>#NAME?</v>
      </c>
      <c r="M34" s="26" t="e">
        <f ca="1">_xlfn.XLOOKUP(L34,Lista!B:B,Lista!C:C)</f>
        <v>#NAME?</v>
      </c>
    </row>
    <row r="35" spans="1:13" x14ac:dyDescent="0.25">
      <c r="A35" s="27" t="str">
        <f t="shared" si="2"/>
        <v>SP-21-0323</v>
      </c>
      <c r="B35" s="29">
        <f t="shared" si="3"/>
        <v>8.5796196119196111</v>
      </c>
      <c r="C35" s="29">
        <f t="shared" si="4"/>
        <v>40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Grupos'!A51</f>
        <v>0</v>
      </c>
      <c r="H35" s="26">
        <f>'Densidad de Grupos'!H51</f>
        <v>0</v>
      </c>
      <c r="I35" s="28">
        <f t="shared" si="0"/>
        <v>0</v>
      </c>
      <c r="J35" s="28">
        <f t="shared" si="1"/>
        <v>0</v>
      </c>
      <c r="L35" s="26" t="e">
        <f ca="1">_xlfn.XLOOKUP(G35,Lista!A:A,Lista!B:B)</f>
        <v>#NAME?</v>
      </c>
      <c r="M35" s="26" t="e">
        <f ca="1">_xlfn.XLOOKUP(L35,Lista!B:B,Lista!C:C)</f>
        <v>#NAME?</v>
      </c>
    </row>
    <row r="36" spans="1:13" x14ac:dyDescent="0.25">
      <c r="A36" s="27" t="str">
        <f t="shared" si="2"/>
        <v>SP-21-0323</v>
      </c>
      <c r="B36" s="29">
        <f t="shared" si="3"/>
        <v>8.5796196119196111</v>
      </c>
      <c r="C36" s="29">
        <f t="shared" si="4"/>
        <v>40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Grupos'!A52</f>
        <v>0</v>
      </c>
      <c r="H36" s="26">
        <f>'Densidad de Grupos'!H52</f>
        <v>0</v>
      </c>
      <c r="I36" s="28">
        <f t="shared" si="0"/>
        <v>0</v>
      </c>
      <c r="J36" s="28">
        <f t="shared" si="1"/>
        <v>0</v>
      </c>
      <c r="L36" s="26" t="e">
        <f ca="1">_xlfn.XLOOKUP(G36,Lista!A:A,Lista!B:B)</f>
        <v>#NAME?</v>
      </c>
      <c r="M36" s="26" t="e">
        <f ca="1">_xlfn.XLOOKUP(L36,Lista!B:B,Lista!C:C)</f>
        <v>#NAME?</v>
      </c>
    </row>
    <row r="37" spans="1:13" x14ac:dyDescent="0.25">
      <c r="A37" s="27" t="str">
        <f t="shared" si="2"/>
        <v>SP-21-0323</v>
      </c>
      <c r="B37" s="29">
        <f t="shared" si="3"/>
        <v>8.5796196119196111</v>
      </c>
      <c r="C37" s="29">
        <f t="shared" si="4"/>
        <v>40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Grupos'!A53</f>
        <v>0</v>
      </c>
      <c r="H37" s="26">
        <f>'Densidad de Grupos'!H53</f>
        <v>0</v>
      </c>
      <c r="I37" s="28">
        <f t="shared" si="0"/>
        <v>0</v>
      </c>
      <c r="J37" s="28">
        <f t="shared" si="1"/>
        <v>0</v>
      </c>
      <c r="L37" s="26" t="e">
        <f ca="1">_xlfn.XLOOKUP(G37,Lista!A:A,Lista!B:B)</f>
        <v>#NAME?</v>
      </c>
      <c r="M37" s="26" t="e">
        <f ca="1">_xlfn.XLOOKUP(L37,Lista!B:B,Lista!C:C)</f>
        <v>#NAME?</v>
      </c>
    </row>
    <row r="38" spans="1:13" x14ac:dyDescent="0.25">
      <c r="A38" s="27" t="str">
        <f t="shared" si="2"/>
        <v>SP-21-0323</v>
      </c>
      <c r="B38" s="29">
        <f t="shared" si="3"/>
        <v>8.5796196119196111</v>
      </c>
      <c r="C38" s="29">
        <f t="shared" si="4"/>
        <v>40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Grupos'!A54</f>
        <v>0</v>
      </c>
      <c r="H38" s="26">
        <f>'Densidad de Grupos'!H54</f>
        <v>0</v>
      </c>
      <c r="I38" s="28">
        <f t="shared" si="0"/>
        <v>0</v>
      </c>
      <c r="J38" s="28">
        <f t="shared" si="1"/>
        <v>0</v>
      </c>
      <c r="L38" s="26" t="e">
        <f ca="1">_xlfn.XLOOKUP(G38,Lista!A:A,Lista!B:B)</f>
        <v>#NAME?</v>
      </c>
      <c r="M38" s="26" t="e">
        <f ca="1">_xlfn.XLOOKUP(L38,Lista!B:B,Lista!C:C)</f>
        <v>#NAME?</v>
      </c>
    </row>
    <row r="39" spans="1:13" x14ac:dyDescent="0.25">
      <c r="A39" s="27" t="str">
        <f t="shared" si="2"/>
        <v>SP-21-0323</v>
      </c>
      <c r="B39" s="29">
        <f t="shared" si="3"/>
        <v>8.5796196119196111</v>
      </c>
      <c r="C39" s="29">
        <f t="shared" si="4"/>
        <v>40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Grupos'!A55</f>
        <v>0</v>
      </c>
      <c r="H39" s="26">
        <f>'Densidad de Grupos'!H55</f>
        <v>0</v>
      </c>
      <c r="I39" s="28">
        <f t="shared" si="0"/>
        <v>0</v>
      </c>
      <c r="J39" s="28">
        <f t="shared" si="1"/>
        <v>0</v>
      </c>
      <c r="L39" s="26" t="e">
        <f ca="1">_xlfn.XLOOKUP(G39,Lista!A:A,Lista!B:B)</f>
        <v>#NAME?</v>
      </c>
      <c r="M39" s="26" t="e">
        <f ca="1">_xlfn.XLOOKUP(L39,Lista!B:B,Lista!C:C)</f>
        <v>#NAME?</v>
      </c>
    </row>
    <row r="40" spans="1:13" x14ac:dyDescent="0.25">
      <c r="A40" s="27" t="str">
        <f t="shared" si="2"/>
        <v>SP-21-0323</v>
      </c>
      <c r="B40" s="29">
        <f t="shared" si="3"/>
        <v>8.5796196119196111</v>
      </c>
      <c r="C40" s="29">
        <f t="shared" si="4"/>
        <v>40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Grupos'!A56</f>
        <v>0</v>
      </c>
      <c r="H40" s="26">
        <f>'Densidad de Grupos'!H56</f>
        <v>0</v>
      </c>
      <c r="I40" s="28">
        <f t="shared" si="0"/>
        <v>0</v>
      </c>
      <c r="J40" s="28">
        <f t="shared" si="1"/>
        <v>0</v>
      </c>
      <c r="L40" s="26" t="e">
        <f ca="1">_xlfn.XLOOKUP(G40,Lista!A:A,Lista!B:B)</f>
        <v>#NAME?</v>
      </c>
      <c r="M40" s="26" t="e">
        <f ca="1">_xlfn.XLOOKUP(L40,Lista!B:B,Lista!C:C)</f>
        <v>#NAME?</v>
      </c>
    </row>
    <row r="41" spans="1:13" s="34" customFormat="1" x14ac:dyDescent="0.25">
      <c r="A41" s="32" t="str">
        <f t="shared" si="2"/>
        <v>SP-21-0323</v>
      </c>
      <c r="B41" s="33">
        <f t="shared" si="3"/>
        <v>8.5796196119196111</v>
      </c>
      <c r="C41" s="33">
        <f t="shared" si="4"/>
        <v>40</v>
      </c>
      <c r="D41" s="33">
        <f t="shared" si="5"/>
        <v>5</v>
      </c>
      <c r="E41" s="33">
        <f t="shared" si="6"/>
        <v>4</v>
      </c>
      <c r="F41" s="33">
        <f t="shared" si="7"/>
        <v>20</v>
      </c>
      <c r="G41" s="26">
        <f>'Densidad de Grupos'!A57</f>
        <v>0</v>
      </c>
      <c r="H41" s="26">
        <f>'Densidad de Grupos'!H57</f>
        <v>0</v>
      </c>
      <c r="I41" s="28">
        <f t="shared" si="0"/>
        <v>0</v>
      </c>
      <c r="J41" s="28">
        <f t="shared" si="1"/>
        <v>0</v>
      </c>
      <c r="L41" s="26" t="e">
        <f ca="1">_xlfn.XLOOKUP(G41,Lista!A:A,Lista!B:B)</f>
        <v>#NAME?</v>
      </c>
      <c r="M41" s="26" t="e">
        <f ca="1">_xlfn.XLOOKUP(L41,Lista!B:B,Lista!C:C)</f>
        <v>#NAME?</v>
      </c>
    </row>
    <row r="42" spans="1:13" x14ac:dyDescent="0.25">
      <c r="A42" s="27" t="str">
        <f t="shared" si="2"/>
        <v>SP-21-0323</v>
      </c>
      <c r="B42" s="29">
        <f t="shared" si="3"/>
        <v>8.5796196119196111</v>
      </c>
      <c r="C42" s="29">
        <f t="shared" si="4"/>
        <v>40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Grupos'!A58</f>
        <v>0</v>
      </c>
      <c r="H42" s="26">
        <f>'Densidad de Grupos'!H58</f>
        <v>0</v>
      </c>
      <c r="I42" s="28">
        <f t="shared" si="0"/>
        <v>0</v>
      </c>
      <c r="J42" s="28">
        <f t="shared" si="1"/>
        <v>0</v>
      </c>
      <c r="L42" s="26" t="e">
        <f ca="1">_xlfn.XLOOKUP(G42,Lista!A:A,Lista!B:B)</f>
        <v>#NAME?</v>
      </c>
      <c r="M42" s="26" t="e">
        <f ca="1">_xlfn.XLOOKUP(L42,Lista!B:B,Lista!C:C)</f>
        <v>#NAME?</v>
      </c>
    </row>
    <row r="43" spans="1:13" x14ac:dyDescent="0.25">
      <c r="A43" s="27" t="str">
        <f t="shared" si="2"/>
        <v>SP-21-0323</v>
      </c>
      <c r="B43" s="29">
        <f t="shared" si="3"/>
        <v>8.5796196119196111</v>
      </c>
      <c r="C43" s="29">
        <f t="shared" si="4"/>
        <v>40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Grupos'!A59</f>
        <v>0</v>
      </c>
      <c r="H43" s="26">
        <f>'Densidad de Grupos'!H59</f>
        <v>0</v>
      </c>
      <c r="I43" s="28">
        <f t="shared" si="0"/>
        <v>0</v>
      </c>
      <c r="J43" s="28">
        <f t="shared" si="1"/>
        <v>0</v>
      </c>
      <c r="L43" s="26" t="e">
        <f ca="1">_xlfn.XLOOKUP(G43,Lista!A:A,Lista!B:B)</f>
        <v>#NAME?</v>
      </c>
      <c r="M43" s="26" t="e">
        <f ca="1">_xlfn.XLOOKUP(L43,Lista!B:B,Lista!C:C)</f>
        <v>#NAME?</v>
      </c>
    </row>
    <row r="44" spans="1:13" x14ac:dyDescent="0.25">
      <c r="A44" s="27" t="str">
        <f t="shared" si="2"/>
        <v>SP-21-0323</v>
      </c>
      <c r="B44" s="29">
        <f t="shared" si="3"/>
        <v>8.5796196119196111</v>
      </c>
      <c r="C44" s="29">
        <f t="shared" si="4"/>
        <v>40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Grupos'!A60</f>
        <v>0</v>
      </c>
      <c r="H44" s="26">
        <f>'Densidad de Grupos'!H60</f>
        <v>0</v>
      </c>
      <c r="I44" s="28">
        <f t="shared" si="0"/>
        <v>0</v>
      </c>
      <c r="J44" s="28">
        <f t="shared" si="1"/>
        <v>0</v>
      </c>
      <c r="L44" s="26" t="e">
        <f ca="1">_xlfn.XLOOKUP(G44,Lista!A:A,Lista!B:B)</f>
        <v>#NAME?</v>
      </c>
      <c r="M44" s="26" t="e">
        <f ca="1">_xlfn.XLOOKUP(L44,Lista!B:B,Lista!C:C)</f>
        <v>#NAME?</v>
      </c>
    </row>
    <row r="45" spans="1:13" x14ac:dyDescent="0.25">
      <c r="A45" s="27" t="str">
        <f t="shared" si="2"/>
        <v>SP-21-0323</v>
      </c>
      <c r="B45" s="29">
        <f t="shared" si="3"/>
        <v>8.5796196119196111</v>
      </c>
      <c r="C45" s="29">
        <f t="shared" si="4"/>
        <v>40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Grupos'!A61</f>
        <v>0</v>
      </c>
      <c r="H45" s="26">
        <f>'Densidad de Grupos'!H61</f>
        <v>0</v>
      </c>
      <c r="I45" s="28">
        <f t="shared" si="0"/>
        <v>0</v>
      </c>
      <c r="J45" s="28">
        <f t="shared" si="1"/>
        <v>0</v>
      </c>
      <c r="L45" s="26" t="e">
        <f ca="1">_xlfn.XLOOKUP(G45,Lista!A:A,Lista!B:B)</f>
        <v>#NAME?</v>
      </c>
      <c r="M45" s="26" t="e">
        <f ca="1">_xlfn.XLOOKUP(L45,Lista!B:B,Lista!C:C)</f>
        <v>#NAME?</v>
      </c>
    </row>
    <row r="46" spans="1:13" x14ac:dyDescent="0.25">
      <c r="A46" s="27" t="str">
        <f t="shared" si="2"/>
        <v>SP-21-0323</v>
      </c>
      <c r="B46" s="29">
        <f t="shared" si="3"/>
        <v>8.5796196119196111</v>
      </c>
      <c r="C46" s="29">
        <f t="shared" si="4"/>
        <v>40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Grupos'!A62</f>
        <v>0</v>
      </c>
      <c r="H46" s="26">
        <f>'Densidad de Grupos'!H62</f>
        <v>0</v>
      </c>
      <c r="I46" s="28">
        <f t="shared" si="0"/>
        <v>0</v>
      </c>
      <c r="J46" s="28">
        <f t="shared" si="1"/>
        <v>0</v>
      </c>
      <c r="L46" s="26" t="e">
        <f ca="1">_xlfn.XLOOKUP(G46,Lista!A:A,Lista!B:B)</f>
        <v>#NAME?</v>
      </c>
      <c r="M46" s="26" t="e">
        <f ca="1">_xlfn.XLOOKUP(L46,Lista!B:B,Lista!C:C)</f>
        <v>#NAME?</v>
      </c>
    </row>
    <row r="47" spans="1:13" x14ac:dyDescent="0.25">
      <c r="A47" s="27" t="str">
        <f t="shared" si="2"/>
        <v>SP-21-0323</v>
      </c>
      <c r="B47" s="29">
        <f t="shared" si="3"/>
        <v>8.5796196119196111</v>
      </c>
      <c r="C47" s="29">
        <f t="shared" si="4"/>
        <v>40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Grupos'!A63</f>
        <v>0</v>
      </c>
      <c r="H47" s="26">
        <f>'Densidad de Grupos'!H63</f>
        <v>0</v>
      </c>
      <c r="I47" s="28">
        <f t="shared" si="0"/>
        <v>0</v>
      </c>
      <c r="J47" s="28">
        <f t="shared" si="1"/>
        <v>0</v>
      </c>
      <c r="L47" s="26" t="e">
        <f ca="1">_xlfn.XLOOKUP(G47,Lista!A:A,Lista!B:B)</f>
        <v>#NAME?</v>
      </c>
      <c r="M47" s="26" t="e">
        <f ca="1">_xlfn.XLOOKUP(L47,Lista!B:B,Lista!C:C)</f>
        <v>#NAME?</v>
      </c>
    </row>
    <row r="48" spans="1:13" x14ac:dyDescent="0.25">
      <c r="A48" s="27" t="str">
        <f t="shared" si="2"/>
        <v>SP-21-0323</v>
      </c>
      <c r="B48" s="29">
        <f t="shared" si="3"/>
        <v>8.5796196119196111</v>
      </c>
      <c r="C48" s="29">
        <f t="shared" si="4"/>
        <v>40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Grupos'!A64</f>
        <v>0</v>
      </c>
      <c r="H48" s="26">
        <f>'Densidad de Grupos'!H64</f>
        <v>0</v>
      </c>
      <c r="I48" s="28">
        <f t="shared" si="0"/>
        <v>0</v>
      </c>
      <c r="J48" s="28">
        <f t="shared" si="1"/>
        <v>0</v>
      </c>
      <c r="L48" s="26" t="e">
        <f ca="1">_xlfn.XLOOKUP(G48,Lista!A:A,Lista!B:B)</f>
        <v>#NAME?</v>
      </c>
      <c r="M48" s="26" t="e">
        <f ca="1">_xlfn.XLOOKUP(L48,Lista!B:B,Lista!C:C)</f>
        <v>#NAME?</v>
      </c>
    </row>
    <row r="49" spans="1:13" x14ac:dyDescent="0.25">
      <c r="A49" s="27" t="str">
        <f t="shared" si="2"/>
        <v>SP-21-0323</v>
      </c>
      <c r="B49" s="29">
        <f t="shared" si="3"/>
        <v>8.5796196119196111</v>
      </c>
      <c r="C49" s="29">
        <f t="shared" si="4"/>
        <v>40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Grupos'!A65</f>
        <v>0</v>
      </c>
      <c r="H49" s="26">
        <f>'Densidad de Grupos'!H65</f>
        <v>0</v>
      </c>
      <c r="I49" s="28">
        <f t="shared" si="0"/>
        <v>0</v>
      </c>
      <c r="J49" s="28">
        <f t="shared" si="1"/>
        <v>0</v>
      </c>
      <c r="L49" s="26" t="e">
        <f ca="1">_xlfn.XLOOKUP(G49,Lista!A:A,Lista!B:B)</f>
        <v>#NAME?</v>
      </c>
      <c r="M49" s="26" t="e">
        <f ca="1">_xlfn.XLOOKUP(L49,Lista!B:B,Lista!C:C)</f>
        <v>#NAME?</v>
      </c>
    </row>
    <row r="50" spans="1:13" x14ac:dyDescent="0.25">
      <c r="A50" s="27" t="str">
        <f t="shared" si="2"/>
        <v>SP-21-0323</v>
      </c>
      <c r="B50" s="29">
        <f t="shared" si="3"/>
        <v>8.5796196119196111</v>
      </c>
      <c r="C50" s="29">
        <f t="shared" si="4"/>
        <v>40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Grupos'!A66</f>
        <v>0</v>
      </c>
      <c r="H50" s="26">
        <f>'Densidad de Grupos'!H66</f>
        <v>0</v>
      </c>
      <c r="I50" s="28">
        <f t="shared" si="0"/>
        <v>0</v>
      </c>
      <c r="J50" s="28">
        <f t="shared" si="1"/>
        <v>0</v>
      </c>
      <c r="L50" s="26" t="e">
        <f ca="1">_xlfn.XLOOKUP(G50,Lista!A:A,Lista!B:B)</f>
        <v>#NAME?</v>
      </c>
      <c r="M50" s="26" t="e">
        <f ca="1">_xlfn.XLOOKUP(L50,Lista!B:B,Lista!C:C)</f>
        <v>#NAME?</v>
      </c>
    </row>
    <row r="51" spans="1:13" x14ac:dyDescent="0.25">
      <c r="A51" s="27" t="str">
        <f t="shared" si="2"/>
        <v>SP-21-0323</v>
      </c>
      <c r="B51" s="29">
        <f t="shared" si="3"/>
        <v>8.5796196119196111</v>
      </c>
      <c r="C51" s="29">
        <f t="shared" si="4"/>
        <v>40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Grupos'!A67</f>
        <v>0</v>
      </c>
      <c r="H51" s="26">
        <f>'Densidad de Grupos'!H67</f>
        <v>0</v>
      </c>
      <c r="I51" s="28">
        <f t="shared" si="0"/>
        <v>0</v>
      </c>
      <c r="J51" s="28">
        <f t="shared" si="1"/>
        <v>0</v>
      </c>
      <c r="L51" s="26" t="e">
        <f ca="1">_xlfn.XLOOKUP(G51,Lista!A:A,Lista!B:B)</f>
        <v>#NAME?</v>
      </c>
      <c r="M51" s="26" t="e">
        <f ca="1">_xlfn.XLOOKUP(L51,Lista!B:B,Lista!C:C)</f>
        <v>#NAME?</v>
      </c>
    </row>
    <row r="52" spans="1:13" x14ac:dyDescent="0.25">
      <c r="A52" s="27" t="str">
        <f t="shared" si="2"/>
        <v>SP-21-0323</v>
      </c>
      <c r="B52" s="29">
        <f t="shared" si="3"/>
        <v>8.5796196119196111</v>
      </c>
      <c r="C52" s="29">
        <f t="shared" si="4"/>
        <v>40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Grupos'!A68</f>
        <v>0</v>
      </c>
      <c r="H52" s="26">
        <f>'Densidad de Grupos'!H68</f>
        <v>0</v>
      </c>
      <c r="I52" s="28">
        <f t="shared" si="0"/>
        <v>0</v>
      </c>
      <c r="J52" s="28">
        <f t="shared" si="1"/>
        <v>0</v>
      </c>
      <c r="L52" s="26" t="e">
        <f ca="1">_xlfn.XLOOKUP(G52,Lista!A:A,Lista!B:B)</f>
        <v>#NAME?</v>
      </c>
      <c r="M52" s="26" t="e">
        <f ca="1">_xlfn.XLOOKUP(L52,Lista!B:B,Lista!C:C)</f>
        <v>#NAME?</v>
      </c>
    </row>
    <row r="53" spans="1:13" x14ac:dyDescent="0.25">
      <c r="A53" s="27" t="str">
        <f t="shared" si="2"/>
        <v>SP-21-0323</v>
      </c>
      <c r="B53" s="29">
        <f t="shared" si="3"/>
        <v>8.5796196119196111</v>
      </c>
      <c r="C53" s="29">
        <f t="shared" si="4"/>
        <v>40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Grupos'!A69</f>
        <v>0</v>
      </c>
      <c r="H53" s="26">
        <f>'Densidad de Grupos'!H69</f>
        <v>0</v>
      </c>
      <c r="I53" s="28">
        <f t="shared" si="0"/>
        <v>0</v>
      </c>
      <c r="J53" s="28">
        <f t="shared" si="1"/>
        <v>0</v>
      </c>
      <c r="L53" s="26" t="e">
        <f ca="1">_xlfn.XLOOKUP(G53,Lista!A:A,Lista!B:B)</f>
        <v>#NAME?</v>
      </c>
      <c r="M53" s="26" t="e">
        <f ca="1">_xlfn.XLOOKUP(L53,Lista!B:B,Lista!C:C)</f>
        <v>#NAME?</v>
      </c>
    </row>
    <row r="54" spans="1:13" x14ac:dyDescent="0.25">
      <c r="A54" s="27" t="str">
        <f t="shared" si="2"/>
        <v>SP-21-0323</v>
      </c>
      <c r="B54" s="29">
        <f t="shared" si="3"/>
        <v>8.5796196119196111</v>
      </c>
      <c r="C54" s="29">
        <f t="shared" si="4"/>
        <v>40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Grupos'!A70</f>
        <v>0</v>
      </c>
      <c r="H54" s="26">
        <f>'Densidad de Grupos'!H70</f>
        <v>0</v>
      </c>
      <c r="I54" s="28">
        <f t="shared" si="0"/>
        <v>0</v>
      </c>
      <c r="J54" s="28">
        <f t="shared" si="1"/>
        <v>0</v>
      </c>
      <c r="L54" s="26" t="e">
        <f ca="1">_xlfn.XLOOKUP(G54,Lista!A:A,Lista!B:B)</f>
        <v>#NAME?</v>
      </c>
      <c r="M54" s="26" t="e">
        <f ca="1">_xlfn.XLOOKUP(L54,Lista!B:B,Lista!C:C)</f>
        <v>#NAME?</v>
      </c>
    </row>
    <row r="55" spans="1:13" x14ac:dyDescent="0.25">
      <c r="A55" s="27" t="str">
        <f t="shared" si="2"/>
        <v>SP-21-0323</v>
      </c>
      <c r="B55" s="29">
        <f t="shared" si="3"/>
        <v>8.5796196119196111</v>
      </c>
      <c r="C55" s="29">
        <f t="shared" si="4"/>
        <v>40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Grupos'!A71</f>
        <v>0</v>
      </c>
      <c r="H55" s="26">
        <f>'Densidad de Grupos'!H71</f>
        <v>0</v>
      </c>
      <c r="I55" s="28">
        <f t="shared" si="0"/>
        <v>0</v>
      </c>
      <c r="J55" s="28">
        <f t="shared" si="1"/>
        <v>0</v>
      </c>
      <c r="L55" s="26" t="e">
        <f ca="1">_xlfn.XLOOKUP(G55,Lista!A:A,Lista!B:B)</f>
        <v>#NAME?</v>
      </c>
      <c r="M55" s="26" t="e">
        <f ca="1">_xlfn.XLOOKUP(L55,Lista!B:B,Lista!C:C)</f>
        <v>#NAME?</v>
      </c>
    </row>
    <row r="56" spans="1:13" x14ac:dyDescent="0.25">
      <c r="A56" s="27" t="str">
        <f t="shared" si="2"/>
        <v>SP-21-0323</v>
      </c>
      <c r="B56" s="29">
        <f t="shared" si="3"/>
        <v>8.5796196119196111</v>
      </c>
      <c r="C56" s="29">
        <f t="shared" si="4"/>
        <v>40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Grupos'!A72</f>
        <v>0</v>
      </c>
      <c r="H56" s="26">
        <f>'Densidad de Grupos'!H72</f>
        <v>0</v>
      </c>
      <c r="I56" s="28">
        <f t="shared" si="0"/>
        <v>0</v>
      </c>
      <c r="J56" s="28">
        <f t="shared" si="1"/>
        <v>0</v>
      </c>
      <c r="L56" s="26" t="e">
        <f ca="1">_xlfn.XLOOKUP(G56,Lista!A:A,Lista!B:B)</f>
        <v>#NAME?</v>
      </c>
      <c r="M56" s="26" t="e">
        <f ca="1">_xlfn.XLOOKUP(L56,Lista!B:B,Lista!C:C)</f>
        <v>#NAME?</v>
      </c>
    </row>
    <row r="57" spans="1:13" x14ac:dyDescent="0.25">
      <c r="A57" s="27" t="str">
        <f t="shared" si="2"/>
        <v>SP-21-0323</v>
      </c>
      <c r="B57" s="29">
        <f t="shared" si="3"/>
        <v>8.5796196119196111</v>
      </c>
      <c r="C57" s="29">
        <f t="shared" si="4"/>
        <v>40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Grupos'!A73</f>
        <v>0</v>
      </c>
      <c r="H57" s="26">
        <f>'Densidad de Grupos'!H73</f>
        <v>0</v>
      </c>
      <c r="I57" s="28">
        <f t="shared" si="0"/>
        <v>0</v>
      </c>
      <c r="J57" s="28">
        <f t="shared" si="1"/>
        <v>0</v>
      </c>
      <c r="L57" s="26" t="e">
        <f ca="1">_xlfn.XLOOKUP(G57,Lista!A:A,Lista!B:B)</f>
        <v>#NAME?</v>
      </c>
      <c r="M57" s="26" t="e">
        <f ca="1">_xlfn.XLOOKUP(L57,Lista!B:B,Lista!C:C)</f>
        <v>#NAME?</v>
      </c>
    </row>
    <row r="58" spans="1:13" x14ac:dyDescent="0.25">
      <c r="A58" s="27" t="str">
        <f t="shared" si="2"/>
        <v>SP-21-0323</v>
      </c>
      <c r="B58" s="29">
        <f t="shared" si="3"/>
        <v>8.5796196119196111</v>
      </c>
      <c r="C58" s="29">
        <f t="shared" si="4"/>
        <v>40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Grupos'!A74</f>
        <v>0</v>
      </c>
      <c r="H58" s="26">
        <f>'Densidad de Grupos'!H74</f>
        <v>0</v>
      </c>
      <c r="I58" s="28">
        <f t="shared" si="0"/>
        <v>0</v>
      </c>
      <c r="J58" s="28">
        <f t="shared" si="1"/>
        <v>0</v>
      </c>
      <c r="L58" s="26" t="e">
        <f ca="1">_xlfn.XLOOKUP(G58,Lista!A:A,Lista!B:B)</f>
        <v>#NAME?</v>
      </c>
      <c r="M58" s="26" t="e">
        <f ca="1">_xlfn.XLOOKUP(L58,Lista!B:B,Lista!C:C)</f>
        <v>#NAME?</v>
      </c>
    </row>
    <row r="59" spans="1:13" x14ac:dyDescent="0.25">
      <c r="A59" s="27" t="str">
        <f t="shared" si="2"/>
        <v>SP-21-0323</v>
      </c>
      <c r="B59" s="29">
        <f t="shared" si="3"/>
        <v>8.5796196119196111</v>
      </c>
      <c r="C59" s="29">
        <f t="shared" si="4"/>
        <v>40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Grupos'!A75</f>
        <v>0</v>
      </c>
      <c r="H59" s="26">
        <f>'Densidad de Grupos'!H75</f>
        <v>0</v>
      </c>
      <c r="I59" s="28">
        <f t="shared" si="0"/>
        <v>0</v>
      </c>
      <c r="J59" s="28">
        <f t="shared" si="1"/>
        <v>0</v>
      </c>
      <c r="L59" s="26" t="e">
        <f ca="1">_xlfn.XLOOKUP(G59,Lista!A:A,Lista!B:B)</f>
        <v>#NAME?</v>
      </c>
      <c r="M59" s="26" t="e">
        <f ca="1">_xlfn.XLOOKUP(L59,Lista!B:B,Lista!C:C)</f>
        <v>#NAME?</v>
      </c>
    </row>
    <row r="60" spans="1:13" x14ac:dyDescent="0.25">
      <c r="A60" s="27" t="str">
        <f t="shared" si="2"/>
        <v>SP-21-0323</v>
      </c>
      <c r="B60" s="29">
        <f t="shared" si="3"/>
        <v>8.5796196119196111</v>
      </c>
      <c r="C60" s="29">
        <f t="shared" si="4"/>
        <v>40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Grupos'!A76</f>
        <v>0</v>
      </c>
      <c r="H60" s="26">
        <f>'Densidad de Grupos'!H76</f>
        <v>0</v>
      </c>
      <c r="I60" s="28">
        <f t="shared" si="0"/>
        <v>0</v>
      </c>
      <c r="J60" s="28">
        <f t="shared" si="1"/>
        <v>0</v>
      </c>
      <c r="L60" s="26" t="e">
        <f ca="1">_xlfn.XLOOKUP(G60,Lista!A:A,Lista!B:B)</f>
        <v>#NAME?</v>
      </c>
      <c r="M60" s="26" t="e">
        <f ca="1">_xlfn.XLOOKUP(L60,Lista!B:B,Lista!C:C)</f>
        <v>#NAME?</v>
      </c>
    </row>
    <row r="61" spans="1:13" s="34" customFormat="1" x14ac:dyDescent="0.25">
      <c r="A61" s="32" t="str">
        <f t="shared" si="2"/>
        <v>SP-21-0323</v>
      </c>
      <c r="B61" s="33">
        <f t="shared" si="3"/>
        <v>8.5796196119196111</v>
      </c>
      <c r="C61" s="33">
        <f t="shared" si="4"/>
        <v>40</v>
      </c>
      <c r="D61" s="33">
        <f t="shared" si="5"/>
        <v>5</v>
      </c>
      <c r="E61" s="33">
        <f t="shared" si="6"/>
        <v>4</v>
      </c>
      <c r="F61" s="33">
        <f t="shared" si="7"/>
        <v>20</v>
      </c>
      <c r="G61" s="26">
        <f>'Densidad de Grupos'!A77</f>
        <v>0</v>
      </c>
      <c r="H61" s="26">
        <f>'Densidad de Grupos'!H77</f>
        <v>0</v>
      </c>
      <c r="I61" s="28">
        <f t="shared" si="0"/>
        <v>0</v>
      </c>
      <c r="J61" s="28">
        <f t="shared" si="1"/>
        <v>0</v>
      </c>
      <c r="L61" s="26" t="e">
        <f ca="1">_xlfn.XLOOKUP(G61,Lista!A:A,Lista!B:B)</f>
        <v>#NAME?</v>
      </c>
      <c r="M61" s="26" t="e">
        <f ca="1">_xlfn.XLOOKUP(L61,Lista!B:B,Lista!C:C)</f>
        <v>#NAME?</v>
      </c>
    </row>
    <row r="62" spans="1:13" x14ac:dyDescent="0.25">
      <c r="A62" s="27" t="str">
        <f t="shared" si="2"/>
        <v>SP-21-0323</v>
      </c>
      <c r="B62" s="29">
        <f t="shared" si="3"/>
        <v>8.5796196119196111</v>
      </c>
      <c r="C62" s="29">
        <f t="shared" si="4"/>
        <v>40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Grupos'!A78</f>
        <v>0</v>
      </c>
      <c r="H62" s="26">
        <f>'Densidad de Grupos'!H78</f>
        <v>0</v>
      </c>
      <c r="I62" s="28">
        <f t="shared" si="0"/>
        <v>0</v>
      </c>
      <c r="J62" s="28">
        <f t="shared" si="1"/>
        <v>0</v>
      </c>
      <c r="L62" s="26" t="e">
        <f ca="1">_xlfn.XLOOKUP(G62,Lista!A:A,Lista!B:B)</f>
        <v>#NAME?</v>
      </c>
      <c r="M62" s="26" t="e">
        <f ca="1">_xlfn.XLOOKUP(L62,Lista!B:B,Lista!C:C)</f>
        <v>#NAME?</v>
      </c>
    </row>
    <row r="63" spans="1:13" x14ac:dyDescent="0.25">
      <c r="A63" s="27" t="str">
        <f t="shared" si="2"/>
        <v>SP-21-0323</v>
      </c>
      <c r="B63" s="29">
        <f t="shared" si="3"/>
        <v>8.5796196119196111</v>
      </c>
      <c r="C63" s="29">
        <f t="shared" si="4"/>
        <v>40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Grupos'!A79</f>
        <v>0</v>
      </c>
      <c r="H63" s="26">
        <f>'Densidad de Grupos'!H79</f>
        <v>0</v>
      </c>
      <c r="I63" s="28">
        <f t="shared" si="0"/>
        <v>0</v>
      </c>
      <c r="J63" s="28">
        <f t="shared" si="1"/>
        <v>0</v>
      </c>
      <c r="L63" s="26" t="e">
        <f ca="1">_xlfn.XLOOKUP(G63,Lista!A:A,Lista!B:B)</f>
        <v>#NAME?</v>
      </c>
      <c r="M63" s="26" t="e">
        <f ca="1">_xlfn.XLOOKUP(L63,Lista!B:B,Lista!C:C)</f>
        <v>#NAME?</v>
      </c>
    </row>
    <row r="64" spans="1:13" x14ac:dyDescent="0.25">
      <c r="A64" s="27" t="str">
        <f t="shared" si="2"/>
        <v>SP-21-0323</v>
      </c>
      <c r="B64" s="29">
        <f t="shared" si="3"/>
        <v>8.5796196119196111</v>
      </c>
      <c r="C64" s="29">
        <f t="shared" si="4"/>
        <v>40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Grupos'!A80</f>
        <v>0</v>
      </c>
      <c r="H64" s="26">
        <f>'Densidad de Grupos'!H80</f>
        <v>0</v>
      </c>
      <c r="I64" s="28">
        <f t="shared" si="0"/>
        <v>0</v>
      </c>
      <c r="J64" s="28">
        <f t="shared" si="1"/>
        <v>0</v>
      </c>
      <c r="L64" s="26" t="e">
        <f ca="1">_xlfn.XLOOKUP(G64,Lista!A:A,Lista!B:B)</f>
        <v>#NAME?</v>
      </c>
      <c r="M64" s="26" t="e">
        <f ca="1">_xlfn.XLOOKUP(L64,Lista!B:B,Lista!C:C)</f>
        <v>#NAME?</v>
      </c>
    </row>
    <row r="65" spans="1:13" x14ac:dyDescent="0.25">
      <c r="A65" s="27" t="str">
        <f t="shared" si="2"/>
        <v>SP-21-0323</v>
      </c>
      <c r="B65" s="29">
        <f t="shared" si="3"/>
        <v>8.5796196119196111</v>
      </c>
      <c r="C65" s="29">
        <f t="shared" si="4"/>
        <v>40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Grupos'!A81</f>
        <v>0</v>
      </c>
      <c r="H65" s="26">
        <f>'Densidad de Grupos'!H81</f>
        <v>0</v>
      </c>
      <c r="I65" s="28">
        <f t="shared" si="0"/>
        <v>0</v>
      </c>
      <c r="J65" s="28">
        <f t="shared" si="1"/>
        <v>0</v>
      </c>
      <c r="L65" s="26" t="e">
        <f ca="1">_xlfn.XLOOKUP(G65,Lista!A:A,Lista!B:B)</f>
        <v>#NAME?</v>
      </c>
      <c r="M65" s="26" t="e">
        <f ca="1">_xlfn.XLOOKUP(L65,Lista!B:B,Lista!C:C)</f>
        <v>#NAME?</v>
      </c>
    </row>
    <row r="66" spans="1:13" x14ac:dyDescent="0.25">
      <c r="A66" s="27" t="str">
        <f t="shared" ref="A66:A81" si="8">$A$2</f>
        <v>SP-21-0323</v>
      </c>
      <c r="B66" s="29">
        <f t="shared" ref="B66:B81" si="9">$B$2</f>
        <v>8.5796196119196111</v>
      </c>
      <c r="C66" s="29">
        <f t="shared" ref="C66:C81" si="10">$C$2</f>
        <v>40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Grupos'!A82</f>
        <v>0</v>
      </c>
      <c r="H66" s="26">
        <f>'Densidad de Grupos'!H82</f>
        <v>0</v>
      </c>
      <c r="I66" s="28">
        <f t="shared" si="0"/>
        <v>0</v>
      </c>
      <c r="J66" s="28">
        <f t="shared" si="1"/>
        <v>0</v>
      </c>
      <c r="L66" s="26" t="e">
        <f ca="1">_xlfn.XLOOKUP(G66,Lista!A:A,Lista!B:B)</f>
        <v>#NAME?</v>
      </c>
      <c r="M66" s="26" t="e">
        <f ca="1">_xlfn.XLOOKUP(L66,Lista!B:B,Lista!C:C)</f>
        <v>#NAME?</v>
      </c>
    </row>
    <row r="67" spans="1:13" x14ac:dyDescent="0.25">
      <c r="A67" s="27" t="str">
        <f t="shared" si="8"/>
        <v>SP-21-0323</v>
      </c>
      <c r="B67" s="29">
        <f t="shared" si="9"/>
        <v>8.5796196119196111</v>
      </c>
      <c r="C67" s="29">
        <f t="shared" si="10"/>
        <v>40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Grupos'!A83</f>
        <v>0</v>
      </c>
      <c r="H67" s="26">
        <f>'Densidad de Grupos'!H83</f>
        <v>0</v>
      </c>
      <c r="I67" s="28">
        <f t="shared" ref="I67:I81" si="14">((H67*C67)/(F67*B67))*2</f>
        <v>0</v>
      </c>
      <c r="J67" s="28">
        <f t="shared" ref="J67:J81" si="15">I67*1000</f>
        <v>0</v>
      </c>
      <c r="L67" s="26" t="e">
        <f ca="1">_xlfn.XLOOKUP(G67,Lista!A:A,Lista!B:B)</f>
        <v>#NAME?</v>
      </c>
      <c r="M67" s="26" t="e">
        <f ca="1">_xlfn.XLOOKUP(L67,Lista!B:B,Lista!C:C)</f>
        <v>#NAME?</v>
      </c>
    </row>
    <row r="68" spans="1:13" x14ac:dyDescent="0.25">
      <c r="A68" s="27" t="str">
        <f t="shared" si="8"/>
        <v>SP-21-0323</v>
      </c>
      <c r="B68" s="29">
        <f t="shared" si="9"/>
        <v>8.5796196119196111</v>
      </c>
      <c r="C68" s="29">
        <f t="shared" si="10"/>
        <v>40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Grupos'!A84</f>
        <v>0</v>
      </c>
      <c r="H68" s="26">
        <f>'Densidad de Grupos'!H84</f>
        <v>0</v>
      </c>
      <c r="I68" s="28">
        <f t="shared" si="14"/>
        <v>0</v>
      </c>
      <c r="J68" s="28">
        <f t="shared" si="15"/>
        <v>0</v>
      </c>
      <c r="L68" s="26" t="e">
        <f ca="1">_xlfn.XLOOKUP(G68,Lista!A:A,Lista!B:B)</f>
        <v>#NAME?</v>
      </c>
      <c r="M68" s="26" t="e">
        <f ca="1">_xlfn.XLOOKUP(L68,Lista!B:B,Lista!C:C)</f>
        <v>#NAME?</v>
      </c>
    </row>
    <row r="69" spans="1:13" x14ac:dyDescent="0.25">
      <c r="A69" s="27" t="str">
        <f t="shared" si="8"/>
        <v>SP-21-0323</v>
      </c>
      <c r="B69" s="29">
        <f t="shared" si="9"/>
        <v>8.5796196119196111</v>
      </c>
      <c r="C69" s="29">
        <f t="shared" si="10"/>
        <v>40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Grupos'!A85</f>
        <v>0</v>
      </c>
      <c r="H69" s="26">
        <f>'Densidad de Grupos'!H85</f>
        <v>0</v>
      </c>
      <c r="I69" s="28">
        <f t="shared" si="14"/>
        <v>0</v>
      </c>
      <c r="J69" s="28">
        <f t="shared" si="15"/>
        <v>0</v>
      </c>
      <c r="L69" s="26" t="e">
        <f ca="1">_xlfn.XLOOKUP(G69,Lista!A:A,Lista!B:B)</f>
        <v>#NAME?</v>
      </c>
      <c r="M69" s="26" t="e">
        <f ca="1">_xlfn.XLOOKUP(L69,Lista!B:B,Lista!C:C)</f>
        <v>#NAME?</v>
      </c>
    </row>
    <row r="70" spans="1:13" x14ac:dyDescent="0.25">
      <c r="A70" s="27" t="str">
        <f t="shared" si="8"/>
        <v>SP-21-0323</v>
      </c>
      <c r="B70" s="29">
        <f t="shared" si="9"/>
        <v>8.5796196119196111</v>
      </c>
      <c r="C70" s="29">
        <f t="shared" si="10"/>
        <v>40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Grupos'!A86</f>
        <v>0</v>
      </c>
      <c r="H70" s="26">
        <f>'Densidad de Grupos'!H86</f>
        <v>0</v>
      </c>
      <c r="I70" s="28">
        <f t="shared" si="14"/>
        <v>0</v>
      </c>
      <c r="J70" s="28">
        <f t="shared" si="15"/>
        <v>0</v>
      </c>
      <c r="L70" s="26" t="e">
        <f ca="1">_xlfn.XLOOKUP(G70,Lista!A:A,Lista!B:B)</f>
        <v>#NAME?</v>
      </c>
      <c r="M70" s="26" t="e">
        <f ca="1">_xlfn.XLOOKUP(L70,Lista!B:B,Lista!C:C)</f>
        <v>#NAME?</v>
      </c>
    </row>
    <row r="71" spans="1:13" x14ac:dyDescent="0.25">
      <c r="A71" s="27" t="str">
        <f t="shared" si="8"/>
        <v>SP-21-0323</v>
      </c>
      <c r="B71" s="29">
        <f t="shared" si="9"/>
        <v>8.5796196119196111</v>
      </c>
      <c r="C71" s="29">
        <f t="shared" si="10"/>
        <v>40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Grupos'!A87</f>
        <v>0</v>
      </c>
      <c r="H71" s="26">
        <f>'Densidad de Grupos'!H87</f>
        <v>0</v>
      </c>
      <c r="I71" s="28">
        <f t="shared" si="14"/>
        <v>0</v>
      </c>
      <c r="J71" s="28">
        <f t="shared" si="15"/>
        <v>0</v>
      </c>
      <c r="L71" s="26" t="e">
        <f ca="1">_xlfn.XLOOKUP(G71,Lista!A:A,Lista!B:B)</f>
        <v>#NAME?</v>
      </c>
      <c r="M71" s="26" t="e">
        <f ca="1">_xlfn.XLOOKUP(L71,Lista!B:B,Lista!C:C)</f>
        <v>#NAME?</v>
      </c>
    </row>
    <row r="72" spans="1:13" x14ac:dyDescent="0.25">
      <c r="A72" s="27" t="str">
        <f t="shared" si="8"/>
        <v>SP-21-0323</v>
      </c>
      <c r="B72" s="29">
        <f t="shared" si="9"/>
        <v>8.5796196119196111</v>
      </c>
      <c r="C72" s="29">
        <f t="shared" si="10"/>
        <v>40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Grupos'!A88</f>
        <v>0</v>
      </c>
      <c r="H72" s="26">
        <f>'Densidad de Grupos'!H88</f>
        <v>0</v>
      </c>
      <c r="I72" s="28">
        <f t="shared" si="14"/>
        <v>0</v>
      </c>
      <c r="J72" s="28">
        <f t="shared" si="15"/>
        <v>0</v>
      </c>
      <c r="L72" s="26" t="e">
        <f ca="1">_xlfn.XLOOKUP(G72,Lista!A:A,Lista!B:B)</f>
        <v>#NAME?</v>
      </c>
      <c r="M72" s="26" t="e">
        <f ca="1">_xlfn.XLOOKUP(L72,Lista!B:B,Lista!C:C)</f>
        <v>#NAME?</v>
      </c>
    </row>
    <row r="73" spans="1:13" x14ac:dyDescent="0.25">
      <c r="A73" s="27" t="str">
        <f t="shared" si="8"/>
        <v>SP-21-0323</v>
      </c>
      <c r="B73" s="29">
        <f t="shared" si="9"/>
        <v>8.5796196119196111</v>
      </c>
      <c r="C73" s="29">
        <f t="shared" si="10"/>
        <v>40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Grupos'!A89</f>
        <v>0</v>
      </c>
      <c r="H73" s="26">
        <f>'Densidad de Grupos'!H89</f>
        <v>0</v>
      </c>
      <c r="I73" s="28">
        <f t="shared" si="14"/>
        <v>0</v>
      </c>
      <c r="J73" s="28">
        <f t="shared" si="15"/>
        <v>0</v>
      </c>
      <c r="L73" s="26" t="e">
        <f ca="1">_xlfn.XLOOKUP(G73,Lista!A:A,Lista!B:B)</f>
        <v>#NAME?</v>
      </c>
      <c r="M73" s="26" t="e">
        <f ca="1">_xlfn.XLOOKUP(L73,Lista!B:B,Lista!C:C)</f>
        <v>#NAME?</v>
      </c>
    </row>
    <row r="74" spans="1:13" x14ac:dyDescent="0.25">
      <c r="A74" s="27" t="str">
        <f t="shared" si="8"/>
        <v>SP-21-0323</v>
      </c>
      <c r="B74" s="29">
        <f t="shared" si="9"/>
        <v>8.5796196119196111</v>
      </c>
      <c r="C74" s="29">
        <f t="shared" si="10"/>
        <v>40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Grupos'!A90</f>
        <v>0</v>
      </c>
      <c r="H74" s="26">
        <f>'Densidad de Grupos'!H90</f>
        <v>0</v>
      </c>
      <c r="I74" s="28">
        <f t="shared" si="14"/>
        <v>0</v>
      </c>
      <c r="J74" s="28">
        <f t="shared" si="15"/>
        <v>0</v>
      </c>
      <c r="L74" s="26" t="e">
        <f ca="1">_xlfn.XLOOKUP(G74,Lista!A:A,Lista!B:B)</f>
        <v>#NAME?</v>
      </c>
      <c r="M74" s="26" t="e">
        <f ca="1">_xlfn.XLOOKUP(L74,Lista!B:B,Lista!C:C)</f>
        <v>#NAME?</v>
      </c>
    </row>
    <row r="75" spans="1:13" x14ac:dyDescent="0.25">
      <c r="A75" s="27" t="str">
        <f t="shared" si="8"/>
        <v>SP-21-0323</v>
      </c>
      <c r="B75" s="29">
        <f t="shared" si="9"/>
        <v>8.5796196119196111</v>
      </c>
      <c r="C75" s="29">
        <f t="shared" si="10"/>
        <v>40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Grupos'!A91</f>
        <v>0</v>
      </c>
      <c r="H75" s="26">
        <f>'Densidad de Grupos'!H91</f>
        <v>0</v>
      </c>
      <c r="I75" s="28">
        <f t="shared" si="14"/>
        <v>0</v>
      </c>
      <c r="J75" s="28">
        <f t="shared" si="15"/>
        <v>0</v>
      </c>
      <c r="L75" s="26" t="e">
        <f ca="1">_xlfn.XLOOKUP(G75,Lista!A:A,Lista!B:B)</f>
        <v>#NAME?</v>
      </c>
      <c r="M75" s="26" t="e">
        <f ca="1">_xlfn.XLOOKUP(L75,Lista!B:B,Lista!C:C)</f>
        <v>#NAME?</v>
      </c>
    </row>
    <row r="76" spans="1:13" x14ac:dyDescent="0.25">
      <c r="A76" s="27" t="str">
        <f t="shared" si="8"/>
        <v>SP-21-0323</v>
      </c>
      <c r="B76" s="29">
        <f t="shared" si="9"/>
        <v>8.5796196119196111</v>
      </c>
      <c r="C76" s="29">
        <f t="shared" si="10"/>
        <v>40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Grupos'!A92</f>
        <v>0</v>
      </c>
      <c r="H76" s="26">
        <f>'Densidad de Grupos'!H92</f>
        <v>0</v>
      </c>
      <c r="I76" s="28">
        <f t="shared" si="14"/>
        <v>0</v>
      </c>
      <c r="J76" s="28">
        <f t="shared" si="15"/>
        <v>0</v>
      </c>
      <c r="L76" s="26" t="e">
        <f ca="1">_xlfn.XLOOKUP(G76,Lista!A:A,Lista!B:B)</f>
        <v>#NAME?</v>
      </c>
      <c r="M76" s="26" t="e">
        <f ca="1">_xlfn.XLOOKUP(L76,Lista!B:B,Lista!C:C)</f>
        <v>#NAME?</v>
      </c>
    </row>
    <row r="77" spans="1:13" x14ac:dyDescent="0.25">
      <c r="A77" s="27" t="str">
        <f t="shared" si="8"/>
        <v>SP-21-0323</v>
      </c>
      <c r="B77" s="29">
        <f t="shared" si="9"/>
        <v>8.5796196119196111</v>
      </c>
      <c r="C77" s="29">
        <f t="shared" si="10"/>
        <v>40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Grupos'!A93</f>
        <v>0</v>
      </c>
      <c r="H77" s="26">
        <f>'Densidad de Grupos'!H93</f>
        <v>0</v>
      </c>
      <c r="I77" s="28">
        <f t="shared" si="14"/>
        <v>0</v>
      </c>
      <c r="J77" s="28">
        <f t="shared" si="15"/>
        <v>0</v>
      </c>
      <c r="L77" s="26" t="e">
        <f ca="1">_xlfn.XLOOKUP(G77,Lista!A:A,Lista!B:B)</f>
        <v>#NAME?</v>
      </c>
      <c r="M77" s="26" t="e">
        <f ca="1">_xlfn.XLOOKUP(L77,Lista!B:B,Lista!C:C)</f>
        <v>#NAME?</v>
      </c>
    </row>
    <row r="78" spans="1:13" x14ac:dyDescent="0.25">
      <c r="A78" s="27" t="str">
        <f t="shared" si="8"/>
        <v>SP-21-0323</v>
      </c>
      <c r="B78" s="29">
        <f t="shared" si="9"/>
        <v>8.5796196119196111</v>
      </c>
      <c r="C78" s="29">
        <f t="shared" si="10"/>
        <v>40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Grupos'!A94</f>
        <v>0</v>
      </c>
      <c r="H78" s="26">
        <f>'Densidad de Grupos'!H94</f>
        <v>0</v>
      </c>
      <c r="I78" s="28">
        <f t="shared" si="14"/>
        <v>0</v>
      </c>
      <c r="J78" s="28">
        <f t="shared" si="15"/>
        <v>0</v>
      </c>
      <c r="L78" s="26" t="e">
        <f ca="1">_xlfn.XLOOKUP(G78,Lista!A:A,Lista!B:B)</f>
        <v>#NAME?</v>
      </c>
      <c r="M78" s="26" t="e">
        <f ca="1">_xlfn.XLOOKUP(L78,Lista!B:B,Lista!C:C)</f>
        <v>#NAME?</v>
      </c>
    </row>
    <row r="79" spans="1:13" x14ac:dyDescent="0.25">
      <c r="A79" s="27" t="str">
        <f t="shared" si="8"/>
        <v>SP-21-0323</v>
      </c>
      <c r="B79" s="29">
        <f t="shared" si="9"/>
        <v>8.5796196119196111</v>
      </c>
      <c r="C79" s="29">
        <f t="shared" si="10"/>
        <v>40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Grupos'!A95</f>
        <v>0</v>
      </c>
      <c r="H79" s="26">
        <f>'Densidad de Grupos'!H95</f>
        <v>0</v>
      </c>
      <c r="I79" s="28">
        <f t="shared" si="14"/>
        <v>0</v>
      </c>
      <c r="J79" s="28">
        <f t="shared" si="15"/>
        <v>0</v>
      </c>
      <c r="L79" s="26" t="e">
        <f ca="1">_xlfn.XLOOKUP(G79,Lista!A:A,Lista!B:B)</f>
        <v>#NAME?</v>
      </c>
      <c r="M79" s="26" t="e">
        <f ca="1">_xlfn.XLOOKUP(L79,Lista!B:B,Lista!C:C)</f>
        <v>#NAME?</v>
      </c>
    </row>
    <row r="80" spans="1:13" x14ac:dyDescent="0.25">
      <c r="A80" s="27" t="str">
        <f t="shared" si="8"/>
        <v>SP-21-0323</v>
      </c>
      <c r="B80" s="29">
        <f t="shared" si="9"/>
        <v>8.5796196119196111</v>
      </c>
      <c r="C80" s="29">
        <f t="shared" si="10"/>
        <v>40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Grupos'!A96</f>
        <v>0</v>
      </c>
      <c r="H80" s="26">
        <f>'Densidad de Grupos'!H96</f>
        <v>0</v>
      </c>
      <c r="I80" s="28">
        <f t="shared" si="14"/>
        <v>0</v>
      </c>
      <c r="J80" s="28">
        <f t="shared" si="15"/>
        <v>0</v>
      </c>
      <c r="L80" s="26" t="e">
        <f ca="1">_xlfn.XLOOKUP(G80,Lista!A:A,Lista!B:B)</f>
        <v>#NAME?</v>
      </c>
      <c r="M80" s="26" t="e">
        <f ca="1">_xlfn.XLOOKUP(L80,Lista!B:B,Lista!C:C)</f>
        <v>#NAME?</v>
      </c>
    </row>
    <row r="81" spans="1:13" x14ac:dyDescent="0.25">
      <c r="A81" s="27" t="str">
        <f t="shared" si="8"/>
        <v>SP-21-0323</v>
      </c>
      <c r="B81" s="29">
        <f t="shared" si="9"/>
        <v>8.5796196119196111</v>
      </c>
      <c r="C81" s="29">
        <f t="shared" si="10"/>
        <v>40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Grupos'!A97</f>
        <v>0</v>
      </c>
      <c r="H81" s="26">
        <f>'Densidad de Grupos'!H97</f>
        <v>0</v>
      </c>
      <c r="I81" s="28">
        <f t="shared" si="14"/>
        <v>0</v>
      </c>
      <c r="J81" s="28">
        <f t="shared" si="15"/>
        <v>0</v>
      </c>
      <c r="L81" s="26" t="e">
        <f ca="1">_xlfn.XLOOKUP(G81,Lista!A:A,Lista!B:B)</f>
        <v>#NAME?</v>
      </c>
      <c r="M81" s="26" t="e">
        <f ca="1">_xlfn.XLOOKUP(L81,Lista!B:B,Lista!C:C)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</vt:lpstr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ASUS</cp:lastModifiedBy>
  <cp:lastPrinted>2021-02-22T21:39:25Z</cp:lastPrinted>
  <dcterms:created xsi:type="dcterms:W3CDTF">2009-11-17T21:42:41Z</dcterms:created>
  <dcterms:modified xsi:type="dcterms:W3CDTF">2022-02-09T15:36:27Z</dcterms:modified>
</cp:coreProperties>
</file>