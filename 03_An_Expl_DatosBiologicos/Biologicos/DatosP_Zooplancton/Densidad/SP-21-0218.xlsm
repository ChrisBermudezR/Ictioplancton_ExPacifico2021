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2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098412FB-BBDC-42A9-B054-48671A1A429F}" xr6:coauthVersionLast="47" xr6:coauthVersionMax="47" xr10:uidLastSave="{00000000-0000-0000-0000-000000000000}"/>
  <bookViews>
    <workbookView xWindow="-120" yWindow="-120" windowWidth="20730" windowHeight="11160" tabRatio="728" activeTab="1" xr2:uid="{00000000-000D-0000-FFFF-FFFF00000000}"/>
  </bookViews>
  <sheets>
    <sheet name="Lista" sheetId="8" r:id="rId1"/>
    <sheet name="Densidad de Grupos" sheetId="2" r:id="rId2"/>
    <sheet name="DOLIOLIDA" sheetId="10" r:id="rId3"/>
    <sheet name="Cálculos_Densidad_De_Grupos" sheetId="4" r:id="rId4"/>
    <sheet name="Calculos_DOLIOLIDA" sheetId="11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1" l="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" i="11"/>
  <c r="G23" i="11"/>
  <c r="G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E2" i="11"/>
  <c r="D2" i="11"/>
  <c r="C2" i="11"/>
  <c r="J13" i="10"/>
  <c r="B5" i="11" s="1"/>
  <c r="I5" i="11" s="1"/>
  <c r="U9" i="10"/>
  <c r="A2" i="11" s="1"/>
  <c r="Y6" i="10"/>
  <c r="U6" i="10"/>
  <c r="Y5" i="10"/>
  <c r="U5" i="10"/>
  <c r="H23" i="4"/>
  <c r="H24" i="4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B21" i="11" l="1"/>
  <c r="I21" i="11" s="1"/>
  <c r="B12" i="11"/>
  <c r="B3" i="11"/>
  <c r="J3" i="11" s="1"/>
  <c r="I18" i="11"/>
  <c r="B18" i="11"/>
  <c r="B10" i="11"/>
  <c r="I10" i="11" s="1"/>
  <c r="B17" i="11"/>
  <c r="B9" i="11"/>
  <c r="B19" i="11"/>
  <c r="J19" i="11" s="1"/>
  <c r="B16" i="11"/>
  <c r="J15" i="11"/>
  <c r="B15" i="11"/>
  <c r="B7" i="11"/>
  <c r="I7" i="11" s="1"/>
  <c r="B13" i="11"/>
  <c r="I13" i="11" s="1"/>
  <c r="B20" i="11"/>
  <c r="B4" i="11"/>
  <c r="I3" i="11"/>
  <c r="B11" i="11"/>
  <c r="J11" i="11" s="1"/>
  <c r="B8" i="11"/>
  <c r="J8" i="11" s="1"/>
  <c r="I2" i="11"/>
  <c r="J6" i="11"/>
  <c r="B2" i="11"/>
  <c r="B14" i="11"/>
  <c r="B6" i="11"/>
  <c r="F2" i="11"/>
  <c r="J14" i="11"/>
  <c r="J5" i="11"/>
  <c r="J2" i="11"/>
  <c r="J16" i="11"/>
  <c r="I8" i="11"/>
  <c r="J18" i="11"/>
  <c r="I6" i="11"/>
  <c r="I14" i="11"/>
  <c r="I16" i="11"/>
  <c r="I15" i="11"/>
  <c r="J21" i="11" l="1"/>
  <c r="J10" i="11"/>
  <c r="J7" i="11"/>
  <c r="J13" i="11"/>
  <c r="I19" i="11"/>
  <c r="I11" i="11"/>
  <c r="J17" i="11"/>
  <c r="I17" i="11"/>
  <c r="I4" i="11"/>
  <c r="J4" i="11"/>
  <c r="J20" i="11"/>
  <c r="I20" i="11"/>
  <c r="I9" i="11"/>
  <c r="J9" i="11"/>
  <c r="J12" i="11"/>
  <c r="I12" i="1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<sst xmlns="http://schemas.openxmlformats.org/spreadsheetml/2006/main" count="135" uniqueCount="76">
  <si>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</si>
  <si>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</si>
  <si>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</si>
  <si>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</si>
  <si>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</si>
  <si>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</si>
  <si>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</si>
  <si>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</si>
  <si>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</si>
  <si>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</si>
  <si>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</si>
  <si>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</si>
  <si>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</si>
  <si>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</si>
  <si>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</si>
  <si>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</si>
  <si>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</si>
  <si>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</si>
  <si>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</si>
  <si>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</si>
  <si>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</si>
  <si>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</si>
  <si>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</si>
  <si>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</si>
  <si>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</si>
  <si>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</si>
  <si>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</si>
  <si>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</si>
  <si>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</si>
  <si>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</si>
  <si>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</si>
  <si>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</si>
  <si>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</si>
  <si>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</si>
  <si>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</si>
  <si>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</si>
  <si>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</si>
  <si>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</si>
  <si>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</si>
  <si>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</si>
  <si>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</si>
  <si>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</si>
  <si>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</si>
  <si>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</si>
  <si>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</si>
  <si>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</si>
  <si>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</si>
  <si>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</si>
  <si>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</si>
  <si>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</si>
  <si>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</si>
  <si>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</si>
  <si>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</si>
  <si>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</si>
  <si>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</si>
  <si>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</si>
  <si>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</si>
  <si>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</si>
  <si>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</si>
  <si>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</si>
  <si>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</si>
  <si>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</si>
  <si>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</si>
  <si>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</si>
  <si>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Ostracoda</t>
  </si>
  <si>
    <t>Copepoda (Cyclopoida)</t>
  </si>
  <si>
    <t>Doliolida</t>
  </si>
  <si>
    <t>Chaetognatha</t>
  </si>
  <si>
    <t>Mollusca (Creseis)</t>
  </si>
  <si>
    <t>Mollusca (Limacina)</t>
  </si>
  <si>
    <t>Mollusca (Limacina retroversa)</t>
  </si>
  <si>
    <t>SP-21-0218</t>
  </si>
  <si>
    <t>Euphausiacea</t>
  </si>
  <si>
    <t>Brachiopoda (Lingula)</t>
  </si>
  <si>
    <t>Siphonophora (Lensia)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</si>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</sst>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2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2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2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2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2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2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2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2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2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2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2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2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2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2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2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2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2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2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2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2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2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2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2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2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2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2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2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2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2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2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2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2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2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2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2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2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2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2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2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2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2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2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2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2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2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2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2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2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2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2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2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2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2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2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2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2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2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2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2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2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2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2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2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2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dades%20compartidas/Zooplancton%20CCCP/LISTADO%20OFICIAL%20ZOOPLANKT/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abio\Google%20Drive\CIOH-P\P%20Laura%20_Fabio\Listado%20zoo\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  <row r="136">
          <cell r="B136" t="str">
            <v>Carinaria</v>
          </cell>
          <cell r="C136" t="str">
            <v>urna:lsid:marinespecies.org:taxname:137746</v>
          </cell>
          <cell r="K136" t="str">
            <v>Carinaria Lamarck, 1801</v>
          </cell>
        </row>
        <row r="137">
          <cell r="B137" t="str">
            <v>Coscinodiscopsis</v>
          </cell>
          <cell r="C137" t="str">
            <v>urn:lsid:marinespecies.org:taxname:836539</v>
          </cell>
          <cell r="K137" t="str">
            <v>Coscinodiscopsis  E.A.Sar &amp; I.Sunesen, 2008</v>
          </cell>
        </row>
        <row r="138">
          <cell r="B138" t="str">
            <v>Isopoda</v>
          </cell>
          <cell r="C138" t="str">
            <v>urn:lsid:marinespecies.org:taxname:1131</v>
          </cell>
          <cell r="K138" t="str">
            <v>Isopoda Latreille, 1817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63" Type="http://schemas.openxmlformats.org/officeDocument/2006/relationships/ctrlProp" Target="../ctrlProps/ctrlProp322.xml"/><Relationship Id="rId84" Type="http://schemas.openxmlformats.org/officeDocument/2006/relationships/ctrlProp" Target="../ctrlProps/ctrlProp343.xml"/><Relationship Id="rId138" Type="http://schemas.openxmlformats.org/officeDocument/2006/relationships/ctrlProp" Target="../ctrlProps/ctrlProp397.xml"/><Relationship Id="rId159" Type="http://schemas.openxmlformats.org/officeDocument/2006/relationships/ctrlProp" Target="../ctrlProps/ctrlProp418.xml"/><Relationship Id="rId170" Type="http://schemas.openxmlformats.org/officeDocument/2006/relationships/ctrlProp" Target="../ctrlProps/ctrlProp429.xml"/><Relationship Id="rId191" Type="http://schemas.openxmlformats.org/officeDocument/2006/relationships/ctrlProp" Target="../ctrlProps/ctrlProp450.xml"/><Relationship Id="rId205" Type="http://schemas.openxmlformats.org/officeDocument/2006/relationships/ctrlProp" Target="../ctrlProps/ctrlProp464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53" Type="http://schemas.openxmlformats.org/officeDocument/2006/relationships/ctrlProp" Target="../ctrlProps/ctrlProp312.xml"/><Relationship Id="rId74" Type="http://schemas.openxmlformats.org/officeDocument/2006/relationships/ctrlProp" Target="../ctrlProps/ctrlProp333.xml"/><Relationship Id="rId128" Type="http://schemas.openxmlformats.org/officeDocument/2006/relationships/ctrlProp" Target="../ctrlProps/ctrlProp387.xml"/><Relationship Id="rId149" Type="http://schemas.openxmlformats.org/officeDocument/2006/relationships/ctrlProp" Target="../ctrlProps/ctrlProp408.xml"/><Relationship Id="rId5" Type="http://schemas.openxmlformats.org/officeDocument/2006/relationships/ctrlProp" Target="../ctrlProps/ctrlProp264.xml"/><Relationship Id="rId95" Type="http://schemas.openxmlformats.org/officeDocument/2006/relationships/ctrlProp" Target="../ctrlProps/ctrlProp354.xml"/><Relationship Id="rId160" Type="http://schemas.openxmlformats.org/officeDocument/2006/relationships/ctrlProp" Target="../ctrlProps/ctrlProp419.xml"/><Relationship Id="rId181" Type="http://schemas.openxmlformats.org/officeDocument/2006/relationships/ctrlProp" Target="../ctrlProps/ctrlProp440.xml"/><Relationship Id="rId22" Type="http://schemas.openxmlformats.org/officeDocument/2006/relationships/ctrlProp" Target="../ctrlProps/ctrlProp281.xml"/><Relationship Id="rId43" Type="http://schemas.openxmlformats.org/officeDocument/2006/relationships/ctrlProp" Target="../ctrlProps/ctrlProp302.xml"/><Relationship Id="rId64" Type="http://schemas.openxmlformats.org/officeDocument/2006/relationships/ctrlProp" Target="../ctrlProps/ctrlProp323.xml"/><Relationship Id="rId118" Type="http://schemas.openxmlformats.org/officeDocument/2006/relationships/ctrlProp" Target="../ctrlProps/ctrlProp377.xml"/><Relationship Id="rId139" Type="http://schemas.openxmlformats.org/officeDocument/2006/relationships/ctrlProp" Target="../ctrlProps/ctrlProp398.xml"/><Relationship Id="rId85" Type="http://schemas.openxmlformats.org/officeDocument/2006/relationships/ctrlProp" Target="../ctrlProps/ctrlProp344.xml"/><Relationship Id="rId150" Type="http://schemas.openxmlformats.org/officeDocument/2006/relationships/ctrlProp" Target="../ctrlProps/ctrlProp409.xml"/><Relationship Id="rId171" Type="http://schemas.openxmlformats.org/officeDocument/2006/relationships/ctrlProp" Target="../ctrlProps/ctrlProp430.xml"/><Relationship Id="rId192" Type="http://schemas.openxmlformats.org/officeDocument/2006/relationships/ctrlProp" Target="../ctrlProps/ctrlProp451.xml"/><Relationship Id="rId206" Type="http://schemas.openxmlformats.org/officeDocument/2006/relationships/ctrlProp" Target="../ctrlProps/ctrlProp465.xml"/><Relationship Id="rId12" Type="http://schemas.openxmlformats.org/officeDocument/2006/relationships/ctrlProp" Target="../ctrlProps/ctrlProp271.xml"/><Relationship Id="rId33" Type="http://schemas.openxmlformats.org/officeDocument/2006/relationships/ctrlProp" Target="../ctrlProps/ctrlProp292.xml"/><Relationship Id="rId108" Type="http://schemas.openxmlformats.org/officeDocument/2006/relationships/ctrlProp" Target="../ctrlProps/ctrlProp367.xml"/><Relationship Id="rId129" Type="http://schemas.openxmlformats.org/officeDocument/2006/relationships/ctrlProp" Target="../ctrlProps/ctrlProp388.xml"/><Relationship Id="rId54" Type="http://schemas.openxmlformats.org/officeDocument/2006/relationships/ctrlProp" Target="../ctrlProps/ctrlProp313.xml"/><Relationship Id="rId75" Type="http://schemas.openxmlformats.org/officeDocument/2006/relationships/ctrlProp" Target="../ctrlProps/ctrlProp334.xml"/><Relationship Id="rId96" Type="http://schemas.openxmlformats.org/officeDocument/2006/relationships/ctrlProp" Target="../ctrlProps/ctrlProp355.xml"/><Relationship Id="rId140" Type="http://schemas.openxmlformats.org/officeDocument/2006/relationships/ctrlProp" Target="../ctrlProps/ctrlProp399.xml"/><Relationship Id="rId161" Type="http://schemas.openxmlformats.org/officeDocument/2006/relationships/ctrlProp" Target="../ctrlProps/ctrlProp420.xml"/><Relationship Id="rId182" Type="http://schemas.openxmlformats.org/officeDocument/2006/relationships/ctrlProp" Target="../ctrlProps/ctrlProp441.xml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119" Type="http://schemas.openxmlformats.org/officeDocument/2006/relationships/ctrlProp" Target="../ctrlProps/ctrlProp378.xml"/><Relationship Id="rId44" Type="http://schemas.openxmlformats.org/officeDocument/2006/relationships/ctrlProp" Target="../ctrlProps/ctrlProp303.xml"/><Relationship Id="rId65" Type="http://schemas.openxmlformats.org/officeDocument/2006/relationships/ctrlProp" Target="../ctrlProps/ctrlProp324.xml"/><Relationship Id="rId86" Type="http://schemas.openxmlformats.org/officeDocument/2006/relationships/ctrlProp" Target="../ctrlProps/ctrlProp345.xml"/><Relationship Id="rId130" Type="http://schemas.openxmlformats.org/officeDocument/2006/relationships/ctrlProp" Target="../ctrlProps/ctrlProp389.xml"/><Relationship Id="rId151" Type="http://schemas.openxmlformats.org/officeDocument/2006/relationships/ctrlProp" Target="../ctrlProps/ctrlProp410.xml"/><Relationship Id="rId172" Type="http://schemas.openxmlformats.org/officeDocument/2006/relationships/ctrlProp" Target="../ctrlProps/ctrlProp431.xml"/><Relationship Id="rId193" Type="http://schemas.openxmlformats.org/officeDocument/2006/relationships/ctrlProp" Target="../ctrlProps/ctrlProp452.xml"/><Relationship Id="rId207" Type="http://schemas.openxmlformats.org/officeDocument/2006/relationships/ctrlProp" Target="../ctrlProps/ctrlProp466.xml"/><Relationship Id="rId13" Type="http://schemas.openxmlformats.org/officeDocument/2006/relationships/ctrlProp" Target="../ctrlProps/ctrlProp272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20" Type="http://schemas.openxmlformats.org/officeDocument/2006/relationships/ctrlProp" Target="../ctrlProps/ctrlProp379.xml"/><Relationship Id="rId141" Type="http://schemas.openxmlformats.org/officeDocument/2006/relationships/ctrlProp" Target="../ctrlProps/ctrlProp400.xml"/><Relationship Id="rId7" Type="http://schemas.openxmlformats.org/officeDocument/2006/relationships/ctrlProp" Target="../ctrlProps/ctrlProp266.xml"/><Relationship Id="rId162" Type="http://schemas.openxmlformats.org/officeDocument/2006/relationships/ctrlProp" Target="../ctrlProps/ctrlProp421.xml"/><Relationship Id="rId183" Type="http://schemas.openxmlformats.org/officeDocument/2006/relationships/ctrlProp" Target="../ctrlProps/ctrlProp442.xml"/><Relationship Id="rId24" Type="http://schemas.openxmlformats.org/officeDocument/2006/relationships/ctrlProp" Target="../ctrlProps/ctrlProp283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31" Type="http://schemas.openxmlformats.org/officeDocument/2006/relationships/ctrlProp" Target="../ctrlProps/ctrlProp390.xml"/><Relationship Id="rId152" Type="http://schemas.openxmlformats.org/officeDocument/2006/relationships/ctrlProp" Target="../ctrlProps/ctrlProp411.xml"/><Relationship Id="rId173" Type="http://schemas.openxmlformats.org/officeDocument/2006/relationships/ctrlProp" Target="../ctrlProps/ctrlProp432.xml"/><Relationship Id="rId194" Type="http://schemas.openxmlformats.org/officeDocument/2006/relationships/ctrlProp" Target="../ctrlProps/ctrlProp453.xml"/><Relationship Id="rId208" Type="http://schemas.openxmlformats.org/officeDocument/2006/relationships/ctrlProp" Target="../ctrlProps/ctrlProp467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126" Type="http://schemas.openxmlformats.org/officeDocument/2006/relationships/ctrlProp" Target="../ctrlProps/ctrlProp385.xml"/><Relationship Id="rId147" Type="http://schemas.openxmlformats.org/officeDocument/2006/relationships/ctrlProp" Target="../ctrlProps/ctrlProp406.xml"/><Relationship Id="rId168" Type="http://schemas.openxmlformats.org/officeDocument/2006/relationships/ctrlProp" Target="../ctrlProps/ctrlProp427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121" Type="http://schemas.openxmlformats.org/officeDocument/2006/relationships/ctrlProp" Target="../ctrlProps/ctrlProp380.xml"/><Relationship Id="rId142" Type="http://schemas.openxmlformats.org/officeDocument/2006/relationships/ctrlProp" Target="../ctrlProps/ctrlProp401.xml"/><Relationship Id="rId163" Type="http://schemas.openxmlformats.org/officeDocument/2006/relationships/ctrlProp" Target="../ctrlProps/ctrlProp422.xml"/><Relationship Id="rId184" Type="http://schemas.openxmlformats.org/officeDocument/2006/relationships/ctrlProp" Target="../ctrlProps/ctrlProp443.xml"/><Relationship Id="rId189" Type="http://schemas.openxmlformats.org/officeDocument/2006/relationships/ctrlProp" Target="../ctrlProps/ctrlProp44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3.x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137" Type="http://schemas.openxmlformats.org/officeDocument/2006/relationships/ctrlProp" Target="../ctrlProps/ctrlProp396.xml"/><Relationship Id="rId158" Type="http://schemas.openxmlformats.org/officeDocument/2006/relationships/ctrlProp" Target="../ctrlProps/ctrlProp417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32" Type="http://schemas.openxmlformats.org/officeDocument/2006/relationships/ctrlProp" Target="../ctrlProps/ctrlProp391.xml"/><Relationship Id="rId153" Type="http://schemas.openxmlformats.org/officeDocument/2006/relationships/ctrlProp" Target="../ctrlProps/ctrlProp412.xml"/><Relationship Id="rId174" Type="http://schemas.openxmlformats.org/officeDocument/2006/relationships/ctrlProp" Target="../ctrlProps/ctrlProp433.xml"/><Relationship Id="rId179" Type="http://schemas.openxmlformats.org/officeDocument/2006/relationships/ctrlProp" Target="../ctrlProps/ctrlProp438.xml"/><Relationship Id="rId195" Type="http://schemas.openxmlformats.org/officeDocument/2006/relationships/ctrlProp" Target="../ctrlProps/ctrlProp454.xml"/><Relationship Id="rId209" Type="http://schemas.openxmlformats.org/officeDocument/2006/relationships/ctrlProp" Target="../ctrlProps/ctrlProp468.xml"/><Relationship Id="rId190" Type="http://schemas.openxmlformats.org/officeDocument/2006/relationships/ctrlProp" Target="../ctrlProps/ctrlProp449.xml"/><Relationship Id="rId204" Type="http://schemas.openxmlformats.org/officeDocument/2006/relationships/ctrlProp" Target="../ctrlProps/ctrlProp463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Relationship Id="rId127" Type="http://schemas.openxmlformats.org/officeDocument/2006/relationships/ctrlProp" Target="../ctrlProps/ctrlProp386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52" Type="http://schemas.openxmlformats.org/officeDocument/2006/relationships/ctrlProp" Target="../ctrlProps/ctrlProp311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122" Type="http://schemas.openxmlformats.org/officeDocument/2006/relationships/ctrlProp" Target="../ctrlProps/ctrlProp381.xml"/><Relationship Id="rId143" Type="http://schemas.openxmlformats.org/officeDocument/2006/relationships/ctrlProp" Target="../ctrlProps/ctrlProp402.xml"/><Relationship Id="rId148" Type="http://schemas.openxmlformats.org/officeDocument/2006/relationships/ctrlProp" Target="../ctrlProps/ctrlProp407.xml"/><Relationship Id="rId164" Type="http://schemas.openxmlformats.org/officeDocument/2006/relationships/ctrlProp" Target="../ctrlProps/ctrlProp423.xml"/><Relationship Id="rId169" Type="http://schemas.openxmlformats.org/officeDocument/2006/relationships/ctrlProp" Target="../ctrlProps/ctrlProp428.xml"/><Relationship Id="rId185" Type="http://schemas.openxmlformats.org/officeDocument/2006/relationships/ctrlProp" Target="../ctrlProps/ctrlProp444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80" Type="http://schemas.openxmlformats.org/officeDocument/2006/relationships/ctrlProp" Target="../ctrlProps/ctrlProp439.xml"/><Relationship Id="rId210" Type="http://schemas.openxmlformats.org/officeDocument/2006/relationships/ctrlProp" Target="../ctrlProps/ctrlProp469.xml"/><Relationship Id="rId215" Type="http://schemas.openxmlformats.org/officeDocument/2006/relationships/ctrlProp" Target="../ctrlProps/ctrlProp474.xml"/><Relationship Id="rId26" Type="http://schemas.openxmlformats.org/officeDocument/2006/relationships/ctrlProp" Target="../ctrlProps/ctrlProp285.xml"/><Relationship Id="rId47" Type="http://schemas.openxmlformats.org/officeDocument/2006/relationships/ctrlProp" Target="../ctrlProps/ctrlProp306.xml"/><Relationship Id="rId68" Type="http://schemas.openxmlformats.org/officeDocument/2006/relationships/ctrlProp" Target="../ctrlProps/ctrlProp327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33" Type="http://schemas.openxmlformats.org/officeDocument/2006/relationships/ctrlProp" Target="../ctrlProps/ctrlProp392.xml"/><Relationship Id="rId154" Type="http://schemas.openxmlformats.org/officeDocument/2006/relationships/ctrlProp" Target="../ctrlProps/ctrlProp413.xml"/><Relationship Id="rId175" Type="http://schemas.openxmlformats.org/officeDocument/2006/relationships/ctrlProp" Target="../ctrlProps/ctrlProp434.xml"/><Relationship Id="rId196" Type="http://schemas.openxmlformats.org/officeDocument/2006/relationships/ctrlProp" Target="../ctrlProps/ctrlProp455.xml"/><Relationship Id="rId200" Type="http://schemas.openxmlformats.org/officeDocument/2006/relationships/ctrlProp" Target="../ctrlProps/ctrlProp459.xml"/><Relationship Id="rId16" Type="http://schemas.openxmlformats.org/officeDocument/2006/relationships/ctrlProp" Target="../ctrlProps/ctrlProp275.xml"/><Relationship Id="rId37" Type="http://schemas.openxmlformats.org/officeDocument/2006/relationships/ctrlProp" Target="../ctrlProps/ctrlProp296.xml"/><Relationship Id="rId58" Type="http://schemas.openxmlformats.org/officeDocument/2006/relationships/ctrlProp" Target="../ctrlProps/ctrlProp317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123" Type="http://schemas.openxmlformats.org/officeDocument/2006/relationships/ctrlProp" Target="../ctrlProps/ctrlProp382.xml"/><Relationship Id="rId144" Type="http://schemas.openxmlformats.org/officeDocument/2006/relationships/ctrlProp" Target="../ctrlProps/ctrlProp403.xml"/><Relationship Id="rId90" Type="http://schemas.openxmlformats.org/officeDocument/2006/relationships/ctrlProp" Target="../ctrlProps/ctrlProp349.xml"/><Relationship Id="rId165" Type="http://schemas.openxmlformats.org/officeDocument/2006/relationships/ctrlProp" Target="../ctrlProps/ctrlProp424.xml"/><Relationship Id="rId186" Type="http://schemas.openxmlformats.org/officeDocument/2006/relationships/ctrlProp" Target="../ctrlProps/ctrlProp445.xml"/><Relationship Id="rId211" Type="http://schemas.openxmlformats.org/officeDocument/2006/relationships/ctrlProp" Target="../ctrlProps/ctrlProp470.xml"/><Relationship Id="rId27" Type="http://schemas.openxmlformats.org/officeDocument/2006/relationships/ctrlProp" Target="../ctrlProps/ctrlProp286.xml"/><Relationship Id="rId48" Type="http://schemas.openxmlformats.org/officeDocument/2006/relationships/ctrlProp" Target="../ctrlProps/ctrlProp307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134" Type="http://schemas.openxmlformats.org/officeDocument/2006/relationships/ctrlProp" Target="../ctrlProps/ctrlProp393.xml"/><Relationship Id="rId80" Type="http://schemas.openxmlformats.org/officeDocument/2006/relationships/ctrlProp" Target="../ctrlProps/ctrlProp339.xml"/><Relationship Id="rId155" Type="http://schemas.openxmlformats.org/officeDocument/2006/relationships/ctrlProp" Target="../ctrlProps/ctrlProp414.xml"/><Relationship Id="rId176" Type="http://schemas.openxmlformats.org/officeDocument/2006/relationships/ctrlProp" Target="../ctrlProps/ctrlProp435.xml"/><Relationship Id="rId197" Type="http://schemas.openxmlformats.org/officeDocument/2006/relationships/ctrlProp" Target="../ctrlProps/ctrlProp456.xml"/><Relationship Id="rId201" Type="http://schemas.openxmlformats.org/officeDocument/2006/relationships/ctrlProp" Target="../ctrlProps/ctrlProp460.xml"/><Relationship Id="rId17" Type="http://schemas.openxmlformats.org/officeDocument/2006/relationships/ctrlProp" Target="../ctrlProps/ctrlProp276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24" Type="http://schemas.openxmlformats.org/officeDocument/2006/relationships/ctrlProp" Target="../ctrlProps/ctrlProp383.xml"/><Relationship Id="rId70" Type="http://schemas.openxmlformats.org/officeDocument/2006/relationships/ctrlProp" Target="../ctrlProps/ctrlProp329.xml"/><Relationship Id="rId91" Type="http://schemas.openxmlformats.org/officeDocument/2006/relationships/ctrlProp" Target="../ctrlProps/ctrlProp350.xml"/><Relationship Id="rId145" Type="http://schemas.openxmlformats.org/officeDocument/2006/relationships/ctrlProp" Target="../ctrlProps/ctrlProp404.xml"/><Relationship Id="rId166" Type="http://schemas.openxmlformats.org/officeDocument/2006/relationships/ctrlProp" Target="../ctrlProps/ctrlProp425.xml"/><Relationship Id="rId187" Type="http://schemas.openxmlformats.org/officeDocument/2006/relationships/ctrlProp" Target="../ctrlProps/ctrlProp44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1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60" Type="http://schemas.openxmlformats.org/officeDocument/2006/relationships/ctrlProp" Target="../ctrlProps/ctrlProp319.xml"/><Relationship Id="rId81" Type="http://schemas.openxmlformats.org/officeDocument/2006/relationships/ctrlProp" Target="../ctrlProps/ctrlProp340.xml"/><Relationship Id="rId135" Type="http://schemas.openxmlformats.org/officeDocument/2006/relationships/ctrlProp" Target="../ctrlProps/ctrlProp394.xml"/><Relationship Id="rId156" Type="http://schemas.openxmlformats.org/officeDocument/2006/relationships/ctrlProp" Target="../ctrlProps/ctrlProp415.xml"/><Relationship Id="rId177" Type="http://schemas.openxmlformats.org/officeDocument/2006/relationships/ctrlProp" Target="../ctrlProps/ctrlProp436.xml"/><Relationship Id="rId198" Type="http://schemas.openxmlformats.org/officeDocument/2006/relationships/ctrlProp" Target="../ctrlProps/ctrlProp457.xml"/><Relationship Id="rId202" Type="http://schemas.openxmlformats.org/officeDocument/2006/relationships/ctrlProp" Target="../ctrlProps/ctrlProp461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50" Type="http://schemas.openxmlformats.org/officeDocument/2006/relationships/ctrlProp" Target="../ctrlProps/ctrlProp309.xml"/><Relationship Id="rId104" Type="http://schemas.openxmlformats.org/officeDocument/2006/relationships/ctrlProp" Target="../ctrlProps/ctrlProp363.xml"/><Relationship Id="rId125" Type="http://schemas.openxmlformats.org/officeDocument/2006/relationships/ctrlProp" Target="../ctrlProps/ctrlProp384.xml"/><Relationship Id="rId146" Type="http://schemas.openxmlformats.org/officeDocument/2006/relationships/ctrlProp" Target="../ctrlProps/ctrlProp405.xml"/><Relationship Id="rId167" Type="http://schemas.openxmlformats.org/officeDocument/2006/relationships/ctrlProp" Target="../ctrlProps/ctrlProp426.xml"/><Relationship Id="rId188" Type="http://schemas.openxmlformats.org/officeDocument/2006/relationships/ctrlProp" Target="../ctrlProps/ctrlProp447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13" Type="http://schemas.openxmlformats.org/officeDocument/2006/relationships/ctrlProp" Target="../ctrlProps/ctrlProp47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8.xml"/><Relationship Id="rId40" Type="http://schemas.openxmlformats.org/officeDocument/2006/relationships/ctrlProp" Target="../ctrlProps/ctrlProp299.xml"/><Relationship Id="rId115" Type="http://schemas.openxmlformats.org/officeDocument/2006/relationships/ctrlProp" Target="../ctrlProps/ctrlProp374.xml"/><Relationship Id="rId136" Type="http://schemas.openxmlformats.org/officeDocument/2006/relationships/ctrlProp" Target="../ctrlProps/ctrlProp395.xml"/><Relationship Id="rId157" Type="http://schemas.openxmlformats.org/officeDocument/2006/relationships/ctrlProp" Target="../ctrlProps/ctrlProp416.xml"/><Relationship Id="rId178" Type="http://schemas.openxmlformats.org/officeDocument/2006/relationships/ctrlProp" Target="../ctrlProps/ctrlProp437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9" Type="http://schemas.openxmlformats.org/officeDocument/2006/relationships/ctrlProp" Target="../ctrlProps/ctrlProp458.xml"/><Relationship Id="rId203" Type="http://schemas.openxmlformats.org/officeDocument/2006/relationships/ctrlProp" Target="../ctrlProps/ctrlProp4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A3936-E935-4AF0-8609-DD6342CFDCE9}">
  <dimension ref="A1:C377"/>
  <sheetViews>
    <sheetView topLeftCell="A106" workbookViewId="0">
      <selection activeCell="A122" sqref="A122"/>
    </sheetView>
  </sheetViews>
  <sheetFormatPr baseColWidth="10" defaultRowHeight="12.75" x14ac:dyDescent="0.2"/>
  <cols>
    <col min="1" max="1" width="29.5703125" customWidth="1"/>
    <col min="2" max="2" width="44.28515625" customWidth="1"/>
    <col min="3" max="3" width="43.85546875" customWidth="1"/>
  </cols>
  <sheetData>
    <row r="1" spans="1:3" x14ac:dyDescent="0.2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">
      <c r="A133" t="str">
        <f>[1]Taxonomía_General!$B136</f>
        <v>Carinaria</v>
      </c>
      <c r="B133" t="str">
        <f>[1]Taxonomía_General!$K136</f>
        <v>Carinaria Lamarck, 1801</v>
      </c>
      <c r="C133" t="str">
        <f>[1]Taxonomía_General!$C136</f>
        <v>urna:lsid:marinespecies.org:taxname:137746</v>
      </c>
    </row>
    <row r="134" spans="1:3" x14ac:dyDescent="0.2">
      <c r="A134" t="str">
        <f>[1]Taxonomía_General!$B137</f>
        <v>Coscinodiscopsis</v>
      </c>
      <c r="B134" t="str">
        <f>[1]Taxonomía_General!$K137</f>
        <v>Coscinodiscopsis  E.A.Sar &amp; I.Sunesen, 2008</v>
      </c>
      <c r="C134" t="str">
        <f>[1]Taxonomía_General!$C137</f>
        <v>urn:lsid:marinespecies.org:taxname:836539</v>
      </c>
    </row>
    <row r="135" spans="1:3" x14ac:dyDescent="0.2">
      <c r="A135" t="str">
        <f>[1]Taxonomía_General!$B138</f>
        <v>Isopoda</v>
      </c>
      <c r="B135" t="str">
        <f>[1]Taxonomía_General!$K138</f>
        <v>Isopoda Latreille, 1817</v>
      </c>
      <c r="C135" t="str">
        <f>[1]Taxonomía_General!$C138</f>
        <v>urn:lsid:marinespecies.org:taxname:1131</v>
      </c>
    </row>
    <row r="136" spans="1:3" x14ac:dyDescent="0.2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6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75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v>44475</v>
      </c>
      <c r="V5" s="97"/>
      <c r="W5" s="98"/>
      <c r="X5" s="24" t="s">
        <v>30</v>
      </c>
      <c r="Y5" s="99">
        <v>0.67361111111111116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v>44475</v>
      </c>
      <c r="V6" s="97"/>
      <c r="W6" s="98"/>
      <c r="X6" s="24" t="s">
        <v>30</v>
      </c>
      <c r="Y6" s="99">
        <v>0.75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">
        <v>71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25" t="s">
        <v>37</v>
      </c>
      <c r="G13" s="69" t="s">
        <v>14</v>
      </c>
      <c r="H13" s="69"/>
      <c r="I13" s="69"/>
      <c r="J13" s="84">
        <v>4.1104081658581659</v>
      </c>
      <c r="K13" s="84">
        <v>33.17347386232386</v>
      </c>
      <c r="L13" s="69" t="s">
        <v>15</v>
      </c>
      <c r="M13" s="69"/>
      <c r="N13" s="69"/>
      <c r="O13" s="104">
        <v>20</v>
      </c>
      <c r="P13" s="105"/>
      <c r="Q13" s="106"/>
      <c r="R13" s="69" t="s">
        <v>16</v>
      </c>
      <c r="S13" s="69"/>
      <c r="T13" s="69"/>
      <c r="U13" s="74">
        <v>5</v>
      </c>
      <c r="V13" s="74"/>
      <c r="W13" s="69" t="s">
        <v>17</v>
      </c>
      <c r="X13" s="69"/>
      <c r="Y13" s="69"/>
      <c r="Z13" s="69"/>
      <c r="AA13" s="74">
        <v>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25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 t="s">
        <v>57</v>
      </c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59</v>
      </c>
      <c r="B18" s="68"/>
      <c r="C18" s="68"/>
      <c r="D18" s="68"/>
      <c r="E18" s="68"/>
      <c r="F18" s="68"/>
      <c r="G18" s="16">
        <v>-5</v>
      </c>
      <c r="H18" s="16">
        <v>19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39" t="s">
        <v>64</v>
      </c>
      <c r="B19" s="40"/>
      <c r="C19" s="40"/>
      <c r="D19" s="40"/>
      <c r="E19" s="40"/>
      <c r="F19" s="41"/>
      <c r="G19" s="16"/>
      <c r="H19" s="16">
        <v>3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39" t="s">
        <v>60</v>
      </c>
      <c r="B20" s="40"/>
      <c r="C20" s="40"/>
      <c r="D20" s="40"/>
      <c r="E20" s="40"/>
      <c r="F20" s="41"/>
      <c r="G20" s="16"/>
      <c r="H20" s="32">
        <v>8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39" t="s">
        <v>61</v>
      </c>
      <c r="B21" s="40"/>
      <c r="C21" s="40"/>
      <c r="D21" s="40"/>
      <c r="E21" s="40"/>
      <c r="F21" s="41"/>
      <c r="G21" s="16"/>
      <c r="H21" s="16">
        <v>88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 t="s">
        <v>72</v>
      </c>
      <c r="B22" s="40"/>
      <c r="C22" s="40"/>
      <c r="D22" s="40"/>
      <c r="E22" s="40"/>
      <c r="F22" s="41"/>
      <c r="G22" s="32" t="s">
        <v>58</v>
      </c>
      <c r="H22" s="16">
        <v>1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 t="s">
        <v>73</v>
      </c>
      <c r="B23" s="40"/>
      <c r="C23" s="40"/>
      <c r="D23" s="40"/>
      <c r="E23" s="40"/>
      <c r="F23" s="41"/>
      <c r="G23" s="16"/>
      <c r="H23" s="16">
        <v>1</v>
      </c>
      <c r="I23" s="16"/>
      <c r="J23" s="51"/>
      <c r="K23" s="52"/>
      <c r="L23" s="53"/>
      <c r="M23" s="16"/>
      <c r="N23" s="16">
        <v>0</v>
      </c>
      <c r="O23" s="16"/>
      <c r="P23" s="67"/>
      <c r="Q23" s="67"/>
      <c r="R23" s="67"/>
      <c r="S23" s="6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39" t="s">
        <v>67</v>
      </c>
      <c r="B24" s="40"/>
      <c r="C24" s="40"/>
      <c r="D24" s="40"/>
      <c r="E24" s="40"/>
      <c r="F24" s="41"/>
      <c r="G24" s="16"/>
      <c r="H24" s="16">
        <v>89</v>
      </c>
      <c r="I24" s="16"/>
      <c r="J24" s="51"/>
      <c r="K24" s="52"/>
      <c r="L24" s="53"/>
      <c r="M24" s="16"/>
      <c r="N24" s="16">
        <v>0</v>
      </c>
      <c r="O24" s="16"/>
      <c r="P24" s="67"/>
      <c r="Q24" s="67"/>
      <c r="R24" s="67"/>
      <c r="S24" s="6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39" t="s">
        <v>69</v>
      </c>
      <c r="B25" s="40"/>
      <c r="C25" s="40"/>
      <c r="D25" s="40"/>
      <c r="E25" s="40"/>
      <c r="F25" s="41"/>
      <c r="G25" s="16"/>
      <c r="H25" s="16">
        <v>3</v>
      </c>
      <c r="I25" s="16"/>
      <c r="J25" s="71"/>
      <c r="K25" s="72"/>
      <c r="L25" s="73"/>
      <c r="M25" s="16"/>
      <c r="N25" s="16">
        <v>0</v>
      </c>
      <c r="O25" s="16"/>
      <c r="P25" s="67"/>
      <c r="Q25" s="67"/>
      <c r="R25" s="67"/>
      <c r="S25" s="6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39" t="s">
        <v>62</v>
      </c>
      <c r="B26" s="40"/>
      <c r="C26" s="40"/>
      <c r="D26" s="40"/>
      <c r="E26" s="40"/>
      <c r="F26" s="41"/>
      <c r="G26" s="16"/>
      <c r="H26" s="16">
        <v>7</v>
      </c>
      <c r="I26" s="16"/>
      <c r="J26" s="71"/>
      <c r="K26" s="72"/>
      <c r="L26" s="73"/>
      <c r="M26" s="16"/>
      <c r="N26" s="16">
        <v>0</v>
      </c>
      <c r="O26" s="16"/>
      <c r="P26" s="67"/>
      <c r="Q26" s="67"/>
      <c r="R26" s="67"/>
      <c r="S26" s="6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39" t="s">
        <v>63</v>
      </c>
      <c r="B27" s="40"/>
      <c r="C27" s="40"/>
      <c r="D27" s="40"/>
      <c r="E27" s="40"/>
      <c r="F27" s="41"/>
      <c r="G27" s="16"/>
      <c r="H27" s="16">
        <v>23</v>
      </c>
      <c r="I27" s="16"/>
      <c r="J27" s="51"/>
      <c r="K27" s="52"/>
      <c r="L27" s="53"/>
      <c r="M27" s="16"/>
      <c r="N27" s="16">
        <v>0</v>
      </c>
      <c r="O27" s="16"/>
      <c r="P27" s="67"/>
      <c r="Q27" s="67"/>
      <c r="R27" s="67"/>
      <c r="S27" s="6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39" t="s">
        <v>65</v>
      </c>
      <c r="B28" s="40"/>
      <c r="C28" s="40"/>
      <c r="D28" s="40"/>
      <c r="E28" s="40"/>
      <c r="F28" s="41"/>
      <c r="G28" s="16"/>
      <c r="H28" s="16">
        <v>10</v>
      </c>
      <c r="I28" s="16"/>
      <c r="J28" s="51"/>
      <c r="K28" s="52"/>
      <c r="L28" s="53"/>
      <c r="M28" s="16"/>
      <c r="N28" s="16">
        <v>0</v>
      </c>
      <c r="O28" s="16"/>
      <c r="P28" s="67"/>
      <c r="Q28" s="67"/>
      <c r="R28" s="67"/>
      <c r="S28" s="6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39" t="s">
        <v>74</v>
      </c>
      <c r="B29" s="40"/>
      <c r="C29" s="40"/>
      <c r="D29" s="40"/>
      <c r="E29" s="40"/>
      <c r="F29" s="41"/>
      <c r="G29" s="16"/>
      <c r="H29" s="16">
        <v>2</v>
      </c>
      <c r="I29" s="16"/>
      <c r="J29" s="51"/>
      <c r="K29" s="52"/>
      <c r="L29" s="53"/>
      <c r="M29" s="16"/>
      <c r="N29" s="16">
        <v>0</v>
      </c>
      <c r="O29" s="16"/>
      <c r="P29" s="67"/>
      <c r="Q29" s="67"/>
      <c r="R29" s="67"/>
      <c r="S29" s="6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39" t="s">
        <v>68</v>
      </c>
      <c r="B30" s="40"/>
      <c r="C30" s="40"/>
      <c r="D30" s="40"/>
      <c r="E30" s="40"/>
      <c r="F30" s="41"/>
      <c r="G30" s="16"/>
      <c r="H30" s="16">
        <v>16</v>
      </c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 t="s">
        <v>70</v>
      </c>
      <c r="B31" s="68"/>
      <c r="C31" s="68"/>
      <c r="D31" s="68"/>
      <c r="E31" s="68"/>
      <c r="F31" s="68"/>
      <c r="G31" s="16"/>
      <c r="H31" s="16">
        <v>2</v>
      </c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>
        <v>0</v>
      </c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>
        <v>0</v>
      </c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8" zoomScaleNormal="100" zoomScaleSheetLayoutView="110" workbookViewId="0">
      <selection activeCell="A21" sqref="A21:F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37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37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56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f>'Densidad de Grupos'!U5</f>
        <v>44475</v>
      </c>
      <c r="V5" s="97"/>
      <c r="W5" s="98"/>
      <c r="X5" s="24" t="s">
        <v>30</v>
      </c>
      <c r="Y5" s="99">
        <f>'Densidad de Grupos'!Y5</f>
        <v>0.67361111111111116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f>'Densidad de Grupos'!U6</f>
        <v>44475</v>
      </c>
      <c r="V6" s="97"/>
      <c r="W6" s="98"/>
      <c r="X6" s="24" t="s">
        <v>30</v>
      </c>
      <c r="Y6" s="99">
        <f>'Densidad de Grupos'!Y6</f>
        <v>0.75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tr">
        <f>'Densidad de Grupos'!U9</f>
        <v>SP-21-0218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38" t="s">
        <v>37</v>
      </c>
      <c r="G13" s="69" t="s">
        <v>14</v>
      </c>
      <c r="H13" s="69"/>
      <c r="I13" s="69"/>
      <c r="J13" s="111">
        <f>'Densidad de Grupos'!J13</f>
        <v>4.1104081658581659</v>
      </c>
      <c r="K13" s="111"/>
      <c r="L13" s="69" t="s">
        <v>15</v>
      </c>
      <c r="M13" s="69"/>
      <c r="N13" s="69"/>
      <c r="O13" s="104" t="s">
        <v>44</v>
      </c>
      <c r="P13" s="105"/>
      <c r="Q13" s="106"/>
      <c r="R13" s="69" t="s">
        <v>16</v>
      </c>
      <c r="S13" s="69"/>
      <c r="T13" s="69"/>
      <c r="U13" s="74" t="s">
        <v>44</v>
      </c>
      <c r="V13" s="74"/>
      <c r="W13" s="69" t="s">
        <v>17</v>
      </c>
      <c r="X13" s="69"/>
      <c r="Y13" s="69"/>
      <c r="Z13" s="69"/>
      <c r="AA13" s="74" t="s">
        <v>44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38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66</v>
      </c>
      <c r="B18" s="68"/>
      <c r="C18" s="68"/>
      <c r="D18" s="68"/>
      <c r="E18" s="68"/>
      <c r="F18" s="68"/>
      <c r="G18" s="16">
        <v>-5</v>
      </c>
      <c r="H18" s="16">
        <v>2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68"/>
      <c r="B19" s="68"/>
      <c r="C19" s="68"/>
      <c r="D19" s="68"/>
      <c r="E19" s="68"/>
      <c r="F19" s="68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68"/>
      <c r="B20" s="68"/>
      <c r="C20" s="68"/>
      <c r="D20" s="68"/>
      <c r="E20" s="68"/>
      <c r="F20" s="68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68"/>
      <c r="B21" s="68"/>
      <c r="C21" s="68"/>
      <c r="D21" s="68"/>
      <c r="E21" s="68"/>
      <c r="F21" s="68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68"/>
      <c r="B22" s="68"/>
      <c r="C22" s="68"/>
      <c r="D22" s="68"/>
      <c r="E22" s="68"/>
      <c r="F22" s="68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68"/>
      <c r="B23" s="68"/>
      <c r="C23" s="68"/>
      <c r="D23" s="68"/>
      <c r="E23" s="68"/>
      <c r="F23" s="68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68"/>
      <c r="B24" s="68"/>
      <c r="C24" s="68"/>
      <c r="D24" s="68"/>
      <c r="E24" s="68"/>
      <c r="F24" s="68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68"/>
      <c r="B25" s="68"/>
      <c r="C25" s="68"/>
      <c r="D25" s="68"/>
      <c r="E25" s="68"/>
      <c r="F25" s="68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68"/>
      <c r="B26" s="68"/>
      <c r="C26" s="68"/>
      <c r="D26" s="68"/>
      <c r="E26" s="68"/>
      <c r="F26" s="68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68"/>
      <c r="B27" s="68"/>
      <c r="C27" s="68"/>
      <c r="D27" s="68"/>
      <c r="E27" s="68"/>
      <c r="F27" s="68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68"/>
      <c r="B28" s="68"/>
      <c r="C28" s="68"/>
      <c r="D28" s="68"/>
      <c r="E28" s="68"/>
      <c r="F28" s="6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/>
      <c r="B29" s="68"/>
      <c r="C29" s="68"/>
      <c r="D29" s="68"/>
      <c r="E29" s="68"/>
      <c r="F29" s="6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/>
      <c r="B30" s="68"/>
      <c r="C30" s="68"/>
      <c r="D30" s="68"/>
      <c r="E30" s="68"/>
      <c r="F30" s="6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68"/>
      <c r="B33" s="68"/>
      <c r="C33" s="68"/>
      <c r="D33" s="68"/>
      <c r="E33" s="68"/>
      <c r="F33" s="68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68"/>
      <c r="B34" s="68"/>
      <c r="C34" s="68"/>
      <c r="D34" s="68"/>
      <c r="E34" s="68"/>
      <c r="F34" s="68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68"/>
      <c r="B35" s="68"/>
      <c r="C35" s="68"/>
      <c r="D35" s="68"/>
      <c r="E35" s="68"/>
      <c r="F35" s="68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68"/>
      <c r="B36" s="68"/>
      <c r="C36" s="68"/>
      <c r="D36" s="68"/>
      <c r="E36" s="68"/>
      <c r="F36" s="68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68"/>
      <c r="B37" s="68"/>
      <c r="C37" s="68"/>
      <c r="D37" s="68"/>
      <c r="E37" s="68"/>
      <c r="F37" s="68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J2" activeCellId="1" sqref="H2:H15 J2:J15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SP-21-0218</v>
      </c>
      <c r="B2" s="29">
        <f>'Densidad de Grupos'!J13</f>
        <v>4.1104081658581659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19</v>
      </c>
      <c r="I2" s="28">
        <f>((H2*C2)/(F2*B2))*2</f>
        <v>9.2448239850327383</v>
      </c>
      <c r="J2" s="28">
        <f>I2*1000</f>
        <v>9244.8239850327391</v>
      </c>
    </row>
    <row r="3" spans="1:10" x14ac:dyDescent="0.2">
      <c r="A3" s="27" t="str">
        <f>$A$2</f>
        <v>SP-21-0218</v>
      </c>
      <c r="B3" s="29">
        <f>$B$2</f>
        <v>4.1104081658581659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Ostracoda</v>
      </c>
      <c r="H3" s="26">
        <f>'Densidad de Grupos'!H19</f>
        <v>3</v>
      </c>
      <c r="I3" s="28">
        <f t="shared" ref="I3:I65" si="0">((H3*C3)/(F3*B3))*2</f>
        <v>1.459709050268327</v>
      </c>
      <c r="J3" s="28">
        <f t="shared" ref="J3:J65" si="1">I3*1000</f>
        <v>1459.709050268327</v>
      </c>
    </row>
    <row r="4" spans="1:10" x14ac:dyDescent="0.2">
      <c r="A4" s="27" t="str">
        <f t="shared" ref="A4:A65" si="2">$A$2</f>
        <v>SP-21-0218</v>
      </c>
      <c r="B4" s="29">
        <f t="shared" ref="B4:B65" si="3">$B$2</f>
        <v>4.1104081658581659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8</v>
      </c>
      <c r="I4" s="31">
        <f t="shared" si="0"/>
        <v>3.8925574673822054</v>
      </c>
      <c r="J4" s="28">
        <f t="shared" si="1"/>
        <v>3892.5574673822052</v>
      </c>
    </row>
    <row r="5" spans="1:10" x14ac:dyDescent="0.2">
      <c r="A5" s="27" t="str">
        <f t="shared" si="2"/>
        <v>SP-21-0218</v>
      </c>
      <c r="B5" s="29">
        <f t="shared" si="3"/>
        <v>4.1104081658581659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88</v>
      </c>
      <c r="I5" s="28">
        <f t="shared" si="0"/>
        <v>42.818132141204259</v>
      </c>
      <c r="J5" s="28">
        <f t="shared" si="1"/>
        <v>42818.13214120426</v>
      </c>
    </row>
    <row r="6" spans="1:10" x14ac:dyDescent="0.2">
      <c r="A6" s="27" t="str">
        <f t="shared" si="2"/>
        <v>SP-21-0218</v>
      </c>
      <c r="B6" s="29">
        <f t="shared" si="3"/>
        <v>4.1104081658581659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Euphausiacea</v>
      </c>
      <c r="H6" s="26">
        <f>'Densidad de Grupos'!H22</f>
        <v>1</v>
      </c>
      <c r="I6" s="31">
        <f t="shared" si="0"/>
        <v>0.48656968342277568</v>
      </c>
      <c r="J6" s="28">
        <f t="shared" si="1"/>
        <v>486.56968342277565</v>
      </c>
    </row>
    <row r="7" spans="1:10" x14ac:dyDescent="0.2">
      <c r="A7" s="27" t="str">
        <f t="shared" si="2"/>
        <v>SP-21-0218</v>
      </c>
      <c r="B7" s="29">
        <f t="shared" si="3"/>
        <v>4.1104081658581659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Brachiopoda (Lingula)</v>
      </c>
      <c r="H7" s="26">
        <f>'Densidad de Grupos'!H23</f>
        <v>1</v>
      </c>
      <c r="I7" s="31">
        <f t="shared" si="0"/>
        <v>0.48656968342277568</v>
      </c>
      <c r="J7" s="28">
        <f t="shared" si="1"/>
        <v>486.56968342277565</v>
      </c>
    </row>
    <row r="8" spans="1:10" x14ac:dyDescent="0.2">
      <c r="A8" s="27" t="str">
        <f t="shared" si="2"/>
        <v>SP-21-0218</v>
      </c>
      <c r="B8" s="29">
        <f t="shared" si="3"/>
        <v>4.1104081658581659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89</v>
      </c>
      <c r="I8" s="31">
        <f t="shared" si="0"/>
        <v>43.304701824627038</v>
      </c>
      <c r="J8" s="28">
        <f t="shared" si="1"/>
        <v>43304.701824627038</v>
      </c>
    </row>
    <row r="9" spans="1:10" x14ac:dyDescent="0.2">
      <c r="A9" s="27" t="str">
        <f t="shared" si="2"/>
        <v>SP-21-0218</v>
      </c>
      <c r="B9" s="29">
        <f t="shared" si="3"/>
        <v>4.1104081658581659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Mollusca (Limacina)</v>
      </c>
      <c r="H9" s="26">
        <f>'Densidad de Grupos'!H25</f>
        <v>3</v>
      </c>
      <c r="I9" s="31">
        <f t="shared" si="0"/>
        <v>1.459709050268327</v>
      </c>
      <c r="J9" s="28">
        <f t="shared" si="1"/>
        <v>1459.709050268327</v>
      </c>
    </row>
    <row r="10" spans="1:10" x14ac:dyDescent="0.2">
      <c r="A10" s="27" t="str">
        <f t="shared" si="2"/>
        <v>SP-21-0218</v>
      </c>
      <c r="B10" s="29">
        <f t="shared" si="3"/>
        <v>4.1104081658581659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Mollusca (Atlanta)</v>
      </c>
      <c r="H10" s="26">
        <f>'Densidad de Grupos'!H26</f>
        <v>7</v>
      </c>
      <c r="I10" s="31">
        <f t="shared" si="0"/>
        <v>3.4059877839594299</v>
      </c>
      <c r="J10" s="28">
        <f t="shared" si="1"/>
        <v>3405.9877839594301</v>
      </c>
    </row>
    <row r="11" spans="1:10" x14ac:dyDescent="0.2">
      <c r="A11" s="27" t="str">
        <f t="shared" si="2"/>
        <v>SP-21-0218</v>
      </c>
      <c r="B11" s="29">
        <f t="shared" si="3"/>
        <v>4.1104081658581659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Pez (Huevo)</v>
      </c>
      <c r="H11" s="26">
        <f>'Densidad de Grupos'!H27</f>
        <v>23</v>
      </c>
      <c r="I11" s="31">
        <f t="shared" si="0"/>
        <v>11.19110271872384</v>
      </c>
      <c r="J11" s="28">
        <f t="shared" si="1"/>
        <v>11191.10271872384</v>
      </c>
    </row>
    <row r="12" spans="1:10" x14ac:dyDescent="0.2">
      <c r="A12" s="27" t="str">
        <f t="shared" si="2"/>
        <v>SP-21-0218</v>
      </c>
      <c r="B12" s="29">
        <f t="shared" si="3"/>
        <v>4.1104081658581659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Copepoda (Cyclopoida)</v>
      </c>
      <c r="H12" s="26">
        <f>'Densidad de Grupos'!H28</f>
        <v>10</v>
      </c>
      <c r="I12" s="31">
        <f t="shared" si="0"/>
        <v>4.8656968342277569</v>
      </c>
      <c r="J12" s="28">
        <f t="shared" si="1"/>
        <v>4865.6968342277569</v>
      </c>
    </row>
    <row r="13" spans="1:10" x14ac:dyDescent="0.2">
      <c r="A13" s="27" t="str">
        <f t="shared" si="2"/>
        <v>SP-21-0218</v>
      </c>
      <c r="B13" s="29">
        <f t="shared" si="3"/>
        <v>4.1104081658581659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 t="str">
        <f>'Densidad de Grupos'!A29</f>
        <v>Siphonophora (Lensia)</v>
      </c>
      <c r="H13" s="26">
        <f>'Densidad de Grupos'!H29</f>
        <v>2</v>
      </c>
      <c r="I13" s="31">
        <f t="shared" si="0"/>
        <v>0.97313936684555136</v>
      </c>
      <c r="J13" s="28">
        <f t="shared" si="1"/>
        <v>973.13936684555131</v>
      </c>
    </row>
    <row r="14" spans="1:10" x14ac:dyDescent="0.2">
      <c r="A14" s="27" t="str">
        <f t="shared" si="2"/>
        <v>SP-21-0218</v>
      </c>
      <c r="B14" s="29">
        <f t="shared" si="3"/>
        <v>4.1104081658581659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 t="str">
        <f>'Densidad de Grupos'!A30</f>
        <v>Mollusca (Creseis)</v>
      </c>
      <c r="H14" s="26">
        <f>'Densidad de Grupos'!H30</f>
        <v>16</v>
      </c>
      <c r="I14" s="28">
        <f t="shared" si="0"/>
        <v>7.7851149347644109</v>
      </c>
      <c r="J14" s="28">
        <f t="shared" si="1"/>
        <v>7785.1149347644105</v>
      </c>
    </row>
    <row r="15" spans="1:10" x14ac:dyDescent="0.2">
      <c r="A15" s="27" t="str">
        <f t="shared" si="2"/>
        <v>SP-21-0218</v>
      </c>
      <c r="B15" s="29">
        <f t="shared" si="3"/>
        <v>4.1104081658581659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 t="str">
        <f>'Densidad de Grupos'!A31</f>
        <v>Mollusca (Limacina retroversa)</v>
      </c>
      <c r="H15" s="26">
        <f>'Densidad de Grupos'!H31</f>
        <v>2</v>
      </c>
      <c r="I15" s="28">
        <f t="shared" si="0"/>
        <v>0.97313936684555136</v>
      </c>
      <c r="J15" s="28">
        <f t="shared" si="1"/>
        <v>973.13936684555131</v>
      </c>
    </row>
    <row r="16" spans="1:10" x14ac:dyDescent="0.2">
      <c r="A16" s="27" t="str">
        <f t="shared" si="2"/>
        <v>SP-21-0218</v>
      </c>
      <c r="B16" s="29">
        <f t="shared" si="3"/>
        <v>4.1104081658581659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SP-21-0218</v>
      </c>
      <c r="B17" s="29">
        <f t="shared" si="3"/>
        <v>4.1104081658581659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SP-21-0218</v>
      </c>
      <c r="B18" s="29">
        <f t="shared" si="3"/>
        <v>4.1104081658581659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SP-21-0218</v>
      </c>
      <c r="B19" s="29">
        <f t="shared" si="3"/>
        <v>4.1104081658581659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SP-21-0218</v>
      </c>
      <c r="B20" s="29">
        <f t="shared" si="3"/>
        <v>4.1104081658581659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SP-21-0218</v>
      </c>
      <c r="B21" s="34">
        <f t="shared" si="3"/>
        <v>4.1104081658581659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SP-21-0218</v>
      </c>
      <c r="B22" s="29">
        <f t="shared" si="3"/>
        <v>4.1104081658581659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SP-21-0218</v>
      </c>
      <c r="B23" s="29">
        <f t="shared" si="3"/>
        <v>4.1104081658581659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SP-21-0218</v>
      </c>
      <c r="B24" s="29">
        <f t="shared" si="3"/>
        <v>4.1104081658581659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SP-21-0218</v>
      </c>
      <c r="B25" s="29">
        <f t="shared" si="3"/>
        <v>4.1104081658581659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SP-21-0218</v>
      </c>
      <c r="B26" s="29">
        <f t="shared" si="3"/>
        <v>4.1104081658581659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SP-21-0218</v>
      </c>
      <c r="B27" s="29">
        <f t="shared" si="3"/>
        <v>4.1104081658581659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SP-21-0218</v>
      </c>
      <c r="B28" s="29">
        <f t="shared" si="3"/>
        <v>4.1104081658581659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SP-21-0218</v>
      </c>
      <c r="B29" s="29">
        <f t="shared" si="3"/>
        <v>4.1104081658581659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SP-21-0218</v>
      </c>
      <c r="B30" s="29">
        <f t="shared" si="3"/>
        <v>4.1104081658581659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SP-21-0218</v>
      </c>
      <c r="B31" s="29">
        <f t="shared" si="3"/>
        <v>4.1104081658581659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SP-21-0218</v>
      </c>
      <c r="B32" s="29">
        <f t="shared" si="3"/>
        <v>4.1104081658581659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SP-21-0218</v>
      </c>
      <c r="B33" s="29">
        <f t="shared" si="3"/>
        <v>4.1104081658581659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SP-21-0218</v>
      </c>
      <c r="B34" s="29">
        <f t="shared" si="3"/>
        <v>4.1104081658581659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SP-21-0218</v>
      </c>
      <c r="B35" s="29">
        <f t="shared" si="3"/>
        <v>4.1104081658581659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SP-21-0218</v>
      </c>
      <c r="B36" s="29">
        <f t="shared" si="3"/>
        <v>4.1104081658581659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SP-21-0218</v>
      </c>
      <c r="B37" s="29">
        <f t="shared" si="3"/>
        <v>4.1104081658581659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SP-21-0218</v>
      </c>
      <c r="B38" s="29">
        <f t="shared" si="3"/>
        <v>4.1104081658581659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SP-21-0218</v>
      </c>
      <c r="B39" s="29">
        <f t="shared" si="3"/>
        <v>4.1104081658581659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SP-21-0218</v>
      </c>
      <c r="B40" s="29">
        <f t="shared" si="3"/>
        <v>4.1104081658581659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SP-21-0218</v>
      </c>
      <c r="B41" s="34">
        <f t="shared" si="3"/>
        <v>4.1104081658581659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SP-21-0218</v>
      </c>
      <c r="B42" s="29">
        <f t="shared" si="3"/>
        <v>4.1104081658581659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SP-21-0218</v>
      </c>
      <c r="B43" s="29">
        <f t="shared" si="3"/>
        <v>4.1104081658581659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SP-21-0218</v>
      </c>
      <c r="B44" s="29">
        <f t="shared" si="3"/>
        <v>4.1104081658581659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SP-21-0218</v>
      </c>
      <c r="B45" s="29">
        <f t="shared" si="3"/>
        <v>4.1104081658581659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SP-21-0218</v>
      </c>
      <c r="B46" s="29">
        <f t="shared" si="3"/>
        <v>4.1104081658581659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SP-21-0218</v>
      </c>
      <c r="B47" s="29">
        <f t="shared" si="3"/>
        <v>4.1104081658581659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SP-21-0218</v>
      </c>
      <c r="B48" s="29">
        <f t="shared" si="3"/>
        <v>4.1104081658581659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SP-21-0218</v>
      </c>
      <c r="B49" s="29">
        <f t="shared" si="3"/>
        <v>4.1104081658581659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SP-21-0218</v>
      </c>
      <c r="B50" s="29">
        <f t="shared" si="3"/>
        <v>4.1104081658581659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SP-21-0218</v>
      </c>
      <c r="B51" s="29">
        <f t="shared" si="3"/>
        <v>4.1104081658581659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SP-21-0218</v>
      </c>
      <c r="B52" s="29">
        <f t="shared" si="3"/>
        <v>4.1104081658581659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SP-21-0218</v>
      </c>
      <c r="B53" s="29">
        <f t="shared" si="3"/>
        <v>4.1104081658581659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SP-21-0218</v>
      </c>
      <c r="B54" s="29">
        <f t="shared" si="3"/>
        <v>4.1104081658581659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SP-21-0218</v>
      </c>
      <c r="B55" s="29">
        <f t="shared" si="3"/>
        <v>4.1104081658581659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SP-21-0218</v>
      </c>
      <c r="B56" s="29">
        <f t="shared" si="3"/>
        <v>4.1104081658581659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SP-21-0218</v>
      </c>
      <c r="B57" s="29">
        <f t="shared" si="3"/>
        <v>4.1104081658581659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SP-21-0218</v>
      </c>
      <c r="B58" s="29">
        <f t="shared" si="3"/>
        <v>4.1104081658581659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SP-21-0218</v>
      </c>
      <c r="B59" s="29">
        <f t="shared" si="3"/>
        <v>4.1104081658581659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SP-21-0218</v>
      </c>
      <c r="B60" s="29">
        <f t="shared" si="3"/>
        <v>4.1104081658581659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SP-21-0218</v>
      </c>
      <c r="B61" s="34">
        <f t="shared" si="3"/>
        <v>4.1104081658581659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SP-21-0218</v>
      </c>
      <c r="B62" s="29">
        <f t="shared" si="3"/>
        <v>4.1104081658581659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SP-21-0218</v>
      </c>
      <c r="B63" s="29">
        <f t="shared" si="3"/>
        <v>4.1104081658581659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SP-21-0218</v>
      </c>
      <c r="B64" s="29">
        <f t="shared" si="3"/>
        <v>4.1104081658581659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SP-21-0218</v>
      </c>
      <c r="B65" s="29">
        <f t="shared" si="3"/>
        <v>4.1104081658581659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SP-21-0218</v>
      </c>
      <c r="B66" s="29">
        <f t="shared" ref="B66:B81" si="9">$B$2</f>
        <v>4.1104081658581659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SP-21-0218</v>
      </c>
      <c r="B67" s="29">
        <f t="shared" si="9"/>
        <v>4.1104081658581659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SP-21-0218</v>
      </c>
      <c r="B68" s="29">
        <f t="shared" si="9"/>
        <v>4.1104081658581659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SP-21-0218</v>
      </c>
      <c r="B69" s="29">
        <f t="shared" si="9"/>
        <v>4.1104081658581659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SP-21-0218</v>
      </c>
      <c r="B70" s="29">
        <f t="shared" si="9"/>
        <v>4.1104081658581659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SP-21-0218</v>
      </c>
      <c r="B71" s="29">
        <f t="shared" si="9"/>
        <v>4.1104081658581659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SP-21-0218</v>
      </c>
      <c r="B72" s="29">
        <f t="shared" si="9"/>
        <v>4.1104081658581659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SP-21-0218</v>
      </c>
      <c r="B73" s="29">
        <f t="shared" si="9"/>
        <v>4.1104081658581659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SP-21-0218</v>
      </c>
      <c r="B74" s="29">
        <f t="shared" si="9"/>
        <v>4.1104081658581659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SP-21-0218</v>
      </c>
      <c r="B75" s="29">
        <f t="shared" si="9"/>
        <v>4.1104081658581659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SP-21-0218</v>
      </c>
      <c r="B76" s="29">
        <f t="shared" si="9"/>
        <v>4.1104081658581659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SP-21-0218</v>
      </c>
      <c r="B77" s="29">
        <f t="shared" si="9"/>
        <v>4.1104081658581659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SP-21-0218</v>
      </c>
      <c r="B78" s="29">
        <f t="shared" si="9"/>
        <v>4.1104081658581659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SP-21-0218</v>
      </c>
      <c r="B79" s="29">
        <f t="shared" si="9"/>
        <v>4.1104081658581659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SP-21-0218</v>
      </c>
      <c r="B80" s="29">
        <f t="shared" si="9"/>
        <v>4.1104081658581659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SP-21-0218</v>
      </c>
      <c r="B81" s="29">
        <f t="shared" si="9"/>
        <v>4.1104081658581659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C1" workbookViewId="0">
      <selection activeCell="J2" activeCellId="1" sqref="H2 J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SP-21-0218</v>
      </c>
      <c r="B2" s="26">
        <f>DOLIOLIDA!J$13</f>
        <v>4.1104081658581659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2</v>
      </c>
      <c r="I2" s="31">
        <f>((H2/B2)*2)</f>
        <v>0.97313936684555147</v>
      </c>
      <c r="J2" s="28">
        <f>((H2/B2)*2)*1000</f>
        <v>973.13936684555142</v>
      </c>
    </row>
    <row r="3" spans="1:10" x14ac:dyDescent="0.2">
      <c r="B3" s="26">
        <f>DOLIOLIDA!J$13</f>
        <v>4.1104081658581659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4.1104081658581659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4.1104081658581659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4.1104081658581659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4.1104081658581659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4.1104081658581659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4.1104081658581659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4.1104081658581659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4.1104081658581659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4.1104081658581659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4.1104081658581659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4.1104081658581659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4.1104081658581659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4.1104081658581659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4.1104081658581659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4.1104081658581659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4.1104081658581659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4.1104081658581659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4.1104081658581659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</vt:lpstr>
      <vt:lpstr>Densidad de Grupos</vt:lpstr>
      <vt:lpstr>DOLIOLIDA</vt:lpstr>
      <vt:lpstr>Cálculos_Densidad_De_Grupos</vt:lpstr>
      <vt:lpstr>Calculos_DOLIOLIDA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2022-02-27T20:54:16Z</dcterms:modified>
</cp:coreProperties>
</file>