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drawings/drawing2.xml" ContentType="application/vnd.openxmlformats-officedocument.drawing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drawings/drawing3.xml" ContentType="application/vnd.openxmlformats-officedocument.drawing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drawings/drawing4.xml" ContentType="application/vnd.openxmlformats-officedocument.drawing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Expedicion_Pacifico\2021\Ictioplancton\Analisis_Exp_Pac\Ictioplancton_ExPacifico2021\01_Analisis_Exploratorio\02_Datos\Biologicos\DarwinCore\DatosBrutos\"/>
    </mc:Choice>
  </mc:AlternateContent>
  <xr:revisionPtr revIDLastSave="0" documentId="13_ncr:1_{A15737FE-8DD1-4D48-B724-3BFDBAC15307}" xr6:coauthVersionLast="47" xr6:coauthVersionMax="47" xr10:uidLastSave="{00000000-0000-0000-0000-000000000000}"/>
  <bookViews>
    <workbookView xWindow="14355" yWindow="2235" windowWidth="21600" windowHeight="11385" xr2:uid="{00000000-000D-0000-FFFF-FFFF00000000}"/>
  </bookViews>
  <sheets>
    <sheet name="Densidad de Grupos (3)" sheetId="17" r:id="rId1"/>
    <sheet name="Densidad de Grupos (2)" sheetId="16" r:id="rId2"/>
    <sheet name="Densidad de Grupos (1)" sheetId="15" r:id="rId3"/>
    <sheet name="Larvas de Peces" sheetId="4" r:id="rId4"/>
    <sheet name="Cálculos_Densidad_De_Grupos" sheetId="5" r:id="rId5"/>
    <sheet name="Cálculos_Larvas_de_Peces" sheetId="6" r:id="rId6"/>
  </sheets>
  <externalReferences>
    <externalReference r:id="rId7"/>
    <externalReference r:id="rId8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" i="6" l="1"/>
  <c r="G2" i="6"/>
  <c r="E2" i="6"/>
  <c r="D2" i="6"/>
  <c r="C2" i="6"/>
  <c r="B2" i="6"/>
  <c r="A2" i="6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2" i="5"/>
  <c r="E2" i="5"/>
  <c r="D2" i="5"/>
  <c r="C2" i="5"/>
  <c r="B2" i="5"/>
  <c r="J2" i="6" l="1"/>
  <c r="A2" i="5"/>
  <c r="A3" i="5" s="1"/>
  <c r="F2" i="6"/>
  <c r="G81" i="5"/>
  <c r="G80" i="5"/>
  <c r="G79" i="5"/>
  <c r="G78" i="5"/>
  <c r="G77" i="5"/>
  <c r="G76" i="5"/>
  <c r="G75" i="5"/>
  <c r="G74" i="5"/>
  <c r="G73" i="5"/>
  <c r="G72" i="5"/>
  <c r="G71" i="5"/>
  <c r="G70" i="5"/>
  <c r="G69" i="5"/>
  <c r="G68" i="5"/>
  <c r="G67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D23" i="5"/>
  <c r="G22" i="5"/>
  <c r="G21" i="5"/>
  <c r="G20" i="5"/>
  <c r="G19" i="5"/>
  <c r="D19" i="5"/>
  <c r="B12" i="5"/>
  <c r="B11" i="5"/>
  <c r="B10" i="5"/>
  <c r="B9" i="5"/>
  <c r="B8" i="5"/>
  <c r="B7" i="5"/>
  <c r="B6" i="5"/>
  <c r="B5" i="5"/>
  <c r="B4" i="5"/>
  <c r="D3" i="5"/>
  <c r="C3" i="5"/>
  <c r="F2" i="5"/>
  <c r="D21" i="5"/>
  <c r="C22" i="5"/>
  <c r="I2" i="6" l="1"/>
  <c r="F81" i="5"/>
  <c r="F80" i="5"/>
  <c r="F78" i="5"/>
  <c r="F76" i="5"/>
  <c r="F74" i="5"/>
  <c r="F72" i="5"/>
  <c r="F70" i="5"/>
  <c r="F68" i="5"/>
  <c r="F66" i="5"/>
  <c r="F64" i="5"/>
  <c r="F62" i="5"/>
  <c r="F60" i="5"/>
  <c r="F58" i="5"/>
  <c r="F56" i="5"/>
  <c r="F54" i="5"/>
  <c r="F52" i="5"/>
  <c r="F50" i="5"/>
  <c r="F48" i="5"/>
  <c r="F46" i="5"/>
  <c r="F44" i="5"/>
  <c r="F42" i="5"/>
  <c r="F40" i="5"/>
  <c r="F37" i="5"/>
  <c r="F35" i="5"/>
  <c r="I35" i="5" s="1"/>
  <c r="J35" i="5" s="1"/>
  <c r="F33" i="5"/>
  <c r="F79" i="5"/>
  <c r="F77" i="5"/>
  <c r="F75" i="5"/>
  <c r="F73" i="5"/>
  <c r="F71" i="5"/>
  <c r="F69" i="5"/>
  <c r="F67" i="5"/>
  <c r="F65" i="5"/>
  <c r="F63" i="5"/>
  <c r="F61" i="5"/>
  <c r="F59" i="5"/>
  <c r="F57" i="5"/>
  <c r="F55" i="5"/>
  <c r="F53" i="5"/>
  <c r="F51" i="5"/>
  <c r="F49" i="5"/>
  <c r="F47" i="5"/>
  <c r="F45" i="5"/>
  <c r="F43" i="5"/>
  <c r="F41" i="5"/>
  <c r="F39" i="5"/>
  <c r="F38" i="5"/>
  <c r="F36" i="5"/>
  <c r="F34" i="5"/>
  <c r="F32" i="5"/>
  <c r="F30" i="5"/>
  <c r="F28" i="5"/>
  <c r="F26" i="5"/>
  <c r="F24" i="5"/>
  <c r="F23" i="5"/>
  <c r="F22" i="5"/>
  <c r="F21" i="5"/>
  <c r="F20" i="5"/>
  <c r="F19" i="5"/>
  <c r="F18" i="5"/>
  <c r="F17" i="5"/>
  <c r="F15" i="5"/>
  <c r="F13" i="5"/>
  <c r="F11" i="5"/>
  <c r="F10" i="5"/>
  <c r="F9" i="5"/>
  <c r="F8" i="5"/>
  <c r="F7" i="5"/>
  <c r="F6" i="5"/>
  <c r="F5" i="5"/>
  <c r="F4" i="5"/>
  <c r="F3" i="5"/>
  <c r="F27" i="5"/>
  <c r="I2" i="5"/>
  <c r="J2" i="5" s="1"/>
  <c r="F29" i="5"/>
  <c r="F25" i="5"/>
  <c r="F16" i="5"/>
  <c r="F14" i="5"/>
  <c r="F12" i="5"/>
  <c r="F31" i="5"/>
  <c r="B81" i="5"/>
  <c r="B80" i="5"/>
  <c r="B78" i="5"/>
  <c r="B76" i="5"/>
  <c r="B74" i="5"/>
  <c r="B72" i="5"/>
  <c r="B70" i="5"/>
  <c r="B68" i="5"/>
  <c r="B66" i="5"/>
  <c r="B64" i="5"/>
  <c r="B62" i="5"/>
  <c r="B60" i="5"/>
  <c r="B58" i="5"/>
  <c r="B56" i="5"/>
  <c r="B54" i="5"/>
  <c r="B52" i="5"/>
  <c r="B50" i="5"/>
  <c r="B48" i="5"/>
  <c r="B46" i="5"/>
  <c r="B44" i="5"/>
  <c r="B42" i="5"/>
  <c r="B40" i="5"/>
  <c r="B79" i="5"/>
  <c r="B77" i="5"/>
  <c r="B75" i="5"/>
  <c r="B73" i="5"/>
  <c r="B71" i="5"/>
  <c r="B69" i="5"/>
  <c r="B67" i="5"/>
  <c r="B65" i="5"/>
  <c r="B63" i="5"/>
  <c r="B61" i="5"/>
  <c r="B59" i="5"/>
  <c r="B57" i="5"/>
  <c r="B55" i="5"/>
  <c r="B53" i="5"/>
  <c r="B51" i="5"/>
  <c r="B49" i="5"/>
  <c r="B47" i="5"/>
  <c r="B45" i="5"/>
  <c r="B43" i="5"/>
  <c r="B41" i="5"/>
  <c r="B39" i="5"/>
  <c r="B37" i="5"/>
  <c r="B35" i="5"/>
  <c r="B33" i="5"/>
  <c r="B24" i="5"/>
  <c r="B23" i="5"/>
  <c r="B22" i="5"/>
  <c r="B21" i="5"/>
  <c r="B20" i="5"/>
  <c r="B19" i="5"/>
  <c r="B18" i="5"/>
  <c r="B31" i="5"/>
  <c r="B29" i="5"/>
  <c r="B27" i="5"/>
  <c r="B25" i="5"/>
  <c r="B17" i="5"/>
  <c r="B15" i="5"/>
  <c r="B13" i="5"/>
  <c r="B38" i="5"/>
  <c r="B36" i="5"/>
  <c r="B34" i="5"/>
  <c r="C4" i="5"/>
  <c r="D5" i="5"/>
  <c r="C6" i="5"/>
  <c r="D7" i="5"/>
  <c r="C8" i="5"/>
  <c r="D9" i="5"/>
  <c r="C10" i="5"/>
  <c r="D11" i="5"/>
  <c r="C12" i="5"/>
  <c r="B14" i="5"/>
  <c r="B16" i="5"/>
  <c r="C18" i="5"/>
  <c r="B26" i="5"/>
  <c r="B30" i="5"/>
  <c r="E81" i="5"/>
  <c r="E38" i="5"/>
  <c r="E36" i="5"/>
  <c r="E34" i="5"/>
  <c r="E32" i="5"/>
  <c r="E30" i="5"/>
  <c r="E28" i="5"/>
  <c r="E26" i="5"/>
  <c r="E24" i="5"/>
  <c r="E22" i="5"/>
  <c r="E20" i="5"/>
  <c r="E18" i="5"/>
  <c r="E80" i="5"/>
  <c r="E78" i="5"/>
  <c r="E76" i="5"/>
  <c r="E74" i="5"/>
  <c r="E72" i="5"/>
  <c r="E70" i="5"/>
  <c r="E68" i="5"/>
  <c r="E66" i="5"/>
  <c r="E64" i="5"/>
  <c r="E62" i="5"/>
  <c r="E60" i="5"/>
  <c r="E58" i="5"/>
  <c r="E56" i="5"/>
  <c r="E54" i="5"/>
  <c r="E52" i="5"/>
  <c r="E50" i="5"/>
  <c r="E48" i="5"/>
  <c r="E46" i="5"/>
  <c r="E44" i="5"/>
  <c r="E42" i="5"/>
  <c r="E40" i="5"/>
  <c r="E37" i="5"/>
  <c r="E35" i="5"/>
  <c r="E33" i="5"/>
  <c r="E31" i="5"/>
  <c r="E29" i="5"/>
  <c r="E27" i="5"/>
  <c r="E25" i="5"/>
  <c r="E16" i="5"/>
  <c r="E14" i="5"/>
  <c r="E12" i="5"/>
  <c r="E10" i="5"/>
  <c r="E8" i="5"/>
  <c r="E6" i="5"/>
  <c r="E4" i="5"/>
  <c r="E79" i="5"/>
  <c r="E77" i="5"/>
  <c r="E75" i="5"/>
  <c r="E73" i="5"/>
  <c r="E71" i="5"/>
  <c r="E69" i="5"/>
  <c r="E67" i="5"/>
  <c r="E65" i="5"/>
  <c r="E63" i="5"/>
  <c r="E61" i="5"/>
  <c r="E59" i="5"/>
  <c r="E57" i="5"/>
  <c r="E55" i="5"/>
  <c r="E53" i="5"/>
  <c r="E51" i="5"/>
  <c r="E49" i="5"/>
  <c r="E47" i="5"/>
  <c r="E45" i="5"/>
  <c r="E43" i="5"/>
  <c r="E41" i="5"/>
  <c r="E39" i="5"/>
  <c r="E23" i="5"/>
  <c r="E21" i="5"/>
  <c r="E19" i="5"/>
  <c r="E17" i="5"/>
  <c r="E15" i="5"/>
  <c r="E13" i="5"/>
  <c r="E3" i="5"/>
  <c r="D4" i="5"/>
  <c r="E5" i="5"/>
  <c r="D6" i="5"/>
  <c r="E7" i="5"/>
  <c r="D8" i="5"/>
  <c r="E9" i="5"/>
  <c r="D10" i="5"/>
  <c r="E11" i="5"/>
  <c r="D13" i="5"/>
  <c r="D15" i="5"/>
  <c r="D17" i="5"/>
  <c r="A81" i="5"/>
  <c r="A38" i="5"/>
  <c r="A36" i="5"/>
  <c r="A34" i="5"/>
  <c r="A32" i="5"/>
  <c r="A30" i="5"/>
  <c r="A28" i="5"/>
  <c r="A26" i="5"/>
  <c r="A24" i="5"/>
  <c r="A22" i="5"/>
  <c r="A20" i="5"/>
  <c r="A18" i="5"/>
  <c r="A80" i="5"/>
  <c r="A78" i="5"/>
  <c r="A76" i="5"/>
  <c r="A74" i="5"/>
  <c r="A72" i="5"/>
  <c r="A70" i="5"/>
  <c r="A68" i="5"/>
  <c r="A66" i="5"/>
  <c r="A64" i="5"/>
  <c r="A62" i="5"/>
  <c r="A60" i="5"/>
  <c r="A58" i="5"/>
  <c r="A56" i="5"/>
  <c r="A54" i="5"/>
  <c r="A52" i="5"/>
  <c r="A50" i="5"/>
  <c r="A48" i="5"/>
  <c r="A46" i="5"/>
  <c r="A44" i="5"/>
  <c r="A42" i="5"/>
  <c r="A40" i="5"/>
  <c r="A79" i="5"/>
  <c r="A77" i="5"/>
  <c r="A75" i="5"/>
  <c r="A73" i="5"/>
  <c r="A71" i="5"/>
  <c r="A69" i="5"/>
  <c r="A67" i="5"/>
  <c r="A65" i="5"/>
  <c r="A63" i="5"/>
  <c r="A61" i="5"/>
  <c r="A59" i="5"/>
  <c r="A57" i="5"/>
  <c r="A55" i="5"/>
  <c r="A53" i="5"/>
  <c r="A51" i="5"/>
  <c r="A49" i="5"/>
  <c r="A47" i="5"/>
  <c r="A45" i="5"/>
  <c r="A43" i="5"/>
  <c r="A41" i="5"/>
  <c r="A39" i="5"/>
  <c r="A37" i="5"/>
  <c r="A35" i="5"/>
  <c r="A33" i="5"/>
  <c r="A31" i="5"/>
  <c r="A29" i="5"/>
  <c r="A27" i="5"/>
  <c r="A25" i="5"/>
  <c r="A16" i="5"/>
  <c r="A14" i="5"/>
  <c r="A12" i="5"/>
  <c r="A10" i="5"/>
  <c r="A8" i="5"/>
  <c r="A6" i="5"/>
  <c r="A4" i="5"/>
  <c r="A23" i="5"/>
  <c r="A21" i="5"/>
  <c r="A19" i="5"/>
  <c r="A17" i="5"/>
  <c r="A15" i="5"/>
  <c r="A13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7" i="5"/>
  <c r="C35" i="5"/>
  <c r="C33" i="5"/>
  <c r="C31" i="5"/>
  <c r="C29" i="5"/>
  <c r="C27" i="5"/>
  <c r="C25" i="5"/>
  <c r="C23" i="5"/>
  <c r="C21" i="5"/>
  <c r="C19" i="5"/>
  <c r="C81" i="5"/>
  <c r="C38" i="5"/>
  <c r="C36" i="5"/>
  <c r="C34" i="5"/>
  <c r="C32" i="5"/>
  <c r="C30" i="5"/>
  <c r="C28" i="5"/>
  <c r="C26" i="5"/>
  <c r="C17" i="5"/>
  <c r="C15" i="5"/>
  <c r="C13" i="5"/>
  <c r="C11" i="5"/>
  <c r="C9" i="5"/>
  <c r="C7" i="5"/>
  <c r="I7" i="5" s="1"/>
  <c r="J7" i="5" s="1"/>
  <c r="C5" i="5"/>
  <c r="C16" i="5"/>
  <c r="C14" i="5"/>
  <c r="D81" i="5"/>
  <c r="D79" i="5"/>
  <c r="D77" i="5"/>
  <c r="D75" i="5"/>
  <c r="D73" i="5"/>
  <c r="D71" i="5"/>
  <c r="D69" i="5"/>
  <c r="D67" i="5"/>
  <c r="D65" i="5"/>
  <c r="D63" i="5"/>
  <c r="D61" i="5"/>
  <c r="D59" i="5"/>
  <c r="D57" i="5"/>
  <c r="D55" i="5"/>
  <c r="D53" i="5"/>
  <c r="D51" i="5"/>
  <c r="D49" i="5"/>
  <c r="D47" i="5"/>
  <c r="D45" i="5"/>
  <c r="D43" i="5"/>
  <c r="D41" i="5"/>
  <c r="D39" i="5"/>
  <c r="D38" i="5"/>
  <c r="D36" i="5"/>
  <c r="D34" i="5"/>
  <c r="D31" i="5"/>
  <c r="D29" i="5"/>
  <c r="D27" i="5"/>
  <c r="D25" i="5"/>
  <c r="D80" i="5"/>
  <c r="D78" i="5"/>
  <c r="D76" i="5"/>
  <c r="D74" i="5"/>
  <c r="D72" i="5"/>
  <c r="D70" i="5"/>
  <c r="D68" i="5"/>
  <c r="D66" i="5"/>
  <c r="D64" i="5"/>
  <c r="D62" i="5"/>
  <c r="D60" i="5"/>
  <c r="D58" i="5"/>
  <c r="D56" i="5"/>
  <c r="D54" i="5"/>
  <c r="D52" i="5"/>
  <c r="D50" i="5"/>
  <c r="D48" i="5"/>
  <c r="D46" i="5"/>
  <c r="D44" i="5"/>
  <c r="D42" i="5"/>
  <c r="D40" i="5"/>
  <c r="D37" i="5"/>
  <c r="D35" i="5"/>
  <c r="D33" i="5"/>
  <c r="D16" i="5"/>
  <c r="D14" i="5"/>
  <c r="D12" i="5"/>
  <c r="D32" i="5"/>
  <c r="D30" i="5"/>
  <c r="D28" i="5"/>
  <c r="D26" i="5"/>
  <c r="D24" i="5"/>
  <c r="D22" i="5"/>
  <c r="D20" i="5"/>
  <c r="D18" i="5"/>
  <c r="B3" i="5"/>
  <c r="A5" i="5"/>
  <c r="A7" i="5"/>
  <c r="A9" i="5"/>
  <c r="A11" i="5"/>
  <c r="C20" i="5"/>
  <c r="I22" i="5"/>
  <c r="J22" i="5" s="1"/>
  <c r="C24" i="5"/>
  <c r="B28" i="5"/>
  <c r="B32" i="5"/>
  <c r="I11" i="5" l="1"/>
  <c r="J11" i="5" s="1"/>
  <c r="I27" i="5"/>
  <c r="J27" i="5" s="1"/>
  <c r="I28" i="5"/>
  <c r="J28" i="5" s="1"/>
  <c r="I31" i="5"/>
  <c r="J31" i="5" s="1"/>
  <c r="I18" i="5"/>
  <c r="J18" i="5" s="1"/>
  <c r="I26" i="5"/>
  <c r="J26" i="5" s="1"/>
  <c r="I4" i="5"/>
  <c r="J4" i="5" s="1"/>
  <c r="I36" i="5"/>
  <c r="J36" i="5" s="1"/>
  <c r="I21" i="5"/>
  <c r="J21" i="5" s="1"/>
  <c r="I6" i="5"/>
  <c r="J6" i="5" s="1"/>
  <c r="I34" i="5"/>
  <c r="J34" i="5" s="1"/>
  <c r="I8" i="5"/>
  <c r="J8" i="5" s="1"/>
  <c r="I19" i="5"/>
  <c r="J19" i="5" s="1"/>
  <c r="I45" i="5"/>
  <c r="J45" i="5" s="1"/>
  <c r="I53" i="5"/>
  <c r="J53" i="5" s="1"/>
  <c r="I61" i="5"/>
  <c r="J61" i="5" s="1"/>
  <c r="I69" i="5"/>
  <c r="J69" i="5" s="1"/>
  <c r="I77" i="5"/>
  <c r="J77" i="5" s="1"/>
  <c r="I20" i="5"/>
  <c r="J20" i="5" s="1"/>
  <c r="I5" i="5"/>
  <c r="J5" i="5" s="1"/>
  <c r="I13" i="5"/>
  <c r="J13" i="5" s="1"/>
  <c r="I12" i="5"/>
  <c r="J12" i="5" s="1"/>
  <c r="I15" i="5"/>
  <c r="J15" i="5" s="1"/>
  <c r="I39" i="5"/>
  <c r="J39" i="5" s="1"/>
  <c r="I47" i="5"/>
  <c r="J47" i="5" s="1"/>
  <c r="I55" i="5"/>
  <c r="J55" i="5" s="1"/>
  <c r="I63" i="5"/>
  <c r="J63" i="5" s="1"/>
  <c r="I71" i="5"/>
  <c r="J71" i="5" s="1"/>
  <c r="I79" i="5"/>
  <c r="J79" i="5" s="1"/>
  <c r="I24" i="5"/>
  <c r="J24" i="5" s="1"/>
  <c r="I14" i="5"/>
  <c r="J14" i="5" s="1"/>
  <c r="I9" i="5"/>
  <c r="J9" i="5" s="1"/>
  <c r="I17" i="5"/>
  <c r="J17" i="5" s="1"/>
  <c r="I33" i="5"/>
  <c r="J33" i="5" s="1"/>
  <c r="I40" i="5"/>
  <c r="J40" i="5" s="1"/>
  <c r="I48" i="5"/>
  <c r="J48" i="5" s="1"/>
  <c r="I56" i="5"/>
  <c r="J56" i="5" s="1"/>
  <c r="I64" i="5"/>
  <c r="J64" i="5" s="1"/>
  <c r="I72" i="5"/>
  <c r="J72" i="5" s="1"/>
  <c r="I80" i="5"/>
  <c r="J80" i="5" s="1"/>
  <c r="I10" i="5"/>
  <c r="J10" i="5" s="1"/>
  <c r="I25" i="5"/>
  <c r="J25" i="5" s="1"/>
  <c r="I16" i="5"/>
  <c r="J16" i="5" s="1"/>
  <c r="I37" i="5"/>
  <c r="J37" i="5" s="1"/>
  <c r="I29" i="5"/>
  <c r="J29" i="5" s="1"/>
  <c r="I30" i="5"/>
  <c r="J30" i="5" s="1"/>
  <c r="I38" i="5"/>
  <c r="J38" i="5" s="1"/>
  <c r="I23" i="5"/>
  <c r="J23" i="5" s="1"/>
  <c r="I43" i="5"/>
  <c r="J43" i="5" s="1"/>
  <c r="I51" i="5"/>
  <c r="J51" i="5" s="1"/>
  <c r="I59" i="5"/>
  <c r="J59" i="5" s="1"/>
  <c r="I67" i="5"/>
  <c r="J67" i="5" s="1"/>
  <c r="I75" i="5"/>
  <c r="J75" i="5" s="1"/>
  <c r="I32" i="5"/>
  <c r="J32" i="5" s="1"/>
  <c r="I44" i="5"/>
  <c r="J44" i="5" s="1"/>
  <c r="I52" i="5"/>
  <c r="J52" i="5" s="1"/>
  <c r="I60" i="5"/>
  <c r="J60" i="5" s="1"/>
  <c r="I68" i="5"/>
  <c r="J68" i="5" s="1"/>
  <c r="I76" i="5"/>
  <c r="J76" i="5" s="1"/>
  <c r="I3" i="5"/>
  <c r="J3" i="5" s="1"/>
  <c r="I81" i="5"/>
  <c r="J81" i="5" s="1"/>
  <c r="I41" i="5"/>
  <c r="J41" i="5" s="1"/>
  <c r="I49" i="5"/>
  <c r="J49" i="5" s="1"/>
  <c r="I57" i="5"/>
  <c r="J57" i="5" s="1"/>
  <c r="I73" i="5"/>
  <c r="J73" i="5" s="1"/>
  <c r="I65" i="5"/>
  <c r="J65" i="5" s="1"/>
  <c r="I42" i="5"/>
  <c r="J42" i="5" s="1"/>
  <c r="I46" i="5"/>
  <c r="J46" i="5" s="1"/>
  <c r="I50" i="5"/>
  <c r="J50" i="5" s="1"/>
  <c r="I54" i="5"/>
  <c r="J54" i="5" s="1"/>
  <c r="I58" i="5"/>
  <c r="J58" i="5" s="1"/>
  <c r="I62" i="5"/>
  <c r="J62" i="5" s="1"/>
  <c r="I66" i="5"/>
  <c r="J66" i="5" s="1"/>
  <c r="I70" i="5"/>
  <c r="J70" i="5" s="1"/>
  <c r="I74" i="5"/>
  <c r="J74" i="5" s="1"/>
  <c r="I78" i="5"/>
  <c r="J78" i="5" s="1"/>
</calcChain>
</file>

<file path=xl/sharedStrings.xml><?xml version="1.0" encoding="utf-8"?>
<sst xmlns="http://schemas.openxmlformats.org/spreadsheetml/2006/main" count="285" uniqueCount="115">
  <si>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</si>
  <si>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</si>
  <si>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</si>
  <si>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</si>
  <si>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</si>
  <si>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</si>
  <si>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</si>
  <si>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</si>
  <si>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</si>
  <si>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</si>
  <si>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</si>
  <si>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</si>
  <si>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</si>
  <si>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</si>
  <si>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</si>
  <si>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</si>
  <si>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</si>
  <si>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</si>
  <si>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</si>
  <si>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</si>
  <si>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</si>
  <si>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</si>
  <si>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</si>
  <si>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</si>
  <si>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</si>
  <si>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</si>
  <si>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</si>
  <si>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</si>
  <si>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</si>
  <si>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</si>
  <si>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</si>
  <si>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</si>
  <si>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</si>
  <si>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</si>
  <si>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</si>
  <si>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</si>
  <si>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</si>
  <si>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</si>
  <si>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Larvas de peces</t>
  </si>
  <si>
    <t>Christian Bermúdez Rivas</t>
  </si>
  <si>
    <t>Estereoscopio</t>
  </si>
  <si>
    <t>Olympus</t>
  </si>
  <si>
    <t>Cámara Bogorov</t>
  </si>
  <si>
    <t>Conteo Visual</t>
  </si>
  <si>
    <t>SP-20-0719</t>
  </si>
  <si>
    <t>-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</si>
  <si>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</si>
  <si>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</si>
  <si>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</si>
  <si>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</si>
  <si>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</si>
  <si>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</si>
  <si>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</si>
  <si>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</si>
  <si>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</si>
  <si>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</si>
  <si>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004</t>
  </si>
  <si>
    <t>8004060000000000000021013</t>
  </si>
  <si>
    <t>4E41147</t>
  </si>
  <si>
    <t>Volumen Filtrado</t>
  </si>
  <si>
    <t>PLANCTON 
ZOO [    ]   FITO [ X  ]</t>
  </si>
  <si>
    <t>Microscopio invertido</t>
  </si>
  <si>
    <t>Leica</t>
  </si>
  <si>
    <t>DMi1</t>
  </si>
  <si>
    <t>Humberto Luis Quintana-M</t>
  </si>
  <si>
    <t>Recuento cámara completa</t>
  </si>
  <si>
    <t>Serdwick-Rafter</t>
  </si>
  <si>
    <t>Skeletonema constatum</t>
  </si>
  <si>
    <t>Chaetoceros lorenzianus</t>
  </si>
  <si>
    <t>Bacteriastrum hyalinum</t>
  </si>
  <si>
    <t>20 L</t>
  </si>
  <si>
    <t>Chaetoceros danicus</t>
  </si>
  <si>
    <t>84060000000000000032555</t>
  </si>
  <si>
    <t>Chaetoceros sp</t>
  </si>
  <si>
    <t>Chaetoceros diversus</t>
  </si>
  <si>
    <t>Coscinodiscus sp 2</t>
  </si>
  <si>
    <t xml:space="preserve">Coscinodiscus sp </t>
  </si>
  <si>
    <t>Probocia sp</t>
  </si>
  <si>
    <t>Lioloma elongatum</t>
  </si>
  <si>
    <t>Chaetoceros brevis</t>
  </si>
  <si>
    <t>Ditylum brightwellii</t>
  </si>
  <si>
    <t>Expedición-pacifico S05-SP-EPS21-17</t>
  </si>
  <si>
    <t>Chaetoceros peruvianus</t>
  </si>
  <si>
    <t>Bacteriastrum furcatum</t>
  </si>
  <si>
    <t>Tripos armatum</t>
  </si>
  <si>
    <t>Coscinodiscus gigas</t>
  </si>
  <si>
    <t>Guinardia sp</t>
  </si>
  <si>
    <t>Coscinodiscus perforatus</t>
  </si>
  <si>
    <t>Chaetoceros affinis</t>
  </si>
  <si>
    <t>Tripos extensus</t>
  </si>
  <si>
    <t>Trieres chinensis</t>
  </si>
  <si>
    <t>Chaetoceros denticulatus</t>
  </si>
  <si>
    <t xml:space="preserve">Chaetoceros sp </t>
  </si>
  <si>
    <t>Protoperidinium sp 4</t>
  </si>
  <si>
    <t>Tripos declinatum</t>
  </si>
  <si>
    <t>Diatomea pennada</t>
  </si>
  <si>
    <t>Tripos eugrammus</t>
  </si>
  <si>
    <t>Guinardia flaccida</t>
  </si>
  <si>
    <t>Odontella aurita</t>
  </si>
  <si>
    <t>Coscinodispcosis jonesiana</t>
  </si>
  <si>
    <t>Prorocentrum compressum</t>
  </si>
  <si>
    <t>Podolampas bipes</t>
  </si>
  <si>
    <t>Coscinodiscus granii</t>
  </si>
  <si>
    <t>Tripos muelleri</t>
  </si>
  <si>
    <t>Pyrodinium bahamense</t>
  </si>
  <si>
    <t>Protoperidinium pyrum</t>
  </si>
  <si>
    <t>Ornitocercus stenii</t>
  </si>
  <si>
    <t>Litodesmium undulatum</t>
  </si>
  <si>
    <t xml:space="preserve">Phalacroma sp </t>
  </si>
  <si>
    <t>Chaetoceros pseudocurvisetus</t>
  </si>
  <si>
    <t>Neocaliptrella robusta</t>
  </si>
  <si>
    <t>Chaetoceros paradoxus</t>
  </si>
  <si>
    <t>Hemiaulus sinensis</t>
  </si>
  <si>
    <t>Proboscia sp</t>
  </si>
  <si>
    <t>Rhizosolenia imbricata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</si>
</sst>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;@"/>
    <numFmt numFmtId="165" formatCode="0.0000"/>
    <numFmt numFmtId="166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07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7" fillId="0" borderId="0" xfId="1" applyFont="1" applyBorder="1" applyAlignment="1">
      <alignment horizontal="center" vertical="top" wrapText="1"/>
    </xf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2" fontId="2" fillId="0" borderId="0" xfId="1" applyNumberFormat="1"/>
    <xf numFmtId="1" fontId="2" fillId="0" borderId="0" xfId="1" applyNumberFormat="1"/>
    <xf numFmtId="0" fontId="3" fillId="0" borderId="0" xfId="1" applyFont="1" applyAlignment="1">
      <alignment horizontal="center" vertical="center"/>
    </xf>
    <xf numFmtId="14" fontId="2" fillId="0" borderId="0" xfId="1" applyNumberFormat="1" applyAlignment="1">
      <alignment horizontal="center" vertical="center"/>
    </xf>
    <xf numFmtId="0" fontId="2" fillId="0" borderId="0" xfId="1" applyAlignment="1">
      <alignment horizontal="center" vertical="center"/>
    </xf>
    <xf numFmtId="166" fontId="2" fillId="0" borderId="0" xfId="1" applyNumberFormat="1" applyAlignment="1">
      <alignment horizontal="center" vertical="center"/>
    </xf>
    <xf numFmtId="1" fontId="2" fillId="0" borderId="0" xfId="1" applyNumberFormat="1" applyAlignment="1">
      <alignment horizontal="center" vertical="center"/>
    </xf>
    <xf numFmtId="0" fontId="2" fillId="0" borderId="2" xfId="0" applyFont="1" applyBorder="1" applyAlignment="1"/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2" fillId="0" borderId="13" xfId="0" applyFont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 wrapText="1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13" fillId="0" borderId="3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5" fillId="3" borderId="2" xfId="0" applyFont="1" applyFill="1" applyBorder="1" applyAlignment="1">
      <alignment horizontal="center" vertical="center" wrapText="1"/>
    </xf>
    <xf numFmtId="0" fontId="13" fillId="0" borderId="2" xfId="0" applyFont="1" applyBorder="1" applyAlignment="1">
      <alignment horizontal="left" vertical="center"/>
    </xf>
    <xf numFmtId="0" fontId="16" fillId="0" borderId="2" xfId="0" applyFont="1" applyBorder="1" applyAlignment="1">
      <alignment horizontal="left" vertical="center"/>
    </xf>
    <xf numFmtId="0" fontId="16" fillId="0" borderId="2" xfId="0" applyFont="1" applyBorder="1" applyAlignment="1" applyProtection="1">
      <alignment horizontal="left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2" fillId="0" borderId="2" xfId="0" applyFont="1" applyBorder="1" applyAlignment="1" applyProtection="1">
      <alignment horizontal="center" vertical="center"/>
    </xf>
    <xf numFmtId="0" fontId="6" fillId="3" borderId="2" xfId="0" applyFont="1" applyFill="1" applyBorder="1" applyAlignment="1">
      <alignment horizontal="right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165" fontId="2" fillId="0" borderId="3" xfId="0" applyNumberFormat="1" applyFont="1" applyBorder="1" applyAlignment="1" applyProtection="1">
      <alignment horizontal="center" vertical="center"/>
    </xf>
    <xf numFmtId="165" fontId="2" fillId="0" borderId="5" xfId="0" applyNumberFormat="1" applyFont="1" applyBorder="1" applyAlignment="1" applyProtection="1">
      <alignment horizontal="center" vertical="center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49" fontId="21" fillId="0" borderId="2" xfId="0" applyNumberFormat="1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14" fontId="20" fillId="0" borderId="2" xfId="0" applyNumberFormat="1" applyFont="1" applyBorder="1" applyAlignment="1">
      <alignment horizontal="center" vertical="center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2" fillId="0" borderId="2" xfId="0" applyNumberFormat="1" applyFont="1" applyBorder="1" applyAlignment="1" applyProtection="1">
      <alignment horizontal="center" vertical="center"/>
    </xf>
    <xf numFmtId="0" fontId="20" fillId="0" borderId="2" xfId="0" applyFont="1" applyBorder="1" applyAlignment="1">
      <alignment horizontal="center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2" fillId="3" borderId="3" xfId="0" applyFont="1" applyFill="1" applyBorder="1" applyAlignment="1">
      <alignment horizontal="right" vertical="center" wrapText="1"/>
    </xf>
    <xf numFmtId="164" fontId="2" fillId="0" borderId="2" xfId="0" applyNumberFormat="1" applyFont="1" applyBorder="1" applyAlignment="1" applyProtection="1">
      <alignment horizontal="center" vertical="center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0" fontId="7" fillId="0" borderId="0" xfId="1" applyFont="1" applyBorder="1" applyAlignment="1">
      <alignment horizontal="center" vertical="top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49" fontId="2" fillId="0" borderId="2" xfId="0" applyNumberFormat="1" applyFont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11" fontId="2" fillId="0" borderId="2" xfId="0" applyNumberFormat="1" applyFont="1" applyBorder="1" applyAlignment="1" applyProtection="1">
      <alignment horizontal="center" vertical="center"/>
    </xf>
    <xf numFmtId="49" fontId="2" fillId="0" borderId="2" xfId="0" applyNumberFormat="1" applyFont="1" applyBorder="1" applyAlignment="1" applyProtection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0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0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0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0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0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0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0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0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0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0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0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0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0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0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0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0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0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0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0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0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0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0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0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0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0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0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0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0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0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0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0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0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0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0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0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0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0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0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0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0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0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0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0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0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0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0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0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0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0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0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0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0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0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0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0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0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0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0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0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0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0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0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0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0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0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0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0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0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0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0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0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0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0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0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0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0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0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0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0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0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0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0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0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0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0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0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0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0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0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0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0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0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0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0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0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0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0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0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0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0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0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0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0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0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0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0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0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0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0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0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0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0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0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0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0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0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0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0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0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0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0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0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0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0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0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0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0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0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0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0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0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0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0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0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0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0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0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0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0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0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47245" name="Button 141" hidden="1">
              <a:extLst>
                <a:ext uri="{63B3BB69-23CF-44E3-9099-C40C66FF867C}">
                  <a14:compatExt spid="_x0000_s47245"/>
                </a:ext>
                <a:ext uri="{FF2B5EF4-FFF2-40B4-BE49-F238E27FC236}">
                  <a16:creationId xmlns:a16="http://schemas.microsoft.com/office/drawing/2014/main" id="{00000000-0008-0000-0000-00008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47246" name="Button 142" hidden="1">
              <a:extLst>
                <a:ext uri="{63B3BB69-23CF-44E3-9099-C40C66FF867C}">
                  <a14:compatExt spid="_x0000_s47246"/>
                </a:ext>
                <a:ext uri="{FF2B5EF4-FFF2-40B4-BE49-F238E27FC236}">
                  <a16:creationId xmlns:a16="http://schemas.microsoft.com/office/drawing/2014/main" id="{00000000-0008-0000-0000-00008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47247" name="Button 143" hidden="1">
              <a:extLst>
                <a:ext uri="{63B3BB69-23CF-44E3-9099-C40C66FF867C}">
                  <a14:compatExt spid="_x0000_s47247"/>
                </a:ext>
                <a:ext uri="{FF2B5EF4-FFF2-40B4-BE49-F238E27FC236}">
                  <a16:creationId xmlns:a16="http://schemas.microsoft.com/office/drawing/2014/main" id="{00000000-0008-0000-0000-00008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47248" name="Button 144" hidden="1">
              <a:extLst>
                <a:ext uri="{63B3BB69-23CF-44E3-9099-C40C66FF867C}">
                  <a14:compatExt spid="_x0000_s47248"/>
                </a:ext>
                <a:ext uri="{FF2B5EF4-FFF2-40B4-BE49-F238E27FC236}">
                  <a16:creationId xmlns:a16="http://schemas.microsoft.com/office/drawing/2014/main" id="{00000000-0008-0000-0000-00009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47249" name="Button 145" hidden="1">
              <a:extLst>
                <a:ext uri="{63B3BB69-23CF-44E3-9099-C40C66FF867C}">
                  <a14:compatExt spid="_x0000_s47249"/>
                </a:ext>
                <a:ext uri="{FF2B5EF4-FFF2-40B4-BE49-F238E27FC236}">
                  <a16:creationId xmlns:a16="http://schemas.microsoft.com/office/drawing/2014/main" id="{00000000-0008-0000-0000-00009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47250" name="Button 146" hidden="1">
              <a:extLst>
                <a:ext uri="{63B3BB69-23CF-44E3-9099-C40C66FF867C}">
                  <a14:compatExt spid="_x0000_s47250"/>
                </a:ext>
                <a:ext uri="{FF2B5EF4-FFF2-40B4-BE49-F238E27FC236}">
                  <a16:creationId xmlns:a16="http://schemas.microsoft.com/office/drawing/2014/main" id="{00000000-0008-0000-0000-00009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47251" name="Button 147" hidden="1">
              <a:extLst>
                <a:ext uri="{63B3BB69-23CF-44E3-9099-C40C66FF867C}">
                  <a14:compatExt spid="_x0000_s47251"/>
                </a:ext>
                <a:ext uri="{FF2B5EF4-FFF2-40B4-BE49-F238E27FC236}">
                  <a16:creationId xmlns:a16="http://schemas.microsoft.com/office/drawing/2014/main" id="{00000000-0008-0000-0000-00009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47252" name="Button 148" hidden="1">
              <a:extLst>
                <a:ext uri="{63B3BB69-23CF-44E3-9099-C40C66FF867C}">
                  <a14:compatExt spid="_x0000_s47252"/>
                </a:ext>
                <a:ext uri="{FF2B5EF4-FFF2-40B4-BE49-F238E27FC236}">
                  <a16:creationId xmlns:a16="http://schemas.microsoft.com/office/drawing/2014/main" id="{00000000-0008-0000-0000-00009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47253" name="Button 149" hidden="1">
              <a:extLst>
                <a:ext uri="{63B3BB69-23CF-44E3-9099-C40C66FF867C}">
                  <a14:compatExt spid="_x0000_s47253"/>
                </a:ext>
                <a:ext uri="{FF2B5EF4-FFF2-40B4-BE49-F238E27FC236}">
                  <a16:creationId xmlns:a16="http://schemas.microsoft.com/office/drawing/2014/main" id="{00000000-0008-0000-0000-00009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47254" name="Button 150" hidden="1">
              <a:extLst>
                <a:ext uri="{63B3BB69-23CF-44E3-9099-C40C66FF867C}">
                  <a14:compatExt spid="_x0000_s47254"/>
                </a:ext>
                <a:ext uri="{FF2B5EF4-FFF2-40B4-BE49-F238E27FC236}">
                  <a16:creationId xmlns:a16="http://schemas.microsoft.com/office/drawing/2014/main" id="{00000000-0008-0000-0000-00009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47255" name="Button 151" hidden="1">
              <a:extLst>
                <a:ext uri="{63B3BB69-23CF-44E3-9099-C40C66FF867C}">
                  <a14:compatExt spid="_x0000_s47255"/>
                </a:ext>
                <a:ext uri="{FF2B5EF4-FFF2-40B4-BE49-F238E27FC236}">
                  <a16:creationId xmlns:a16="http://schemas.microsoft.com/office/drawing/2014/main" id="{00000000-0008-0000-0000-00009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47256" name="Button 152" hidden="1">
              <a:extLst>
                <a:ext uri="{63B3BB69-23CF-44E3-9099-C40C66FF867C}">
                  <a14:compatExt spid="_x0000_s47256"/>
                </a:ext>
                <a:ext uri="{FF2B5EF4-FFF2-40B4-BE49-F238E27FC236}">
                  <a16:creationId xmlns:a16="http://schemas.microsoft.com/office/drawing/2014/main" id="{00000000-0008-0000-0000-00009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47257" name="Button 153" hidden="1">
              <a:extLst>
                <a:ext uri="{63B3BB69-23CF-44E3-9099-C40C66FF867C}">
                  <a14:compatExt spid="_x0000_s47257"/>
                </a:ext>
                <a:ext uri="{FF2B5EF4-FFF2-40B4-BE49-F238E27FC236}">
                  <a16:creationId xmlns:a16="http://schemas.microsoft.com/office/drawing/2014/main" id="{00000000-0008-0000-0000-00009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47258" name="Button 154" hidden="1">
              <a:extLst>
                <a:ext uri="{63B3BB69-23CF-44E3-9099-C40C66FF867C}">
                  <a14:compatExt spid="_x0000_s47258"/>
                </a:ext>
                <a:ext uri="{FF2B5EF4-FFF2-40B4-BE49-F238E27FC236}">
                  <a16:creationId xmlns:a16="http://schemas.microsoft.com/office/drawing/2014/main" id="{00000000-0008-0000-0000-00009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47259" name="Button 155" hidden="1">
              <a:extLst>
                <a:ext uri="{63B3BB69-23CF-44E3-9099-C40C66FF867C}">
                  <a14:compatExt spid="_x0000_s47259"/>
                </a:ext>
                <a:ext uri="{FF2B5EF4-FFF2-40B4-BE49-F238E27FC236}">
                  <a16:creationId xmlns:a16="http://schemas.microsoft.com/office/drawing/2014/main" id="{00000000-0008-0000-0000-00009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47260" name="Button 156" hidden="1">
              <a:extLst>
                <a:ext uri="{63B3BB69-23CF-44E3-9099-C40C66FF867C}">
                  <a14:compatExt spid="_x0000_s47260"/>
                </a:ext>
                <a:ext uri="{FF2B5EF4-FFF2-40B4-BE49-F238E27FC236}">
                  <a16:creationId xmlns:a16="http://schemas.microsoft.com/office/drawing/2014/main" id="{00000000-0008-0000-0000-00009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47261" name="Button 157" hidden="1">
              <a:extLst>
                <a:ext uri="{63B3BB69-23CF-44E3-9099-C40C66FF867C}">
                  <a14:compatExt spid="_x0000_s47261"/>
                </a:ext>
                <a:ext uri="{FF2B5EF4-FFF2-40B4-BE49-F238E27FC236}">
                  <a16:creationId xmlns:a16="http://schemas.microsoft.com/office/drawing/2014/main" id="{00000000-0008-0000-0000-00009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47262" name="Button 158" hidden="1">
              <a:extLst>
                <a:ext uri="{63B3BB69-23CF-44E3-9099-C40C66FF867C}">
                  <a14:compatExt spid="_x0000_s47262"/>
                </a:ext>
                <a:ext uri="{FF2B5EF4-FFF2-40B4-BE49-F238E27FC236}">
                  <a16:creationId xmlns:a16="http://schemas.microsoft.com/office/drawing/2014/main" id="{00000000-0008-0000-0000-00009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47263" name="Button 159" hidden="1">
              <a:extLst>
                <a:ext uri="{63B3BB69-23CF-44E3-9099-C40C66FF867C}">
                  <a14:compatExt spid="_x0000_s47263"/>
                </a:ext>
                <a:ext uri="{FF2B5EF4-FFF2-40B4-BE49-F238E27FC236}">
                  <a16:creationId xmlns:a16="http://schemas.microsoft.com/office/drawing/2014/main" id="{00000000-0008-0000-0000-00009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47264" name="Button 160" hidden="1">
              <a:extLst>
                <a:ext uri="{63B3BB69-23CF-44E3-9099-C40C66FF867C}">
                  <a14:compatExt spid="_x0000_s47264"/>
                </a:ext>
                <a:ext uri="{FF2B5EF4-FFF2-40B4-BE49-F238E27FC236}">
                  <a16:creationId xmlns:a16="http://schemas.microsoft.com/office/drawing/2014/main" id="{00000000-0008-0000-0000-0000A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7265" name="Button 161" hidden="1">
              <a:extLst>
                <a:ext uri="{63B3BB69-23CF-44E3-9099-C40C66FF867C}">
                  <a14:compatExt spid="_x0000_s47265"/>
                </a:ext>
                <a:ext uri="{FF2B5EF4-FFF2-40B4-BE49-F238E27FC236}">
                  <a16:creationId xmlns:a16="http://schemas.microsoft.com/office/drawing/2014/main" id="{00000000-0008-0000-0000-0000A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7266" name="Button 162" hidden="1">
              <a:extLst>
                <a:ext uri="{63B3BB69-23CF-44E3-9099-C40C66FF867C}">
                  <a14:compatExt spid="_x0000_s47266"/>
                </a:ext>
                <a:ext uri="{FF2B5EF4-FFF2-40B4-BE49-F238E27FC236}">
                  <a16:creationId xmlns:a16="http://schemas.microsoft.com/office/drawing/2014/main" id="{00000000-0008-0000-0000-0000A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7267" name="Button 163" hidden="1">
              <a:extLst>
                <a:ext uri="{63B3BB69-23CF-44E3-9099-C40C66FF867C}">
                  <a14:compatExt spid="_x0000_s47267"/>
                </a:ext>
                <a:ext uri="{FF2B5EF4-FFF2-40B4-BE49-F238E27FC236}">
                  <a16:creationId xmlns:a16="http://schemas.microsoft.com/office/drawing/2014/main" id="{00000000-0008-0000-0000-0000A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47268" name="Button 164" hidden="1">
              <a:extLst>
                <a:ext uri="{63B3BB69-23CF-44E3-9099-C40C66FF867C}">
                  <a14:compatExt spid="_x0000_s47268"/>
                </a:ext>
                <a:ext uri="{FF2B5EF4-FFF2-40B4-BE49-F238E27FC236}">
                  <a16:creationId xmlns:a16="http://schemas.microsoft.com/office/drawing/2014/main" id="{00000000-0008-0000-0000-0000A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47269" name="Button 165" hidden="1">
              <a:extLst>
                <a:ext uri="{63B3BB69-23CF-44E3-9099-C40C66FF867C}">
                  <a14:compatExt spid="_x0000_s47269"/>
                </a:ext>
                <a:ext uri="{FF2B5EF4-FFF2-40B4-BE49-F238E27FC236}">
                  <a16:creationId xmlns:a16="http://schemas.microsoft.com/office/drawing/2014/main" id="{00000000-0008-0000-0000-0000A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47270" name="Button 166" hidden="1">
              <a:extLst>
                <a:ext uri="{63B3BB69-23CF-44E3-9099-C40C66FF867C}">
                  <a14:compatExt spid="_x0000_s47270"/>
                </a:ext>
                <a:ext uri="{FF2B5EF4-FFF2-40B4-BE49-F238E27FC236}">
                  <a16:creationId xmlns:a16="http://schemas.microsoft.com/office/drawing/2014/main" id="{00000000-0008-0000-0000-0000A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47271" name="Button 167" hidden="1">
              <a:extLst>
                <a:ext uri="{63B3BB69-23CF-44E3-9099-C40C66FF867C}">
                  <a14:compatExt spid="_x0000_s47271"/>
                </a:ext>
                <a:ext uri="{FF2B5EF4-FFF2-40B4-BE49-F238E27FC236}">
                  <a16:creationId xmlns:a16="http://schemas.microsoft.com/office/drawing/2014/main" id="{00000000-0008-0000-0000-0000A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47272" name="Button 168" hidden="1">
              <a:extLst>
                <a:ext uri="{63B3BB69-23CF-44E3-9099-C40C66FF867C}">
                  <a14:compatExt spid="_x0000_s47272"/>
                </a:ext>
                <a:ext uri="{FF2B5EF4-FFF2-40B4-BE49-F238E27FC236}">
                  <a16:creationId xmlns:a16="http://schemas.microsoft.com/office/drawing/2014/main" id="{00000000-0008-0000-0000-0000A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47273" name="Button 169" hidden="1">
              <a:extLst>
                <a:ext uri="{63B3BB69-23CF-44E3-9099-C40C66FF867C}">
                  <a14:compatExt spid="_x0000_s47273"/>
                </a:ext>
                <a:ext uri="{FF2B5EF4-FFF2-40B4-BE49-F238E27FC236}">
                  <a16:creationId xmlns:a16="http://schemas.microsoft.com/office/drawing/2014/main" id="{00000000-0008-0000-0000-0000A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47274" name="Button 170" hidden="1">
              <a:extLst>
                <a:ext uri="{63B3BB69-23CF-44E3-9099-C40C66FF867C}">
                  <a14:compatExt spid="_x0000_s47274"/>
                </a:ext>
                <a:ext uri="{FF2B5EF4-FFF2-40B4-BE49-F238E27FC236}">
                  <a16:creationId xmlns:a16="http://schemas.microsoft.com/office/drawing/2014/main" id="{00000000-0008-0000-0000-0000A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47275" name="Button 171" hidden="1">
              <a:extLst>
                <a:ext uri="{63B3BB69-23CF-44E3-9099-C40C66FF867C}">
                  <a14:compatExt spid="_x0000_s47275"/>
                </a:ext>
                <a:ext uri="{FF2B5EF4-FFF2-40B4-BE49-F238E27FC236}">
                  <a16:creationId xmlns:a16="http://schemas.microsoft.com/office/drawing/2014/main" id="{00000000-0008-0000-0000-0000A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47276" name="Button 172" hidden="1">
              <a:extLst>
                <a:ext uri="{63B3BB69-23CF-44E3-9099-C40C66FF867C}">
                  <a14:compatExt spid="_x0000_s47276"/>
                </a:ext>
                <a:ext uri="{FF2B5EF4-FFF2-40B4-BE49-F238E27FC236}">
                  <a16:creationId xmlns:a16="http://schemas.microsoft.com/office/drawing/2014/main" id="{00000000-0008-0000-0000-0000A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47277" name="Button 173" hidden="1">
              <a:extLst>
                <a:ext uri="{63B3BB69-23CF-44E3-9099-C40C66FF867C}">
                  <a14:compatExt spid="_x0000_s47277"/>
                </a:ext>
                <a:ext uri="{FF2B5EF4-FFF2-40B4-BE49-F238E27FC236}">
                  <a16:creationId xmlns:a16="http://schemas.microsoft.com/office/drawing/2014/main" id="{00000000-0008-0000-0000-0000A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47278" name="Button 174" hidden="1">
              <a:extLst>
                <a:ext uri="{63B3BB69-23CF-44E3-9099-C40C66FF867C}">
                  <a14:compatExt spid="_x0000_s47278"/>
                </a:ext>
                <a:ext uri="{FF2B5EF4-FFF2-40B4-BE49-F238E27FC236}">
                  <a16:creationId xmlns:a16="http://schemas.microsoft.com/office/drawing/2014/main" id="{00000000-0008-0000-0000-0000A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47279" name="Button 175" hidden="1">
              <a:extLst>
                <a:ext uri="{63B3BB69-23CF-44E3-9099-C40C66FF867C}">
                  <a14:compatExt spid="_x0000_s47279"/>
                </a:ext>
                <a:ext uri="{FF2B5EF4-FFF2-40B4-BE49-F238E27FC236}">
                  <a16:creationId xmlns:a16="http://schemas.microsoft.com/office/drawing/2014/main" id="{00000000-0008-0000-0000-0000A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47280" name="Button 176" hidden="1">
              <a:extLst>
                <a:ext uri="{63B3BB69-23CF-44E3-9099-C40C66FF867C}">
                  <a14:compatExt spid="_x0000_s47280"/>
                </a:ext>
                <a:ext uri="{FF2B5EF4-FFF2-40B4-BE49-F238E27FC236}">
                  <a16:creationId xmlns:a16="http://schemas.microsoft.com/office/drawing/2014/main" id="{00000000-0008-0000-0000-0000B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47281" name="Button 177" hidden="1">
              <a:extLst>
                <a:ext uri="{63B3BB69-23CF-44E3-9099-C40C66FF867C}">
                  <a14:compatExt spid="_x0000_s47281"/>
                </a:ext>
                <a:ext uri="{FF2B5EF4-FFF2-40B4-BE49-F238E27FC236}">
                  <a16:creationId xmlns:a16="http://schemas.microsoft.com/office/drawing/2014/main" id="{00000000-0008-0000-0000-0000B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47282" name="Button 178" hidden="1">
              <a:extLst>
                <a:ext uri="{63B3BB69-23CF-44E3-9099-C40C66FF867C}">
                  <a14:compatExt spid="_x0000_s47282"/>
                </a:ext>
                <a:ext uri="{FF2B5EF4-FFF2-40B4-BE49-F238E27FC236}">
                  <a16:creationId xmlns:a16="http://schemas.microsoft.com/office/drawing/2014/main" id="{00000000-0008-0000-0000-0000B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47283" name="Button 179" hidden="1">
              <a:extLst>
                <a:ext uri="{63B3BB69-23CF-44E3-9099-C40C66FF867C}">
                  <a14:compatExt spid="_x0000_s47283"/>
                </a:ext>
                <a:ext uri="{FF2B5EF4-FFF2-40B4-BE49-F238E27FC236}">
                  <a16:creationId xmlns:a16="http://schemas.microsoft.com/office/drawing/2014/main" id="{00000000-0008-0000-0000-0000B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47284" name="Button 180" hidden="1">
              <a:extLst>
                <a:ext uri="{63B3BB69-23CF-44E3-9099-C40C66FF867C}">
                  <a14:compatExt spid="_x0000_s47284"/>
                </a:ext>
                <a:ext uri="{FF2B5EF4-FFF2-40B4-BE49-F238E27FC236}">
                  <a16:creationId xmlns:a16="http://schemas.microsoft.com/office/drawing/2014/main" id="{00000000-0008-0000-0000-0000B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47285" name="Button 181" hidden="1">
              <a:extLst>
                <a:ext uri="{63B3BB69-23CF-44E3-9099-C40C66FF867C}">
                  <a14:compatExt spid="_x0000_s47285"/>
                </a:ext>
                <a:ext uri="{FF2B5EF4-FFF2-40B4-BE49-F238E27FC236}">
                  <a16:creationId xmlns:a16="http://schemas.microsoft.com/office/drawing/2014/main" id="{00000000-0008-0000-0000-0000B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47286" name="Button 182" hidden="1">
              <a:extLst>
                <a:ext uri="{63B3BB69-23CF-44E3-9099-C40C66FF867C}">
                  <a14:compatExt spid="_x0000_s47286"/>
                </a:ext>
                <a:ext uri="{FF2B5EF4-FFF2-40B4-BE49-F238E27FC236}">
                  <a16:creationId xmlns:a16="http://schemas.microsoft.com/office/drawing/2014/main" id="{00000000-0008-0000-0000-0000B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47287" name="Button 183" hidden="1">
              <a:extLst>
                <a:ext uri="{63B3BB69-23CF-44E3-9099-C40C66FF867C}">
                  <a14:compatExt spid="_x0000_s47287"/>
                </a:ext>
                <a:ext uri="{FF2B5EF4-FFF2-40B4-BE49-F238E27FC236}">
                  <a16:creationId xmlns:a16="http://schemas.microsoft.com/office/drawing/2014/main" id="{00000000-0008-0000-0000-0000B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47288" name="Button 184" hidden="1">
              <a:extLst>
                <a:ext uri="{63B3BB69-23CF-44E3-9099-C40C66FF867C}">
                  <a14:compatExt spid="_x0000_s47288"/>
                </a:ext>
                <a:ext uri="{FF2B5EF4-FFF2-40B4-BE49-F238E27FC236}">
                  <a16:creationId xmlns:a16="http://schemas.microsoft.com/office/drawing/2014/main" id="{00000000-0008-0000-0000-0000B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47289" name="Button 185" hidden="1">
              <a:extLst>
                <a:ext uri="{63B3BB69-23CF-44E3-9099-C40C66FF867C}">
                  <a14:compatExt spid="_x0000_s47289"/>
                </a:ext>
                <a:ext uri="{FF2B5EF4-FFF2-40B4-BE49-F238E27FC236}">
                  <a16:creationId xmlns:a16="http://schemas.microsoft.com/office/drawing/2014/main" id="{00000000-0008-0000-0000-0000B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47290" name="Button 186" hidden="1">
              <a:extLst>
                <a:ext uri="{63B3BB69-23CF-44E3-9099-C40C66FF867C}">
                  <a14:compatExt spid="_x0000_s47290"/>
                </a:ext>
                <a:ext uri="{FF2B5EF4-FFF2-40B4-BE49-F238E27FC236}">
                  <a16:creationId xmlns:a16="http://schemas.microsoft.com/office/drawing/2014/main" id="{00000000-0008-0000-0000-0000B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47291" name="Button 187" hidden="1">
              <a:extLst>
                <a:ext uri="{63B3BB69-23CF-44E3-9099-C40C66FF867C}">
                  <a14:compatExt spid="_x0000_s47291"/>
                </a:ext>
                <a:ext uri="{FF2B5EF4-FFF2-40B4-BE49-F238E27FC236}">
                  <a16:creationId xmlns:a16="http://schemas.microsoft.com/office/drawing/2014/main" id="{00000000-0008-0000-0000-0000B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47292" name="Button 188" hidden="1">
              <a:extLst>
                <a:ext uri="{63B3BB69-23CF-44E3-9099-C40C66FF867C}">
                  <a14:compatExt spid="_x0000_s47292"/>
                </a:ext>
                <a:ext uri="{FF2B5EF4-FFF2-40B4-BE49-F238E27FC236}">
                  <a16:creationId xmlns:a16="http://schemas.microsoft.com/office/drawing/2014/main" id="{00000000-0008-0000-0000-0000B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47293" name="Button 189" hidden="1">
              <a:extLst>
                <a:ext uri="{63B3BB69-23CF-44E3-9099-C40C66FF867C}">
                  <a14:compatExt spid="_x0000_s47293"/>
                </a:ext>
                <a:ext uri="{FF2B5EF4-FFF2-40B4-BE49-F238E27FC236}">
                  <a16:creationId xmlns:a16="http://schemas.microsoft.com/office/drawing/2014/main" id="{00000000-0008-0000-0000-0000B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47294" name="Button 190" hidden="1">
              <a:extLst>
                <a:ext uri="{63B3BB69-23CF-44E3-9099-C40C66FF867C}">
                  <a14:compatExt spid="_x0000_s47294"/>
                </a:ext>
                <a:ext uri="{FF2B5EF4-FFF2-40B4-BE49-F238E27FC236}">
                  <a16:creationId xmlns:a16="http://schemas.microsoft.com/office/drawing/2014/main" id="{00000000-0008-0000-0000-0000B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47295" name="Button 191" hidden="1">
              <a:extLst>
                <a:ext uri="{63B3BB69-23CF-44E3-9099-C40C66FF867C}">
                  <a14:compatExt spid="_x0000_s47295"/>
                </a:ext>
                <a:ext uri="{FF2B5EF4-FFF2-40B4-BE49-F238E27FC236}">
                  <a16:creationId xmlns:a16="http://schemas.microsoft.com/office/drawing/2014/main" id="{00000000-0008-0000-0000-0000B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47296" name="Button 192" hidden="1">
              <a:extLst>
                <a:ext uri="{63B3BB69-23CF-44E3-9099-C40C66FF867C}">
                  <a14:compatExt spid="_x0000_s47296"/>
                </a:ext>
                <a:ext uri="{FF2B5EF4-FFF2-40B4-BE49-F238E27FC236}">
                  <a16:creationId xmlns:a16="http://schemas.microsoft.com/office/drawing/2014/main" id="{00000000-0008-0000-0000-0000C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47297" name="Button 193" hidden="1">
              <a:extLst>
                <a:ext uri="{63B3BB69-23CF-44E3-9099-C40C66FF867C}">
                  <a14:compatExt spid="_x0000_s47297"/>
                </a:ext>
                <a:ext uri="{FF2B5EF4-FFF2-40B4-BE49-F238E27FC236}">
                  <a16:creationId xmlns:a16="http://schemas.microsoft.com/office/drawing/2014/main" id="{00000000-0008-0000-0000-0000C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47298" name="Button 194" hidden="1">
              <a:extLst>
                <a:ext uri="{63B3BB69-23CF-44E3-9099-C40C66FF867C}">
                  <a14:compatExt spid="_x0000_s47298"/>
                </a:ext>
                <a:ext uri="{FF2B5EF4-FFF2-40B4-BE49-F238E27FC236}">
                  <a16:creationId xmlns:a16="http://schemas.microsoft.com/office/drawing/2014/main" id="{00000000-0008-0000-0000-0000C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47299" name="Button 195" hidden="1">
              <a:extLst>
                <a:ext uri="{63B3BB69-23CF-44E3-9099-C40C66FF867C}">
                  <a14:compatExt spid="_x0000_s47299"/>
                </a:ext>
                <a:ext uri="{FF2B5EF4-FFF2-40B4-BE49-F238E27FC236}">
                  <a16:creationId xmlns:a16="http://schemas.microsoft.com/office/drawing/2014/main" id="{00000000-0008-0000-0000-0000C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47300" name="Button 196" hidden="1">
              <a:extLst>
                <a:ext uri="{63B3BB69-23CF-44E3-9099-C40C66FF867C}">
                  <a14:compatExt spid="_x0000_s47300"/>
                </a:ext>
                <a:ext uri="{FF2B5EF4-FFF2-40B4-BE49-F238E27FC236}">
                  <a16:creationId xmlns:a16="http://schemas.microsoft.com/office/drawing/2014/main" id="{00000000-0008-0000-0000-0000C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47301" name="Button 197" hidden="1">
              <a:extLst>
                <a:ext uri="{63B3BB69-23CF-44E3-9099-C40C66FF867C}">
                  <a14:compatExt spid="_x0000_s47301"/>
                </a:ext>
                <a:ext uri="{FF2B5EF4-FFF2-40B4-BE49-F238E27FC236}">
                  <a16:creationId xmlns:a16="http://schemas.microsoft.com/office/drawing/2014/main" id="{00000000-0008-0000-0000-0000C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47302" name="Button 198" hidden="1">
              <a:extLst>
                <a:ext uri="{63B3BB69-23CF-44E3-9099-C40C66FF867C}">
                  <a14:compatExt spid="_x0000_s47302"/>
                </a:ext>
                <a:ext uri="{FF2B5EF4-FFF2-40B4-BE49-F238E27FC236}">
                  <a16:creationId xmlns:a16="http://schemas.microsoft.com/office/drawing/2014/main" id="{00000000-0008-0000-0000-0000C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47303" name="Button 199" hidden="1">
              <a:extLst>
                <a:ext uri="{63B3BB69-23CF-44E3-9099-C40C66FF867C}">
                  <a14:compatExt spid="_x0000_s47303"/>
                </a:ext>
                <a:ext uri="{FF2B5EF4-FFF2-40B4-BE49-F238E27FC236}">
                  <a16:creationId xmlns:a16="http://schemas.microsoft.com/office/drawing/2014/main" id="{00000000-0008-0000-0000-0000C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47304" name="Button 200" hidden="1">
              <a:extLst>
                <a:ext uri="{63B3BB69-23CF-44E3-9099-C40C66FF867C}">
                  <a14:compatExt spid="_x0000_s47304"/>
                </a:ext>
                <a:ext uri="{FF2B5EF4-FFF2-40B4-BE49-F238E27FC236}">
                  <a16:creationId xmlns:a16="http://schemas.microsoft.com/office/drawing/2014/main" id="{00000000-0008-0000-0000-0000C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47305" name="Button 201" hidden="1">
              <a:extLst>
                <a:ext uri="{63B3BB69-23CF-44E3-9099-C40C66FF867C}">
                  <a14:compatExt spid="_x0000_s47305"/>
                </a:ext>
                <a:ext uri="{FF2B5EF4-FFF2-40B4-BE49-F238E27FC236}">
                  <a16:creationId xmlns:a16="http://schemas.microsoft.com/office/drawing/2014/main" id="{00000000-0008-0000-0000-0000C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47306" name="Button 202" hidden="1">
              <a:extLst>
                <a:ext uri="{63B3BB69-23CF-44E3-9099-C40C66FF867C}">
                  <a14:compatExt spid="_x0000_s47306"/>
                </a:ext>
                <a:ext uri="{FF2B5EF4-FFF2-40B4-BE49-F238E27FC236}">
                  <a16:creationId xmlns:a16="http://schemas.microsoft.com/office/drawing/2014/main" id="{00000000-0008-0000-0000-0000C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47307" name="Button 203" hidden="1">
              <a:extLst>
                <a:ext uri="{63B3BB69-23CF-44E3-9099-C40C66FF867C}">
                  <a14:compatExt spid="_x0000_s47307"/>
                </a:ext>
                <a:ext uri="{FF2B5EF4-FFF2-40B4-BE49-F238E27FC236}">
                  <a16:creationId xmlns:a16="http://schemas.microsoft.com/office/drawing/2014/main" id="{00000000-0008-0000-0000-0000C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47308" name="Button 204" hidden="1">
              <a:extLst>
                <a:ext uri="{63B3BB69-23CF-44E3-9099-C40C66FF867C}">
                  <a14:compatExt spid="_x0000_s47308"/>
                </a:ext>
                <a:ext uri="{FF2B5EF4-FFF2-40B4-BE49-F238E27FC236}">
                  <a16:creationId xmlns:a16="http://schemas.microsoft.com/office/drawing/2014/main" id="{00000000-0008-0000-0000-0000C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47309" name="Button 205" hidden="1">
              <a:extLst>
                <a:ext uri="{63B3BB69-23CF-44E3-9099-C40C66FF867C}">
                  <a14:compatExt spid="_x0000_s47309"/>
                </a:ext>
                <a:ext uri="{FF2B5EF4-FFF2-40B4-BE49-F238E27FC236}">
                  <a16:creationId xmlns:a16="http://schemas.microsoft.com/office/drawing/2014/main" id="{00000000-0008-0000-0000-0000C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47310" name="Button 206" hidden="1">
              <a:extLst>
                <a:ext uri="{63B3BB69-23CF-44E3-9099-C40C66FF867C}">
                  <a14:compatExt spid="_x0000_s47310"/>
                </a:ext>
                <a:ext uri="{FF2B5EF4-FFF2-40B4-BE49-F238E27FC236}">
                  <a16:creationId xmlns:a16="http://schemas.microsoft.com/office/drawing/2014/main" id="{00000000-0008-0000-0000-0000C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47311" name="Button 207" hidden="1">
              <a:extLst>
                <a:ext uri="{63B3BB69-23CF-44E3-9099-C40C66FF867C}">
                  <a14:compatExt spid="_x0000_s47311"/>
                </a:ext>
                <a:ext uri="{FF2B5EF4-FFF2-40B4-BE49-F238E27FC236}">
                  <a16:creationId xmlns:a16="http://schemas.microsoft.com/office/drawing/2014/main" id="{00000000-0008-0000-0000-0000C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47312" name="Button 208" hidden="1">
              <a:extLst>
                <a:ext uri="{63B3BB69-23CF-44E3-9099-C40C66FF867C}">
                  <a14:compatExt spid="_x0000_s47312"/>
                </a:ext>
                <a:ext uri="{FF2B5EF4-FFF2-40B4-BE49-F238E27FC236}">
                  <a16:creationId xmlns:a16="http://schemas.microsoft.com/office/drawing/2014/main" id="{00000000-0008-0000-0000-0000D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47313" name="Button 209" hidden="1">
              <a:extLst>
                <a:ext uri="{63B3BB69-23CF-44E3-9099-C40C66FF867C}">
                  <a14:compatExt spid="_x0000_s47313"/>
                </a:ext>
                <a:ext uri="{FF2B5EF4-FFF2-40B4-BE49-F238E27FC236}">
                  <a16:creationId xmlns:a16="http://schemas.microsoft.com/office/drawing/2014/main" id="{00000000-0008-0000-0000-0000D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47314" name="Button 210" hidden="1">
              <a:extLst>
                <a:ext uri="{63B3BB69-23CF-44E3-9099-C40C66FF867C}">
                  <a14:compatExt spid="_x0000_s47314"/>
                </a:ext>
                <a:ext uri="{FF2B5EF4-FFF2-40B4-BE49-F238E27FC236}">
                  <a16:creationId xmlns:a16="http://schemas.microsoft.com/office/drawing/2014/main" id="{00000000-0008-0000-0000-0000D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47315" name="Button 211" hidden="1">
              <a:extLst>
                <a:ext uri="{63B3BB69-23CF-44E3-9099-C40C66FF867C}">
                  <a14:compatExt spid="_x0000_s47315"/>
                </a:ext>
                <a:ext uri="{FF2B5EF4-FFF2-40B4-BE49-F238E27FC236}">
                  <a16:creationId xmlns:a16="http://schemas.microsoft.com/office/drawing/2014/main" id="{00000000-0008-0000-0000-0000D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47316" name="Button 212" hidden="1">
              <a:extLst>
                <a:ext uri="{63B3BB69-23CF-44E3-9099-C40C66FF867C}">
                  <a14:compatExt spid="_x0000_s47316"/>
                </a:ext>
                <a:ext uri="{FF2B5EF4-FFF2-40B4-BE49-F238E27FC236}">
                  <a16:creationId xmlns:a16="http://schemas.microsoft.com/office/drawing/2014/main" id="{00000000-0008-0000-0000-0000D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1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1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1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1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1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1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1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1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1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1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1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1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1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1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1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1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1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1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1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1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1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1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1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1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1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1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1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1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1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1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1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1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1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1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1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1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1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1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1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1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1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1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1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1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1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1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1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1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1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1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1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1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1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1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1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1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1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1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1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1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1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1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1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1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1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1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1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1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1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1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1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1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1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1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1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1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1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1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1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1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1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1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1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1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1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1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1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1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1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1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1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1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1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1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1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1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1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1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1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1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1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1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1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1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1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1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1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1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1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1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1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1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1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1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1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1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1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1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1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1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1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1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1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1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1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1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1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1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1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1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1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1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1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1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1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1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1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1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1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1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42125" name="Button 141" hidden="1">
              <a:extLst>
                <a:ext uri="{63B3BB69-23CF-44E3-9099-C40C66FF867C}">
                  <a14:compatExt spid="_x0000_s42125"/>
                </a:ext>
                <a:ext uri="{FF2B5EF4-FFF2-40B4-BE49-F238E27FC236}">
                  <a16:creationId xmlns:a16="http://schemas.microsoft.com/office/drawing/2014/main" id="{00000000-0008-0000-0100-00008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42126" name="Button 142" hidden="1">
              <a:extLst>
                <a:ext uri="{63B3BB69-23CF-44E3-9099-C40C66FF867C}">
                  <a14:compatExt spid="_x0000_s42126"/>
                </a:ext>
                <a:ext uri="{FF2B5EF4-FFF2-40B4-BE49-F238E27FC236}">
                  <a16:creationId xmlns:a16="http://schemas.microsoft.com/office/drawing/2014/main" id="{00000000-0008-0000-0100-00008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42127" name="Button 143" hidden="1">
              <a:extLst>
                <a:ext uri="{63B3BB69-23CF-44E3-9099-C40C66FF867C}">
                  <a14:compatExt spid="_x0000_s42127"/>
                </a:ext>
                <a:ext uri="{FF2B5EF4-FFF2-40B4-BE49-F238E27FC236}">
                  <a16:creationId xmlns:a16="http://schemas.microsoft.com/office/drawing/2014/main" id="{00000000-0008-0000-0100-00008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42128" name="Button 144" hidden="1">
              <a:extLst>
                <a:ext uri="{63B3BB69-23CF-44E3-9099-C40C66FF867C}">
                  <a14:compatExt spid="_x0000_s42128"/>
                </a:ext>
                <a:ext uri="{FF2B5EF4-FFF2-40B4-BE49-F238E27FC236}">
                  <a16:creationId xmlns:a16="http://schemas.microsoft.com/office/drawing/2014/main" id="{00000000-0008-0000-0100-00009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42129" name="Button 145" hidden="1">
              <a:extLst>
                <a:ext uri="{63B3BB69-23CF-44E3-9099-C40C66FF867C}">
                  <a14:compatExt spid="_x0000_s42129"/>
                </a:ext>
                <a:ext uri="{FF2B5EF4-FFF2-40B4-BE49-F238E27FC236}">
                  <a16:creationId xmlns:a16="http://schemas.microsoft.com/office/drawing/2014/main" id="{00000000-0008-0000-0100-00009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42130" name="Button 146" hidden="1">
              <a:extLst>
                <a:ext uri="{63B3BB69-23CF-44E3-9099-C40C66FF867C}">
                  <a14:compatExt spid="_x0000_s42130"/>
                </a:ext>
                <a:ext uri="{FF2B5EF4-FFF2-40B4-BE49-F238E27FC236}">
                  <a16:creationId xmlns:a16="http://schemas.microsoft.com/office/drawing/2014/main" id="{00000000-0008-0000-0100-00009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42131" name="Button 147" hidden="1">
              <a:extLst>
                <a:ext uri="{63B3BB69-23CF-44E3-9099-C40C66FF867C}">
                  <a14:compatExt spid="_x0000_s42131"/>
                </a:ext>
                <a:ext uri="{FF2B5EF4-FFF2-40B4-BE49-F238E27FC236}">
                  <a16:creationId xmlns:a16="http://schemas.microsoft.com/office/drawing/2014/main" id="{00000000-0008-0000-0100-00009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42132" name="Button 148" hidden="1">
              <a:extLst>
                <a:ext uri="{63B3BB69-23CF-44E3-9099-C40C66FF867C}">
                  <a14:compatExt spid="_x0000_s42132"/>
                </a:ext>
                <a:ext uri="{FF2B5EF4-FFF2-40B4-BE49-F238E27FC236}">
                  <a16:creationId xmlns:a16="http://schemas.microsoft.com/office/drawing/2014/main" id="{00000000-0008-0000-0100-00009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42133" name="Button 149" hidden="1">
              <a:extLst>
                <a:ext uri="{63B3BB69-23CF-44E3-9099-C40C66FF867C}">
                  <a14:compatExt spid="_x0000_s42133"/>
                </a:ext>
                <a:ext uri="{FF2B5EF4-FFF2-40B4-BE49-F238E27FC236}">
                  <a16:creationId xmlns:a16="http://schemas.microsoft.com/office/drawing/2014/main" id="{00000000-0008-0000-0100-00009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42134" name="Button 150" hidden="1">
              <a:extLst>
                <a:ext uri="{63B3BB69-23CF-44E3-9099-C40C66FF867C}">
                  <a14:compatExt spid="_x0000_s42134"/>
                </a:ext>
                <a:ext uri="{FF2B5EF4-FFF2-40B4-BE49-F238E27FC236}">
                  <a16:creationId xmlns:a16="http://schemas.microsoft.com/office/drawing/2014/main" id="{00000000-0008-0000-0100-00009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42135" name="Button 151" hidden="1">
              <a:extLst>
                <a:ext uri="{63B3BB69-23CF-44E3-9099-C40C66FF867C}">
                  <a14:compatExt spid="_x0000_s42135"/>
                </a:ext>
                <a:ext uri="{FF2B5EF4-FFF2-40B4-BE49-F238E27FC236}">
                  <a16:creationId xmlns:a16="http://schemas.microsoft.com/office/drawing/2014/main" id="{00000000-0008-0000-0100-00009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42136" name="Button 152" hidden="1">
              <a:extLst>
                <a:ext uri="{63B3BB69-23CF-44E3-9099-C40C66FF867C}">
                  <a14:compatExt spid="_x0000_s42136"/>
                </a:ext>
                <a:ext uri="{FF2B5EF4-FFF2-40B4-BE49-F238E27FC236}">
                  <a16:creationId xmlns:a16="http://schemas.microsoft.com/office/drawing/2014/main" id="{00000000-0008-0000-0100-00009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42137" name="Button 153" hidden="1">
              <a:extLst>
                <a:ext uri="{63B3BB69-23CF-44E3-9099-C40C66FF867C}">
                  <a14:compatExt spid="_x0000_s42137"/>
                </a:ext>
                <a:ext uri="{FF2B5EF4-FFF2-40B4-BE49-F238E27FC236}">
                  <a16:creationId xmlns:a16="http://schemas.microsoft.com/office/drawing/2014/main" id="{00000000-0008-0000-0100-00009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42138" name="Button 154" hidden="1">
              <a:extLst>
                <a:ext uri="{63B3BB69-23CF-44E3-9099-C40C66FF867C}">
                  <a14:compatExt spid="_x0000_s42138"/>
                </a:ext>
                <a:ext uri="{FF2B5EF4-FFF2-40B4-BE49-F238E27FC236}">
                  <a16:creationId xmlns:a16="http://schemas.microsoft.com/office/drawing/2014/main" id="{00000000-0008-0000-0100-00009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42139" name="Button 155" hidden="1">
              <a:extLst>
                <a:ext uri="{63B3BB69-23CF-44E3-9099-C40C66FF867C}">
                  <a14:compatExt spid="_x0000_s42139"/>
                </a:ext>
                <a:ext uri="{FF2B5EF4-FFF2-40B4-BE49-F238E27FC236}">
                  <a16:creationId xmlns:a16="http://schemas.microsoft.com/office/drawing/2014/main" id="{00000000-0008-0000-0100-00009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42140" name="Button 156" hidden="1">
              <a:extLst>
                <a:ext uri="{63B3BB69-23CF-44E3-9099-C40C66FF867C}">
                  <a14:compatExt spid="_x0000_s42140"/>
                </a:ext>
                <a:ext uri="{FF2B5EF4-FFF2-40B4-BE49-F238E27FC236}">
                  <a16:creationId xmlns:a16="http://schemas.microsoft.com/office/drawing/2014/main" id="{00000000-0008-0000-0100-00009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42141" name="Button 157" hidden="1">
              <a:extLst>
                <a:ext uri="{63B3BB69-23CF-44E3-9099-C40C66FF867C}">
                  <a14:compatExt spid="_x0000_s42141"/>
                </a:ext>
                <a:ext uri="{FF2B5EF4-FFF2-40B4-BE49-F238E27FC236}">
                  <a16:creationId xmlns:a16="http://schemas.microsoft.com/office/drawing/2014/main" id="{00000000-0008-0000-0100-00009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42142" name="Button 158" hidden="1">
              <a:extLst>
                <a:ext uri="{63B3BB69-23CF-44E3-9099-C40C66FF867C}">
                  <a14:compatExt spid="_x0000_s42142"/>
                </a:ext>
                <a:ext uri="{FF2B5EF4-FFF2-40B4-BE49-F238E27FC236}">
                  <a16:creationId xmlns:a16="http://schemas.microsoft.com/office/drawing/2014/main" id="{00000000-0008-0000-0100-00009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42143" name="Button 159" hidden="1">
              <a:extLst>
                <a:ext uri="{63B3BB69-23CF-44E3-9099-C40C66FF867C}">
                  <a14:compatExt spid="_x0000_s42143"/>
                </a:ext>
                <a:ext uri="{FF2B5EF4-FFF2-40B4-BE49-F238E27FC236}">
                  <a16:creationId xmlns:a16="http://schemas.microsoft.com/office/drawing/2014/main" id="{00000000-0008-0000-0100-00009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42144" name="Button 160" hidden="1">
              <a:extLst>
                <a:ext uri="{63B3BB69-23CF-44E3-9099-C40C66FF867C}">
                  <a14:compatExt spid="_x0000_s42144"/>
                </a:ext>
                <a:ext uri="{FF2B5EF4-FFF2-40B4-BE49-F238E27FC236}">
                  <a16:creationId xmlns:a16="http://schemas.microsoft.com/office/drawing/2014/main" id="{00000000-0008-0000-0100-0000A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2145" name="Button 161" hidden="1">
              <a:extLst>
                <a:ext uri="{63B3BB69-23CF-44E3-9099-C40C66FF867C}">
                  <a14:compatExt spid="_x0000_s42145"/>
                </a:ext>
                <a:ext uri="{FF2B5EF4-FFF2-40B4-BE49-F238E27FC236}">
                  <a16:creationId xmlns:a16="http://schemas.microsoft.com/office/drawing/2014/main" id="{00000000-0008-0000-0100-0000A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2146" name="Button 162" hidden="1">
              <a:extLst>
                <a:ext uri="{63B3BB69-23CF-44E3-9099-C40C66FF867C}">
                  <a14:compatExt spid="_x0000_s42146"/>
                </a:ext>
                <a:ext uri="{FF2B5EF4-FFF2-40B4-BE49-F238E27FC236}">
                  <a16:creationId xmlns:a16="http://schemas.microsoft.com/office/drawing/2014/main" id="{00000000-0008-0000-0100-0000A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2147" name="Button 163" hidden="1">
              <a:extLst>
                <a:ext uri="{63B3BB69-23CF-44E3-9099-C40C66FF867C}">
                  <a14:compatExt spid="_x0000_s42147"/>
                </a:ext>
                <a:ext uri="{FF2B5EF4-FFF2-40B4-BE49-F238E27FC236}">
                  <a16:creationId xmlns:a16="http://schemas.microsoft.com/office/drawing/2014/main" id="{00000000-0008-0000-0100-0000A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42148" name="Button 164" hidden="1">
              <a:extLst>
                <a:ext uri="{63B3BB69-23CF-44E3-9099-C40C66FF867C}">
                  <a14:compatExt spid="_x0000_s42148"/>
                </a:ext>
                <a:ext uri="{FF2B5EF4-FFF2-40B4-BE49-F238E27FC236}">
                  <a16:creationId xmlns:a16="http://schemas.microsoft.com/office/drawing/2014/main" id="{00000000-0008-0000-0100-0000A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42149" name="Button 165" hidden="1">
              <a:extLst>
                <a:ext uri="{63B3BB69-23CF-44E3-9099-C40C66FF867C}">
                  <a14:compatExt spid="_x0000_s42149"/>
                </a:ext>
                <a:ext uri="{FF2B5EF4-FFF2-40B4-BE49-F238E27FC236}">
                  <a16:creationId xmlns:a16="http://schemas.microsoft.com/office/drawing/2014/main" id="{00000000-0008-0000-0100-0000A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42150" name="Button 166" hidden="1">
              <a:extLst>
                <a:ext uri="{63B3BB69-23CF-44E3-9099-C40C66FF867C}">
                  <a14:compatExt spid="_x0000_s42150"/>
                </a:ext>
                <a:ext uri="{FF2B5EF4-FFF2-40B4-BE49-F238E27FC236}">
                  <a16:creationId xmlns:a16="http://schemas.microsoft.com/office/drawing/2014/main" id="{00000000-0008-0000-0100-0000A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42151" name="Button 167" hidden="1">
              <a:extLst>
                <a:ext uri="{63B3BB69-23CF-44E3-9099-C40C66FF867C}">
                  <a14:compatExt spid="_x0000_s42151"/>
                </a:ext>
                <a:ext uri="{FF2B5EF4-FFF2-40B4-BE49-F238E27FC236}">
                  <a16:creationId xmlns:a16="http://schemas.microsoft.com/office/drawing/2014/main" id="{00000000-0008-0000-0100-0000A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42152" name="Button 168" hidden="1">
              <a:extLst>
                <a:ext uri="{63B3BB69-23CF-44E3-9099-C40C66FF867C}">
                  <a14:compatExt spid="_x0000_s42152"/>
                </a:ext>
                <a:ext uri="{FF2B5EF4-FFF2-40B4-BE49-F238E27FC236}">
                  <a16:creationId xmlns:a16="http://schemas.microsoft.com/office/drawing/2014/main" id="{00000000-0008-0000-0100-0000A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42153" name="Button 169" hidden="1">
              <a:extLst>
                <a:ext uri="{63B3BB69-23CF-44E3-9099-C40C66FF867C}">
                  <a14:compatExt spid="_x0000_s42153"/>
                </a:ext>
                <a:ext uri="{FF2B5EF4-FFF2-40B4-BE49-F238E27FC236}">
                  <a16:creationId xmlns:a16="http://schemas.microsoft.com/office/drawing/2014/main" id="{00000000-0008-0000-0100-0000A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42154" name="Button 170" hidden="1">
              <a:extLst>
                <a:ext uri="{63B3BB69-23CF-44E3-9099-C40C66FF867C}">
                  <a14:compatExt spid="_x0000_s42154"/>
                </a:ext>
                <a:ext uri="{FF2B5EF4-FFF2-40B4-BE49-F238E27FC236}">
                  <a16:creationId xmlns:a16="http://schemas.microsoft.com/office/drawing/2014/main" id="{00000000-0008-0000-0100-0000A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42155" name="Button 171" hidden="1">
              <a:extLst>
                <a:ext uri="{63B3BB69-23CF-44E3-9099-C40C66FF867C}">
                  <a14:compatExt spid="_x0000_s42155"/>
                </a:ext>
                <a:ext uri="{FF2B5EF4-FFF2-40B4-BE49-F238E27FC236}">
                  <a16:creationId xmlns:a16="http://schemas.microsoft.com/office/drawing/2014/main" id="{00000000-0008-0000-0100-0000A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42156" name="Button 172" hidden="1">
              <a:extLst>
                <a:ext uri="{63B3BB69-23CF-44E3-9099-C40C66FF867C}">
                  <a14:compatExt spid="_x0000_s42156"/>
                </a:ext>
                <a:ext uri="{FF2B5EF4-FFF2-40B4-BE49-F238E27FC236}">
                  <a16:creationId xmlns:a16="http://schemas.microsoft.com/office/drawing/2014/main" id="{00000000-0008-0000-0100-0000A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42157" name="Button 173" hidden="1">
              <a:extLst>
                <a:ext uri="{63B3BB69-23CF-44E3-9099-C40C66FF867C}">
                  <a14:compatExt spid="_x0000_s42157"/>
                </a:ext>
                <a:ext uri="{FF2B5EF4-FFF2-40B4-BE49-F238E27FC236}">
                  <a16:creationId xmlns:a16="http://schemas.microsoft.com/office/drawing/2014/main" id="{00000000-0008-0000-0100-0000A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42158" name="Button 174" hidden="1">
              <a:extLst>
                <a:ext uri="{63B3BB69-23CF-44E3-9099-C40C66FF867C}">
                  <a14:compatExt spid="_x0000_s42158"/>
                </a:ext>
                <a:ext uri="{FF2B5EF4-FFF2-40B4-BE49-F238E27FC236}">
                  <a16:creationId xmlns:a16="http://schemas.microsoft.com/office/drawing/2014/main" id="{00000000-0008-0000-0100-0000A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42159" name="Button 175" hidden="1">
              <a:extLst>
                <a:ext uri="{63B3BB69-23CF-44E3-9099-C40C66FF867C}">
                  <a14:compatExt spid="_x0000_s42159"/>
                </a:ext>
                <a:ext uri="{FF2B5EF4-FFF2-40B4-BE49-F238E27FC236}">
                  <a16:creationId xmlns:a16="http://schemas.microsoft.com/office/drawing/2014/main" id="{00000000-0008-0000-0100-0000A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42160" name="Button 176" hidden="1">
              <a:extLst>
                <a:ext uri="{63B3BB69-23CF-44E3-9099-C40C66FF867C}">
                  <a14:compatExt spid="_x0000_s42160"/>
                </a:ext>
                <a:ext uri="{FF2B5EF4-FFF2-40B4-BE49-F238E27FC236}">
                  <a16:creationId xmlns:a16="http://schemas.microsoft.com/office/drawing/2014/main" id="{00000000-0008-0000-0100-0000B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42161" name="Button 177" hidden="1">
              <a:extLst>
                <a:ext uri="{63B3BB69-23CF-44E3-9099-C40C66FF867C}">
                  <a14:compatExt spid="_x0000_s42161"/>
                </a:ext>
                <a:ext uri="{FF2B5EF4-FFF2-40B4-BE49-F238E27FC236}">
                  <a16:creationId xmlns:a16="http://schemas.microsoft.com/office/drawing/2014/main" id="{00000000-0008-0000-0100-0000B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42162" name="Button 178" hidden="1">
              <a:extLst>
                <a:ext uri="{63B3BB69-23CF-44E3-9099-C40C66FF867C}">
                  <a14:compatExt spid="_x0000_s42162"/>
                </a:ext>
                <a:ext uri="{FF2B5EF4-FFF2-40B4-BE49-F238E27FC236}">
                  <a16:creationId xmlns:a16="http://schemas.microsoft.com/office/drawing/2014/main" id="{00000000-0008-0000-0100-0000B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42163" name="Button 179" hidden="1">
              <a:extLst>
                <a:ext uri="{63B3BB69-23CF-44E3-9099-C40C66FF867C}">
                  <a14:compatExt spid="_x0000_s42163"/>
                </a:ext>
                <a:ext uri="{FF2B5EF4-FFF2-40B4-BE49-F238E27FC236}">
                  <a16:creationId xmlns:a16="http://schemas.microsoft.com/office/drawing/2014/main" id="{00000000-0008-0000-0100-0000B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42164" name="Button 180" hidden="1">
              <a:extLst>
                <a:ext uri="{63B3BB69-23CF-44E3-9099-C40C66FF867C}">
                  <a14:compatExt spid="_x0000_s42164"/>
                </a:ext>
                <a:ext uri="{FF2B5EF4-FFF2-40B4-BE49-F238E27FC236}">
                  <a16:creationId xmlns:a16="http://schemas.microsoft.com/office/drawing/2014/main" id="{00000000-0008-0000-0100-0000B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42165" name="Button 181" hidden="1">
              <a:extLst>
                <a:ext uri="{63B3BB69-23CF-44E3-9099-C40C66FF867C}">
                  <a14:compatExt spid="_x0000_s42165"/>
                </a:ext>
                <a:ext uri="{FF2B5EF4-FFF2-40B4-BE49-F238E27FC236}">
                  <a16:creationId xmlns:a16="http://schemas.microsoft.com/office/drawing/2014/main" id="{00000000-0008-0000-0100-0000B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42166" name="Button 182" hidden="1">
              <a:extLst>
                <a:ext uri="{63B3BB69-23CF-44E3-9099-C40C66FF867C}">
                  <a14:compatExt spid="_x0000_s42166"/>
                </a:ext>
                <a:ext uri="{FF2B5EF4-FFF2-40B4-BE49-F238E27FC236}">
                  <a16:creationId xmlns:a16="http://schemas.microsoft.com/office/drawing/2014/main" id="{00000000-0008-0000-0100-0000B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42167" name="Button 183" hidden="1">
              <a:extLst>
                <a:ext uri="{63B3BB69-23CF-44E3-9099-C40C66FF867C}">
                  <a14:compatExt spid="_x0000_s42167"/>
                </a:ext>
                <a:ext uri="{FF2B5EF4-FFF2-40B4-BE49-F238E27FC236}">
                  <a16:creationId xmlns:a16="http://schemas.microsoft.com/office/drawing/2014/main" id="{00000000-0008-0000-0100-0000B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42168" name="Button 184" hidden="1">
              <a:extLst>
                <a:ext uri="{63B3BB69-23CF-44E3-9099-C40C66FF867C}">
                  <a14:compatExt spid="_x0000_s42168"/>
                </a:ext>
                <a:ext uri="{FF2B5EF4-FFF2-40B4-BE49-F238E27FC236}">
                  <a16:creationId xmlns:a16="http://schemas.microsoft.com/office/drawing/2014/main" id="{00000000-0008-0000-0100-0000B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42169" name="Button 185" hidden="1">
              <a:extLst>
                <a:ext uri="{63B3BB69-23CF-44E3-9099-C40C66FF867C}">
                  <a14:compatExt spid="_x0000_s42169"/>
                </a:ext>
                <a:ext uri="{FF2B5EF4-FFF2-40B4-BE49-F238E27FC236}">
                  <a16:creationId xmlns:a16="http://schemas.microsoft.com/office/drawing/2014/main" id="{00000000-0008-0000-0100-0000B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42170" name="Button 186" hidden="1">
              <a:extLst>
                <a:ext uri="{63B3BB69-23CF-44E3-9099-C40C66FF867C}">
                  <a14:compatExt spid="_x0000_s42170"/>
                </a:ext>
                <a:ext uri="{FF2B5EF4-FFF2-40B4-BE49-F238E27FC236}">
                  <a16:creationId xmlns:a16="http://schemas.microsoft.com/office/drawing/2014/main" id="{00000000-0008-0000-0100-0000B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42171" name="Button 187" hidden="1">
              <a:extLst>
                <a:ext uri="{63B3BB69-23CF-44E3-9099-C40C66FF867C}">
                  <a14:compatExt spid="_x0000_s42171"/>
                </a:ext>
                <a:ext uri="{FF2B5EF4-FFF2-40B4-BE49-F238E27FC236}">
                  <a16:creationId xmlns:a16="http://schemas.microsoft.com/office/drawing/2014/main" id="{00000000-0008-0000-0100-0000B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42172" name="Button 188" hidden="1">
              <a:extLst>
                <a:ext uri="{63B3BB69-23CF-44E3-9099-C40C66FF867C}">
                  <a14:compatExt spid="_x0000_s42172"/>
                </a:ext>
                <a:ext uri="{FF2B5EF4-FFF2-40B4-BE49-F238E27FC236}">
                  <a16:creationId xmlns:a16="http://schemas.microsoft.com/office/drawing/2014/main" id="{00000000-0008-0000-0100-0000B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42173" name="Button 189" hidden="1">
              <a:extLst>
                <a:ext uri="{63B3BB69-23CF-44E3-9099-C40C66FF867C}">
                  <a14:compatExt spid="_x0000_s42173"/>
                </a:ext>
                <a:ext uri="{FF2B5EF4-FFF2-40B4-BE49-F238E27FC236}">
                  <a16:creationId xmlns:a16="http://schemas.microsoft.com/office/drawing/2014/main" id="{00000000-0008-0000-0100-0000B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42174" name="Button 190" hidden="1">
              <a:extLst>
                <a:ext uri="{63B3BB69-23CF-44E3-9099-C40C66FF867C}">
                  <a14:compatExt spid="_x0000_s42174"/>
                </a:ext>
                <a:ext uri="{FF2B5EF4-FFF2-40B4-BE49-F238E27FC236}">
                  <a16:creationId xmlns:a16="http://schemas.microsoft.com/office/drawing/2014/main" id="{00000000-0008-0000-0100-0000B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42175" name="Button 191" hidden="1">
              <a:extLst>
                <a:ext uri="{63B3BB69-23CF-44E3-9099-C40C66FF867C}">
                  <a14:compatExt spid="_x0000_s42175"/>
                </a:ext>
                <a:ext uri="{FF2B5EF4-FFF2-40B4-BE49-F238E27FC236}">
                  <a16:creationId xmlns:a16="http://schemas.microsoft.com/office/drawing/2014/main" id="{00000000-0008-0000-0100-0000B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42176" name="Button 192" hidden="1">
              <a:extLst>
                <a:ext uri="{63B3BB69-23CF-44E3-9099-C40C66FF867C}">
                  <a14:compatExt spid="_x0000_s42176"/>
                </a:ext>
                <a:ext uri="{FF2B5EF4-FFF2-40B4-BE49-F238E27FC236}">
                  <a16:creationId xmlns:a16="http://schemas.microsoft.com/office/drawing/2014/main" id="{00000000-0008-0000-0100-0000C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42177" name="Button 193" hidden="1">
              <a:extLst>
                <a:ext uri="{63B3BB69-23CF-44E3-9099-C40C66FF867C}">
                  <a14:compatExt spid="_x0000_s42177"/>
                </a:ext>
                <a:ext uri="{FF2B5EF4-FFF2-40B4-BE49-F238E27FC236}">
                  <a16:creationId xmlns:a16="http://schemas.microsoft.com/office/drawing/2014/main" id="{00000000-0008-0000-0100-0000C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42178" name="Button 194" hidden="1">
              <a:extLst>
                <a:ext uri="{63B3BB69-23CF-44E3-9099-C40C66FF867C}">
                  <a14:compatExt spid="_x0000_s42178"/>
                </a:ext>
                <a:ext uri="{FF2B5EF4-FFF2-40B4-BE49-F238E27FC236}">
                  <a16:creationId xmlns:a16="http://schemas.microsoft.com/office/drawing/2014/main" id="{00000000-0008-0000-0100-0000C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42179" name="Button 195" hidden="1">
              <a:extLst>
                <a:ext uri="{63B3BB69-23CF-44E3-9099-C40C66FF867C}">
                  <a14:compatExt spid="_x0000_s42179"/>
                </a:ext>
                <a:ext uri="{FF2B5EF4-FFF2-40B4-BE49-F238E27FC236}">
                  <a16:creationId xmlns:a16="http://schemas.microsoft.com/office/drawing/2014/main" id="{00000000-0008-0000-0100-0000C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42180" name="Button 196" hidden="1">
              <a:extLst>
                <a:ext uri="{63B3BB69-23CF-44E3-9099-C40C66FF867C}">
                  <a14:compatExt spid="_x0000_s42180"/>
                </a:ext>
                <a:ext uri="{FF2B5EF4-FFF2-40B4-BE49-F238E27FC236}">
                  <a16:creationId xmlns:a16="http://schemas.microsoft.com/office/drawing/2014/main" id="{00000000-0008-0000-0100-0000C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42181" name="Button 197" hidden="1">
              <a:extLst>
                <a:ext uri="{63B3BB69-23CF-44E3-9099-C40C66FF867C}">
                  <a14:compatExt spid="_x0000_s42181"/>
                </a:ext>
                <a:ext uri="{FF2B5EF4-FFF2-40B4-BE49-F238E27FC236}">
                  <a16:creationId xmlns:a16="http://schemas.microsoft.com/office/drawing/2014/main" id="{00000000-0008-0000-0100-0000C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42182" name="Button 198" hidden="1">
              <a:extLst>
                <a:ext uri="{63B3BB69-23CF-44E3-9099-C40C66FF867C}">
                  <a14:compatExt spid="_x0000_s42182"/>
                </a:ext>
                <a:ext uri="{FF2B5EF4-FFF2-40B4-BE49-F238E27FC236}">
                  <a16:creationId xmlns:a16="http://schemas.microsoft.com/office/drawing/2014/main" id="{00000000-0008-0000-0100-0000C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42183" name="Button 199" hidden="1">
              <a:extLst>
                <a:ext uri="{63B3BB69-23CF-44E3-9099-C40C66FF867C}">
                  <a14:compatExt spid="_x0000_s42183"/>
                </a:ext>
                <a:ext uri="{FF2B5EF4-FFF2-40B4-BE49-F238E27FC236}">
                  <a16:creationId xmlns:a16="http://schemas.microsoft.com/office/drawing/2014/main" id="{00000000-0008-0000-0100-0000C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42184" name="Button 200" hidden="1">
              <a:extLst>
                <a:ext uri="{63B3BB69-23CF-44E3-9099-C40C66FF867C}">
                  <a14:compatExt spid="_x0000_s42184"/>
                </a:ext>
                <a:ext uri="{FF2B5EF4-FFF2-40B4-BE49-F238E27FC236}">
                  <a16:creationId xmlns:a16="http://schemas.microsoft.com/office/drawing/2014/main" id="{00000000-0008-0000-0100-0000C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42185" name="Button 201" hidden="1">
              <a:extLst>
                <a:ext uri="{63B3BB69-23CF-44E3-9099-C40C66FF867C}">
                  <a14:compatExt spid="_x0000_s42185"/>
                </a:ext>
                <a:ext uri="{FF2B5EF4-FFF2-40B4-BE49-F238E27FC236}">
                  <a16:creationId xmlns:a16="http://schemas.microsoft.com/office/drawing/2014/main" id="{00000000-0008-0000-0100-0000C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42186" name="Button 202" hidden="1">
              <a:extLst>
                <a:ext uri="{63B3BB69-23CF-44E3-9099-C40C66FF867C}">
                  <a14:compatExt spid="_x0000_s42186"/>
                </a:ext>
                <a:ext uri="{FF2B5EF4-FFF2-40B4-BE49-F238E27FC236}">
                  <a16:creationId xmlns:a16="http://schemas.microsoft.com/office/drawing/2014/main" id="{00000000-0008-0000-0100-0000C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42187" name="Button 203" hidden="1">
              <a:extLst>
                <a:ext uri="{63B3BB69-23CF-44E3-9099-C40C66FF867C}">
                  <a14:compatExt spid="_x0000_s42187"/>
                </a:ext>
                <a:ext uri="{FF2B5EF4-FFF2-40B4-BE49-F238E27FC236}">
                  <a16:creationId xmlns:a16="http://schemas.microsoft.com/office/drawing/2014/main" id="{00000000-0008-0000-0100-0000C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42188" name="Button 204" hidden="1">
              <a:extLst>
                <a:ext uri="{63B3BB69-23CF-44E3-9099-C40C66FF867C}">
                  <a14:compatExt spid="_x0000_s42188"/>
                </a:ext>
                <a:ext uri="{FF2B5EF4-FFF2-40B4-BE49-F238E27FC236}">
                  <a16:creationId xmlns:a16="http://schemas.microsoft.com/office/drawing/2014/main" id="{00000000-0008-0000-0100-0000C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42189" name="Button 205" hidden="1">
              <a:extLst>
                <a:ext uri="{63B3BB69-23CF-44E3-9099-C40C66FF867C}">
                  <a14:compatExt spid="_x0000_s42189"/>
                </a:ext>
                <a:ext uri="{FF2B5EF4-FFF2-40B4-BE49-F238E27FC236}">
                  <a16:creationId xmlns:a16="http://schemas.microsoft.com/office/drawing/2014/main" id="{00000000-0008-0000-0100-0000C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42190" name="Button 206" hidden="1">
              <a:extLst>
                <a:ext uri="{63B3BB69-23CF-44E3-9099-C40C66FF867C}">
                  <a14:compatExt spid="_x0000_s42190"/>
                </a:ext>
                <a:ext uri="{FF2B5EF4-FFF2-40B4-BE49-F238E27FC236}">
                  <a16:creationId xmlns:a16="http://schemas.microsoft.com/office/drawing/2014/main" id="{00000000-0008-0000-0100-0000C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42191" name="Button 207" hidden="1">
              <a:extLst>
                <a:ext uri="{63B3BB69-23CF-44E3-9099-C40C66FF867C}">
                  <a14:compatExt spid="_x0000_s42191"/>
                </a:ext>
                <a:ext uri="{FF2B5EF4-FFF2-40B4-BE49-F238E27FC236}">
                  <a16:creationId xmlns:a16="http://schemas.microsoft.com/office/drawing/2014/main" id="{00000000-0008-0000-0100-0000C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42192" name="Button 208" hidden="1">
              <a:extLst>
                <a:ext uri="{63B3BB69-23CF-44E3-9099-C40C66FF867C}">
                  <a14:compatExt spid="_x0000_s42192"/>
                </a:ext>
                <a:ext uri="{FF2B5EF4-FFF2-40B4-BE49-F238E27FC236}">
                  <a16:creationId xmlns:a16="http://schemas.microsoft.com/office/drawing/2014/main" id="{00000000-0008-0000-0100-0000D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42193" name="Button 209" hidden="1">
              <a:extLst>
                <a:ext uri="{63B3BB69-23CF-44E3-9099-C40C66FF867C}">
                  <a14:compatExt spid="_x0000_s42193"/>
                </a:ext>
                <a:ext uri="{FF2B5EF4-FFF2-40B4-BE49-F238E27FC236}">
                  <a16:creationId xmlns:a16="http://schemas.microsoft.com/office/drawing/2014/main" id="{00000000-0008-0000-0100-0000D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42194" name="Button 210" hidden="1">
              <a:extLst>
                <a:ext uri="{63B3BB69-23CF-44E3-9099-C40C66FF867C}">
                  <a14:compatExt spid="_x0000_s42194"/>
                </a:ext>
                <a:ext uri="{FF2B5EF4-FFF2-40B4-BE49-F238E27FC236}">
                  <a16:creationId xmlns:a16="http://schemas.microsoft.com/office/drawing/2014/main" id="{00000000-0008-0000-0100-0000D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42195" name="Button 211" hidden="1">
              <a:extLst>
                <a:ext uri="{63B3BB69-23CF-44E3-9099-C40C66FF867C}">
                  <a14:compatExt spid="_x0000_s42195"/>
                </a:ext>
                <a:ext uri="{FF2B5EF4-FFF2-40B4-BE49-F238E27FC236}">
                  <a16:creationId xmlns:a16="http://schemas.microsoft.com/office/drawing/2014/main" id="{00000000-0008-0000-0100-0000D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42196" name="Button 212" hidden="1">
              <a:extLst>
                <a:ext uri="{63B3BB69-23CF-44E3-9099-C40C66FF867C}">
                  <a14:compatExt spid="_x0000_s42196"/>
                </a:ext>
                <a:ext uri="{FF2B5EF4-FFF2-40B4-BE49-F238E27FC236}">
                  <a16:creationId xmlns:a16="http://schemas.microsoft.com/office/drawing/2014/main" id="{00000000-0008-0000-0100-0000D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2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2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2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2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2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2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2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2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2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2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2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2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2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2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2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2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2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2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2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2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2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2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2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2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2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2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2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2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2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2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2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2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2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2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2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2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2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2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2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2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2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2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2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2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2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2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2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2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2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2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2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2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2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2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2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2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2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2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2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2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2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2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2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2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2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2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2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2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2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2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2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2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2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2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2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2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2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2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2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2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2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2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2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2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2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2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2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2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2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2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2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2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2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2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2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2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2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2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2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2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2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2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2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2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2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2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2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2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2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2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2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2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2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2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2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2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2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2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2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2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2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2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2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2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2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2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2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2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2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2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2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2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2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2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2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2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2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2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2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2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38029" name="Button 141" hidden="1">
              <a:extLst>
                <a:ext uri="{63B3BB69-23CF-44E3-9099-C40C66FF867C}">
                  <a14:compatExt spid="_x0000_s38029"/>
                </a:ext>
                <a:ext uri="{FF2B5EF4-FFF2-40B4-BE49-F238E27FC236}">
                  <a16:creationId xmlns:a16="http://schemas.microsoft.com/office/drawing/2014/main" id="{00000000-0008-0000-0200-00008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38030" name="Button 142" hidden="1">
              <a:extLst>
                <a:ext uri="{63B3BB69-23CF-44E3-9099-C40C66FF867C}">
                  <a14:compatExt spid="_x0000_s38030"/>
                </a:ext>
                <a:ext uri="{FF2B5EF4-FFF2-40B4-BE49-F238E27FC236}">
                  <a16:creationId xmlns:a16="http://schemas.microsoft.com/office/drawing/2014/main" id="{00000000-0008-0000-0200-00008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38031" name="Button 143" hidden="1">
              <a:extLst>
                <a:ext uri="{63B3BB69-23CF-44E3-9099-C40C66FF867C}">
                  <a14:compatExt spid="_x0000_s38031"/>
                </a:ext>
                <a:ext uri="{FF2B5EF4-FFF2-40B4-BE49-F238E27FC236}">
                  <a16:creationId xmlns:a16="http://schemas.microsoft.com/office/drawing/2014/main" id="{00000000-0008-0000-0200-00008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38032" name="Button 144" hidden="1">
              <a:extLst>
                <a:ext uri="{63B3BB69-23CF-44E3-9099-C40C66FF867C}">
                  <a14:compatExt spid="_x0000_s38032"/>
                </a:ext>
                <a:ext uri="{FF2B5EF4-FFF2-40B4-BE49-F238E27FC236}">
                  <a16:creationId xmlns:a16="http://schemas.microsoft.com/office/drawing/2014/main" id="{00000000-0008-0000-0200-00009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38033" name="Button 145" hidden="1">
              <a:extLst>
                <a:ext uri="{63B3BB69-23CF-44E3-9099-C40C66FF867C}">
                  <a14:compatExt spid="_x0000_s38033"/>
                </a:ext>
                <a:ext uri="{FF2B5EF4-FFF2-40B4-BE49-F238E27FC236}">
                  <a16:creationId xmlns:a16="http://schemas.microsoft.com/office/drawing/2014/main" id="{00000000-0008-0000-0200-00009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38034" name="Button 146" hidden="1">
              <a:extLst>
                <a:ext uri="{63B3BB69-23CF-44E3-9099-C40C66FF867C}">
                  <a14:compatExt spid="_x0000_s38034"/>
                </a:ext>
                <a:ext uri="{FF2B5EF4-FFF2-40B4-BE49-F238E27FC236}">
                  <a16:creationId xmlns:a16="http://schemas.microsoft.com/office/drawing/2014/main" id="{00000000-0008-0000-0200-00009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38035" name="Button 147" hidden="1">
              <a:extLst>
                <a:ext uri="{63B3BB69-23CF-44E3-9099-C40C66FF867C}">
                  <a14:compatExt spid="_x0000_s38035"/>
                </a:ext>
                <a:ext uri="{FF2B5EF4-FFF2-40B4-BE49-F238E27FC236}">
                  <a16:creationId xmlns:a16="http://schemas.microsoft.com/office/drawing/2014/main" id="{00000000-0008-0000-0200-00009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38036" name="Button 148" hidden="1">
              <a:extLst>
                <a:ext uri="{63B3BB69-23CF-44E3-9099-C40C66FF867C}">
                  <a14:compatExt spid="_x0000_s38036"/>
                </a:ext>
                <a:ext uri="{FF2B5EF4-FFF2-40B4-BE49-F238E27FC236}">
                  <a16:creationId xmlns:a16="http://schemas.microsoft.com/office/drawing/2014/main" id="{00000000-0008-0000-0200-00009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38037" name="Button 149" hidden="1">
              <a:extLst>
                <a:ext uri="{63B3BB69-23CF-44E3-9099-C40C66FF867C}">
                  <a14:compatExt spid="_x0000_s38037"/>
                </a:ext>
                <a:ext uri="{FF2B5EF4-FFF2-40B4-BE49-F238E27FC236}">
                  <a16:creationId xmlns:a16="http://schemas.microsoft.com/office/drawing/2014/main" id="{00000000-0008-0000-0200-00009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38038" name="Button 150" hidden="1">
              <a:extLst>
                <a:ext uri="{63B3BB69-23CF-44E3-9099-C40C66FF867C}">
                  <a14:compatExt spid="_x0000_s38038"/>
                </a:ext>
                <a:ext uri="{FF2B5EF4-FFF2-40B4-BE49-F238E27FC236}">
                  <a16:creationId xmlns:a16="http://schemas.microsoft.com/office/drawing/2014/main" id="{00000000-0008-0000-0200-00009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38039" name="Button 151" hidden="1">
              <a:extLst>
                <a:ext uri="{63B3BB69-23CF-44E3-9099-C40C66FF867C}">
                  <a14:compatExt spid="_x0000_s38039"/>
                </a:ext>
                <a:ext uri="{FF2B5EF4-FFF2-40B4-BE49-F238E27FC236}">
                  <a16:creationId xmlns:a16="http://schemas.microsoft.com/office/drawing/2014/main" id="{00000000-0008-0000-0200-00009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38040" name="Button 152" hidden="1">
              <a:extLst>
                <a:ext uri="{63B3BB69-23CF-44E3-9099-C40C66FF867C}">
                  <a14:compatExt spid="_x0000_s38040"/>
                </a:ext>
                <a:ext uri="{FF2B5EF4-FFF2-40B4-BE49-F238E27FC236}">
                  <a16:creationId xmlns:a16="http://schemas.microsoft.com/office/drawing/2014/main" id="{00000000-0008-0000-0200-00009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38041" name="Button 153" hidden="1">
              <a:extLst>
                <a:ext uri="{63B3BB69-23CF-44E3-9099-C40C66FF867C}">
                  <a14:compatExt spid="_x0000_s38041"/>
                </a:ext>
                <a:ext uri="{FF2B5EF4-FFF2-40B4-BE49-F238E27FC236}">
                  <a16:creationId xmlns:a16="http://schemas.microsoft.com/office/drawing/2014/main" id="{00000000-0008-0000-0200-00009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38042" name="Button 154" hidden="1">
              <a:extLst>
                <a:ext uri="{63B3BB69-23CF-44E3-9099-C40C66FF867C}">
                  <a14:compatExt spid="_x0000_s38042"/>
                </a:ext>
                <a:ext uri="{FF2B5EF4-FFF2-40B4-BE49-F238E27FC236}">
                  <a16:creationId xmlns:a16="http://schemas.microsoft.com/office/drawing/2014/main" id="{00000000-0008-0000-0200-00009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38043" name="Button 155" hidden="1">
              <a:extLst>
                <a:ext uri="{63B3BB69-23CF-44E3-9099-C40C66FF867C}">
                  <a14:compatExt spid="_x0000_s38043"/>
                </a:ext>
                <a:ext uri="{FF2B5EF4-FFF2-40B4-BE49-F238E27FC236}">
                  <a16:creationId xmlns:a16="http://schemas.microsoft.com/office/drawing/2014/main" id="{00000000-0008-0000-0200-00009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38044" name="Button 156" hidden="1">
              <a:extLst>
                <a:ext uri="{63B3BB69-23CF-44E3-9099-C40C66FF867C}">
                  <a14:compatExt spid="_x0000_s38044"/>
                </a:ext>
                <a:ext uri="{FF2B5EF4-FFF2-40B4-BE49-F238E27FC236}">
                  <a16:creationId xmlns:a16="http://schemas.microsoft.com/office/drawing/2014/main" id="{00000000-0008-0000-0200-00009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38045" name="Button 157" hidden="1">
              <a:extLst>
                <a:ext uri="{63B3BB69-23CF-44E3-9099-C40C66FF867C}">
                  <a14:compatExt spid="_x0000_s38045"/>
                </a:ext>
                <a:ext uri="{FF2B5EF4-FFF2-40B4-BE49-F238E27FC236}">
                  <a16:creationId xmlns:a16="http://schemas.microsoft.com/office/drawing/2014/main" id="{00000000-0008-0000-0200-00009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38046" name="Button 158" hidden="1">
              <a:extLst>
                <a:ext uri="{63B3BB69-23CF-44E3-9099-C40C66FF867C}">
                  <a14:compatExt spid="_x0000_s38046"/>
                </a:ext>
                <a:ext uri="{FF2B5EF4-FFF2-40B4-BE49-F238E27FC236}">
                  <a16:creationId xmlns:a16="http://schemas.microsoft.com/office/drawing/2014/main" id="{00000000-0008-0000-0200-00009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38047" name="Button 159" hidden="1">
              <a:extLst>
                <a:ext uri="{63B3BB69-23CF-44E3-9099-C40C66FF867C}">
                  <a14:compatExt spid="_x0000_s38047"/>
                </a:ext>
                <a:ext uri="{FF2B5EF4-FFF2-40B4-BE49-F238E27FC236}">
                  <a16:creationId xmlns:a16="http://schemas.microsoft.com/office/drawing/2014/main" id="{00000000-0008-0000-0200-00009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38048" name="Button 160" hidden="1">
              <a:extLst>
                <a:ext uri="{63B3BB69-23CF-44E3-9099-C40C66FF867C}">
                  <a14:compatExt spid="_x0000_s38048"/>
                </a:ext>
                <a:ext uri="{FF2B5EF4-FFF2-40B4-BE49-F238E27FC236}">
                  <a16:creationId xmlns:a16="http://schemas.microsoft.com/office/drawing/2014/main" id="{00000000-0008-0000-0200-0000A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38049" name="Button 161" hidden="1">
              <a:extLst>
                <a:ext uri="{63B3BB69-23CF-44E3-9099-C40C66FF867C}">
                  <a14:compatExt spid="_x0000_s38049"/>
                </a:ext>
                <a:ext uri="{FF2B5EF4-FFF2-40B4-BE49-F238E27FC236}">
                  <a16:creationId xmlns:a16="http://schemas.microsoft.com/office/drawing/2014/main" id="{00000000-0008-0000-0200-0000A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38050" name="Button 162" hidden="1">
              <a:extLst>
                <a:ext uri="{63B3BB69-23CF-44E3-9099-C40C66FF867C}">
                  <a14:compatExt spid="_x0000_s38050"/>
                </a:ext>
                <a:ext uri="{FF2B5EF4-FFF2-40B4-BE49-F238E27FC236}">
                  <a16:creationId xmlns:a16="http://schemas.microsoft.com/office/drawing/2014/main" id="{00000000-0008-0000-0200-0000A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38051" name="Button 163" hidden="1">
              <a:extLst>
                <a:ext uri="{63B3BB69-23CF-44E3-9099-C40C66FF867C}">
                  <a14:compatExt spid="_x0000_s38051"/>
                </a:ext>
                <a:ext uri="{FF2B5EF4-FFF2-40B4-BE49-F238E27FC236}">
                  <a16:creationId xmlns:a16="http://schemas.microsoft.com/office/drawing/2014/main" id="{00000000-0008-0000-0200-0000A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38052" name="Button 164" hidden="1">
              <a:extLst>
                <a:ext uri="{63B3BB69-23CF-44E3-9099-C40C66FF867C}">
                  <a14:compatExt spid="_x0000_s38052"/>
                </a:ext>
                <a:ext uri="{FF2B5EF4-FFF2-40B4-BE49-F238E27FC236}">
                  <a16:creationId xmlns:a16="http://schemas.microsoft.com/office/drawing/2014/main" id="{00000000-0008-0000-0200-0000A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38053" name="Button 165" hidden="1">
              <a:extLst>
                <a:ext uri="{63B3BB69-23CF-44E3-9099-C40C66FF867C}">
                  <a14:compatExt spid="_x0000_s38053"/>
                </a:ext>
                <a:ext uri="{FF2B5EF4-FFF2-40B4-BE49-F238E27FC236}">
                  <a16:creationId xmlns:a16="http://schemas.microsoft.com/office/drawing/2014/main" id="{00000000-0008-0000-0200-0000A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38054" name="Button 166" hidden="1">
              <a:extLst>
                <a:ext uri="{63B3BB69-23CF-44E3-9099-C40C66FF867C}">
                  <a14:compatExt spid="_x0000_s38054"/>
                </a:ext>
                <a:ext uri="{FF2B5EF4-FFF2-40B4-BE49-F238E27FC236}">
                  <a16:creationId xmlns:a16="http://schemas.microsoft.com/office/drawing/2014/main" id="{00000000-0008-0000-0200-0000A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38055" name="Button 167" hidden="1">
              <a:extLst>
                <a:ext uri="{63B3BB69-23CF-44E3-9099-C40C66FF867C}">
                  <a14:compatExt spid="_x0000_s38055"/>
                </a:ext>
                <a:ext uri="{FF2B5EF4-FFF2-40B4-BE49-F238E27FC236}">
                  <a16:creationId xmlns:a16="http://schemas.microsoft.com/office/drawing/2014/main" id="{00000000-0008-0000-0200-0000A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38056" name="Button 168" hidden="1">
              <a:extLst>
                <a:ext uri="{63B3BB69-23CF-44E3-9099-C40C66FF867C}">
                  <a14:compatExt spid="_x0000_s38056"/>
                </a:ext>
                <a:ext uri="{FF2B5EF4-FFF2-40B4-BE49-F238E27FC236}">
                  <a16:creationId xmlns:a16="http://schemas.microsoft.com/office/drawing/2014/main" id="{00000000-0008-0000-0200-0000A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38057" name="Button 169" hidden="1">
              <a:extLst>
                <a:ext uri="{63B3BB69-23CF-44E3-9099-C40C66FF867C}">
                  <a14:compatExt spid="_x0000_s38057"/>
                </a:ext>
                <a:ext uri="{FF2B5EF4-FFF2-40B4-BE49-F238E27FC236}">
                  <a16:creationId xmlns:a16="http://schemas.microsoft.com/office/drawing/2014/main" id="{00000000-0008-0000-0200-0000A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38058" name="Button 170" hidden="1">
              <a:extLst>
                <a:ext uri="{63B3BB69-23CF-44E3-9099-C40C66FF867C}">
                  <a14:compatExt spid="_x0000_s38058"/>
                </a:ext>
                <a:ext uri="{FF2B5EF4-FFF2-40B4-BE49-F238E27FC236}">
                  <a16:creationId xmlns:a16="http://schemas.microsoft.com/office/drawing/2014/main" id="{00000000-0008-0000-0200-0000A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38059" name="Button 171" hidden="1">
              <a:extLst>
                <a:ext uri="{63B3BB69-23CF-44E3-9099-C40C66FF867C}">
                  <a14:compatExt spid="_x0000_s38059"/>
                </a:ext>
                <a:ext uri="{FF2B5EF4-FFF2-40B4-BE49-F238E27FC236}">
                  <a16:creationId xmlns:a16="http://schemas.microsoft.com/office/drawing/2014/main" id="{00000000-0008-0000-0200-0000A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38060" name="Button 172" hidden="1">
              <a:extLst>
                <a:ext uri="{63B3BB69-23CF-44E3-9099-C40C66FF867C}">
                  <a14:compatExt spid="_x0000_s38060"/>
                </a:ext>
                <a:ext uri="{FF2B5EF4-FFF2-40B4-BE49-F238E27FC236}">
                  <a16:creationId xmlns:a16="http://schemas.microsoft.com/office/drawing/2014/main" id="{00000000-0008-0000-0200-0000A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38061" name="Button 173" hidden="1">
              <a:extLst>
                <a:ext uri="{63B3BB69-23CF-44E3-9099-C40C66FF867C}">
                  <a14:compatExt spid="_x0000_s38061"/>
                </a:ext>
                <a:ext uri="{FF2B5EF4-FFF2-40B4-BE49-F238E27FC236}">
                  <a16:creationId xmlns:a16="http://schemas.microsoft.com/office/drawing/2014/main" id="{00000000-0008-0000-0200-0000A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38062" name="Button 174" hidden="1">
              <a:extLst>
                <a:ext uri="{63B3BB69-23CF-44E3-9099-C40C66FF867C}">
                  <a14:compatExt spid="_x0000_s38062"/>
                </a:ext>
                <a:ext uri="{FF2B5EF4-FFF2-40B4-BE49-F238E27FC236}">
                  <a16:creationId xmlns:a16="http://schemas.microsoft.com/office/drawing/2014/main" id="{00000000-0008-0000-0200-0000A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38063" name="Button 175" hidden="1">
              <a:extLst>
                <a:ext uri="{63B3BB69-23CF-44E3-9099-C40C66FF867C}">
                  <a14:compatExt spid="_x0000_s38063"/>
                </a:ext>
                <a:ext uri="{FF2B5EF4-FFF2-40B4-BE49-F238E27FC236}">
                  <a16:creationId xmlns:a16="http://schemas.microsoft.com/office/drawing/2014/main" id="{00000000-0008-0000-0200-0000A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38064" name="Button 176" hidden="1">
              <a:extLst>
                <a:ext uri="{63B3BB69-23CF-44E3-9099-C40C66FF867C}">
                  <a14:compatExt spid="_x0000_s38064"/>
                </a:ext>
                <a:ext uri="{FF2B5EF4-FFF2-40B4-BE49-F238E27FC236}">
                  <a16:creationId xmlns:a16="http://schemas.microsoft.com/office/drawing/2014/main" id="{00000000-0008-0000-0200-0000B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38065" name="Button 177" hidden="1">
              <a:extLst>
                <a:ext uri="{63B3BB69-23CF-44E3-9099-C40C66FF867C}">
                  <a14:compatExt spid="_x0000_s38065"/>
                </a:ext>
                <a:ext uri="{FF2B5EF4-FFF2-40B4-BE49-F238E27FC236}">
                  <a16:creationId xmlns:a16="http://schemas.microsoft.com/office/drawing/2014/main" id="{00000000-0008-0000-0200-0000B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38066" name="Button 178" hidden="1">
              <a:extLst>
                <a:ext uri="{63B3BB69-23CF-44E3-9099-C40C66FF867C}">
                  <a14:compatExt spid="_x0000_s38066"/>
                </a:ext>
                <a:ext uri="{FF2B5EF4-FFF2-40B4-BE49-F238E27FC236}">
                  <a16:creationId xmlns:a16="http://schemas.microsoft.com/office/drawing/2014/main" id="{00000000-0008-0000-0200-0000B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38067" name="Button 179" hidden="1">
              <a:extLst>
                <a:ext uri="{63B3BB69-23CF-44E3-9099-C40C66FF867C}">
                  <a14:compatExt spid="_x0000_s38067"/>
                </a:ext>
                <a:ext uri="{FF2B5EF4-FFF2-40B4-BE49-F238E27FC236}">
                  <a16:creationId xmlns:a16="http://schemas.microsoft.com/office/drawing/2014/main" id="{00000000-0008-0000-0200-0000B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38068" name="Button 180" hidden="1">
              <a:extLst>
                <a:ext uri="{63B3BB69-23CF-44E3-9099-C40C66FF867C}">
                  <a14:compatExt spid="_x0000_s38068"/>
                </a:ext>
                <a:ext uri="{FF2B5EF4-FFF2-40B4-BE49-F238E27FC236}">
                  <a16:creationId xmlns:a16="http://schemas.microsoft.com/office/drawing/2014/main" id="{00000000-0008-0000-0200-0000B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38069" name="Button 181" hidden="1">
              <a:extLst>
                <a:ext uri="{63B3BB69-23CF-44E3-9099-C40C66FF867C}">
                  <a14:compatExt spid="_x0000_s38069"/>
                </a:ext>
                <a:ext uri="{FF2B5EF4-FFF2-40B4-BE49-F238E27FC236}">
                  <a16:creationId xmlns:a16="http://schemas.microsoft.com/office/drawing/2014/main" id="{00000000-0008-0000-0200-0000B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38070" name="Button 182" hidden="1">
              <a:extLst>
                <a:ext uri="{63B3BB69-23CF-44E3-9099-C40C66FF867C}">
                  <a14:compatExt spid="_x0000_s38070"/>
                </a:ext>
                <a:ext uri="{FF2B5EF4-FFF2-40B4-BE49-F238E27FC236}">
                  <a16:creationId xmlns:a16="http://schemas.microsoft.com/office/drawing/2014/main" id="{00000000-0008-0000-0200-0000B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38071" name="Button 183" hidden="1">
              <a:extLst>
                <a:ext uri="{63B3BB69-23CF-44E3-9099-C40C66FF867C}">
                  <a14:compatExt spid="_x0000_s38071"/>
                </a:ext>
                <a:ext uri="{FF2B5EF4-FFF2-40B4-BE49-F238E27FC236}">
                  <a16:creationId xmlns:a16="http://schemas.microsoft.com/office/drawing/2014/main" id="{00000000-0008-0000-0200-0000B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38072" name="Button 184" hidden="1">
              <a:extLst>
                <a:ext uri="{63B3BB69-23CF-44E3-9099-C40C66FF867C}">
                  <a14:compatExt spid="_x0000_s38072"/>
                </a:ext>
                <a:ext uri="{FF2B5EF4-FFF2-40B4-BE49-F238E27FC236}">
                  <a16:creationId xmlns:a16="http://schemas.microsoft.com/office/drawing/2014/main" id="{00000000-0008-0000-0200-0000B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38073" name="Button 185" hidden="1">
              <a:extLst>
                <a:ext uri="{63B3BB69-23CF-44E3-9099-C40C66FF867C}">
                  <a14:compatExt spid="_x0000_s38073"/>
                </a:ext>
                <a:ext uri="{FF2B5EF4-FFF2-40B4-BE49-F238E27FC236}">
                  <a16:creationId xmlns:a16="http://schemas.microsoft.com/office/drawing/2014/main" id="{00000000-0008-0000-0200-0000B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38074" name="Button 186" hidden="1">
              <a:extLst>
                <a:ext uri="{63B3BB69-23CF-44E3-9099-C40C66FF867C}">
                  <a14:compatExt spid="_x0000_s38074"/>
                </a:ext>
                <a:ext uri="{FF2B5EF4-FFF2-40B4-BE49-F238E27FC236}">
                  <a16:creationId xmlns:a16="http://schemas.microsoft.com/office/drawing/2014/main" id="{00000000-0008-0000-0200-0000B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38075" name="Button 187" hidden="1">
              <a:extLst>
                <a:ext uri="{63B3BB69-23CF-44E3-9099-C40C66FF867C}">
                  <a14:compatExt spid="_x0000_s38075"/>
                </a:ext>
                <a:ext uri="{FF2B5EF4-FFF2-40B4-BE49-F238E27FC236}">
                  <a16:creationId xmlns:a16="http://schemas.microsoft.com/office/drawing/2014/main" id="{00000000-0008-0000-0200-0000B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38076" name="Button 188" hidden="1">
              <a:extLst>
                <a:ext uri="{63B3BB69-23CF-44E3-9099-C40C66FF867C}">
                  <a14:compatExt spid="_x0000_s38076"/>
                </a:ext>
                <a:ext uri="{FF2B5EF4-FFF2-40B4-BE49-F238E27FC236}">
                  <a16:creationId xmlns:a16="http://schemas.microsoft.com/office/drawing/2014/main" id="{00000000-0008-0000-0200-0000B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38077" name="Button 189" hidden="1">
              <a:extLst>
                <a:ext uri="{63B3BB69-23CF-44E3-9099-C40C66FF867C}">
                  <a14:compatExt spid="_x0000_s38077"/>
                </a:ext>
                <a:ext uri="{FF2B5EF4-FFF2-40B4-BE49-F238E27FC236}">
                  <a16:creationId xmlns:a16="http://schemas.microsoft.com/office/drawing/2014/main" id="{00000000-0008-0000-0200-0000B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38078" name="Button 190" hidden="1">
              <a:extLst>
                <a:ext uri="{63B3BB69-23CF-44E3-9099-C40C66FF867C}">
                  <a14:compatExt spid="_x0000_s38078"/>
                </a:ext>
                <a:ext uri="{FF2B5EF4-FFF2-40B4-BE49-F238E27FC236}">
                  <a16:creationId xmlns:a16="http://schemas.microsoft.com/office/drawing/2014/main" id="{00000000-0008-0000-0200-0000B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38079" name="Button 191" hidden="1">
              <a:extLst>
                <a:ext uri="{63B3BB69-23CF-44E3-9099-C40C66FF867C}">
                  <a14:compatExt spid="_x0000_s38079"/>
                </a:ext>
                <a:ext uri="{FF2B5EF4-FFF2-40B4-BE49-F238E27FC236}">
                  <a16:creationId xmlns:a16="http://schemas.microsoft.com/office/drawing/2014/main" id="{00000000-0008-0000-0200-0000B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38080" name="Button 192" hidden="1">
              <a:extLst>
                <a:ext uri="{63B3BB69-23CF-44E3-9099-C40C66FF867C}">
                  <a14:compatExt spid="_x0000_s38080"/>
                </a:ext>
                <a:ext uri="{FF2B5EF4-FFF2-40B4-BE49-F238E27FC236}">
                  <a16:creationId xmlns:a16="http://schemas.microsoft.com/office/drawing/2014/main" id="{00000000-0008-0000-0200-0000C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38081" name="Button 193" hidden="1">
              <a:extLst>
                <a:ext uri="{63B3BB69-23CF-44E3-9099-C40C66FF867C}">
                  <a14:compatExt spid="_x0000_s38081"/>
                </a:ext>
                <a:ext uri="{FF2B5EF4-FFF2-40B4-BE49-F238E27FC236}">
                  <a16:creationId xmlns:a16="http://schemas.microsoft.com/office/drawing/2014/main" id="{00000000-0008-0000-0200-0000C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38082" name="Button 194" hidden="1">
              <a:extLst>
                <a:ext uri="{63B3BB69-23CF-44E3-9099-C40C66FF867C}">
                  <a14:compatExt spid="_x0000_s38082"/>
                </a:ext>
                <a:ext uri="{FF2B5EF4-FFF2-40B4-BE49-F238E27FC236}">
                  <a16:creationId xmlns:a16="http://schemas.microsoft.com/office/drawing/2014/main" id="{00000000-0008-0000-0200-0000C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38083" name="Button 195" hidden="1">
              <a:extLst>
                <a:ext uri="{63B3BB69-23CF-44E3-9099-C40C66FF867C}">
                  <a14:compatExt spid="_x0000_s38083"/>
                </a:ext>
                <a:ext uri="{FF2B5EF4-FFF2-40B4-BE49-F238E27FC236}">
                  <a16:creationId xmlns:a16="http://schemas.microsoft.com/office/drawing/2014/main" id="{00000000-0008-0000-0200-0000C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38084" name="Button 196" hidden="1">
              <a:extLst>
                <a:ext uri="{63B3BB69-23CF-44E3-9099-C40C66FF867C}">
                  <a14:compatExt spid="_x0000_s38084"/>
                </a:ext>
                <a:ext uri="{FF2B5EF4-FFF2-40B4-BE49-F238E27FC236}">
                  <a16:creationId xmlns:a16="http://schemas.microsoft.com/office/drawing/2014/main" id="{00000000-0008-0000-0200-0000C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38085" name="Button 197" hidden="1">
              <a:extLst>
                <a:ext uri="{63B3BB69-23CF-44E3-9099-C40C66FF867C}">
                  <a14:compatExt spid="_x0000_s38085"/>
                </a:ext>
                <a:ext uri="{FF2B5EF4-FFF2-40B4-BE49-F238E27FC236}">
                  <a16:creationId xmlns:a16="http://schemas.microsoft.com/office/drawing/2014/main" id="{00000000-0008-0000-0200-0000C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38086" name="Button 198" hidden="1">
              <a:extLst>
                <a:ext uri="{63B3BB69-23CF-44E3-9099-C40C66FF867C}">
                  <a14:compatExt spid="_x0000_s38086"/>
                </a:ext>
                <a:ext uri="{FF2B5EF4-FFF2-40B4-BE49-F238E27FC236}">
                  <a16:creationId xmlns:a16="http://schemas.microsoft.com/office/drawing/2014/main" id="{00000000-0008-0000-0200-0000C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38087" name="Button 199" hidden="1">
              <a:extLst>
                <a:ext uri="{63B3BB69-23CF-44E3-9099-C40C66FF867C}">
                  <a14:compatExt spid="_x0000_s38087"/>
                </a:ext>
                <a:ext uri="{FF2B5EF4-FFF2-40B4-BE49-F238E27FC236}">
                  <a16:creationId xmlns:a16="http://schemas.microsoft.com/office/drawing/2014/main" id="{00000000-0008-0000-0200-0000C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38088" name="Button 200" hidden="1">
              <a:extLst>
                <a:ext uri="{63B3BB69-23CF-44E3-9099-C40C66FF867C}">
                  <a14:compatExt spid="_x0000_s38088"/>
                </a:ext>
                <a:ext uri="{FF2B5EF4-FFF2-40B4-BE49-F238E27FC236}">
                  <a16:creationId xmlns:a16="http://schemas.microsoft.com/office/drawing/2014/main" id="{00000000-0008-0000-0200-0000C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38089" name="Button 201" hidden="1">
              <a:extLst>
                <a:ext uri="{63B3BB69-23CF-44E3-9099-C40C66FF867C}">
                  <a14:compatExt spid="_x0000_s38089"/>
                </a:ext>
                <a:ext uri="{FF2B5EF4-FFF2-40B4-BE49-F238E27FC236}">
                  <a16:creationId xmlns:a16="http://schemas.microsoft.com/office/drawing/2014/main" id="{00000000-0008-0000-0200-0000C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38090" name="Button 202" hidden="1">
              <a:extLst>
                <a:ext uri="{63B3BB69-23CF-44E3-9099-C40C66FF867C}">
                  <a14:compatExt spid="_x0000_s38090"/>
                </a:ext>
                <a:ext uri="{FF2B5EF4-FFF2-40B4-BE49-F238E27FC236}">
                  <a16:creationId xmlns:a16="http://schemas.microsoft.com/office/drawing/2014/main" id="{00000000-0008-0000-0200-0000C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38091" name="Button 203" hidden="1">
              <a:extLst>
                <a:ext uri="{63B3BB69-23CF-44E3-9099-C40C66FF867C}">
                  <a14:compatExt spid="_x0000_s38091"/>
                </a:ext>
                <a:ext uri="{FF2B5EF4-FFF2-40B4-BE49-F238E27FC236}">
                  <a16:creationId xmlns:a16="http://schemas.microsoft.com/office/drawing/2014/main" id="{00000000-0008-0000-0200-0000C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38092" name="Button 204" hidden="1">
              <a:extLst>
                <a:ext uri="{63B3BB69-23CF-44E3-9099-C40C66FF867C}">
                  <a14:compatExt spid="_x0000_s38092"/>
                </a:ext>
                <a:ext uri="{FF2B5EF4-FFF2-40B4-BE49-F238E27FC236}">
                  <a16:creationId xmlns:a16="http://schemas.microsoft.com/office/drawing/2014/main" id="{00000000-0008-0000-0200-0000C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38093" name="Button 205" hidden="1">
              <a:extLst>
                <a:ext uri="{63B3BB69-23CF-44E3-9099-C40C66FF867C}">
                  <a14:compatExt spid="_x0000_s38093"/>
                </a:ext>
                <a:ext uri="{FF2B5EF4-FFF2-40B4-BE49-F238E27FC236}">
                  <a16:creationId xmlns:a16="http://schemas.microsoft.com/office/drawing/2014/main" id="{00000000-0008-0000-0200-0000C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38094" name="Button 206" hidden="1">
              <a:extLst>
                <a:ext uri="{63B3BB69-23CF-44E3-9099-C40C66FF867C}">
                  <a14:compatExt spid="_x0000_s38094"/>
                </a:ext>
                <a:ext uri="{FF2B5EF4-FFF2-40B4-BE49-F238E27FC236}">
                  <a16:creationId xmlns:a16="http://schemas.microsoft.com/office/drawing/2014/main" id="{00000000-0008-0000-0200-0000C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38095" name="Button 207" hidden="1">
              <a:extLst>
                <a:ext uri="{63B3BB69-23CF-44E3-9099-C40C66FF867C}">
                  <a14:compatExt spid="_x0000_s38095"/>
                </a:ext>
                <a:ext uri="{FF2B5EF4-FFF2-40B4-BE49-F238E27FC236}">
                  <a16:creationId xmlns:a16="http://schemas.microsoft.com/office/drawing/2014/main" id="{00000000-0008-0000-0200-0000C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38096" name="Button 208" hidden="1">
              <a:extLst>
                <a:ext uri="{63B3BB69-23CF-44E3-9099-C40C66FF867C}">
                  <a14:compatExt spid="_x0000_s38096"/>
                </a:ext>
                <a:ext uri="{FF2B5EF4-FFF2-40B4-BE49-F238E27FC236}">
                  <a16:creationId xmlns:a16="http://schemas.microsoft.com/office/drawing/2014/main" id="{00000000-0008-0000-0200-0000D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38097" name="Button 209" hidden="1">
              <a:extLst>
                <a:ext uri="{63B3BB69-23CF-44E3-9099-C40C66FF867C}">
                  <a14:compatExt spid="_x0000_s38097"/>
                </a:ext>
                <a:ext uri="{FF2B5EF4-FFF2-40B4-BE49-F238E27FC236}">
                  <a16:creationId xmlns:a16="http://schemas.microsoft.com/office/drawing/2014/main" id="{00000000-0008-0000-0200-0000D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38098" name="Button 210" hidden="1">
              <a:extLst>
                <a:ext uri="{63B3BB69-23CF-44E3-9099-C40C66FF867C}">
                  <a14:compatExt spid="_x0000_s38098"/>
                </a:ext>
                <a:ext uri="{FF2B5EF4-FFF2-40B4-BE49-F238E27FC236}">
                  <a16:creationId xmlns:a16="http://schemas.microsoft.com/office/drawing/2014/main" id="{00000000-0008-0000-0200-0000D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38099" name="Button 211" hidden="1">
              <a:extLst>
                <a:ext uri="{63B3BB69-23CF-44E3-9099-C40C66FF867C}">
                  <a14:compatExt spid="_x0000_s38099"/>
                </a:ext>
                <a:ext uri="{FF2B5EF4-FFF2-40B4-BE49-F238E27FC236}">
                  <a16:creationId xmlns:a16="http://schemas.microsoft.com/office/drawing/2014/main" id="{00000000-0008-0000-0200-0000D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38100" name="Button 212" hidden="1">
              <a:extLst>
                <a:ext uri="{63B3BB69-23CF-44E3-9099-C40C66FF867C}">
                  <a14:compatExt spid="_x0000_s38100"/>
                </a:ext>
                <a:ext uri="{FF2B5EF4-FFF2-40B4-BE49-F238E27FC236}">
                  <a16:creationId xmlns:a16="http://schemas.microsoft.com/office/drawing/2014/main" id="{00000000-0008-0000-0200-0000D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3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3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3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3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3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3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3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4130" name="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3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3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48" name="Button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3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49" name="Button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3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50" name="Button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3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51" name="Button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3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52" name="Button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3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53" name="Button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3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54" name="Button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3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55" name="Button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3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56" name="Button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3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57" name="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3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58" name="Button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3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59" name="Button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3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60" name="Button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3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61" name="Button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3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62" name="Button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3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63" name="Button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3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3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65" name="Button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3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66" name="Button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3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67" name="Button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3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68" name="Button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3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69" name="Button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3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170" name="Button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3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1" name="Button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3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2" name="Button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3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73" name="Button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3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74" name="Button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3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75" name="Button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3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76" name="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3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77" name="Button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3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78" name="Button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3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79" name="Button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3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80" name="Button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3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81" name="Button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3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82" name="Button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3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83" name="Button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3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84" name="Button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3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85" name="Button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3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86" name="Button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3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87" name="Button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3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88" name="Button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3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89" name="Button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3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90" name="Button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3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4191" name="Button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3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92" name="Button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3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93" name="Button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3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94" name="Button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3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95" name="Button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3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96" name="Button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3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97" name="Button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3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98" name="Button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3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99" name="Button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3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200" name="Button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3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4201" name="Button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3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4202" name="Button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3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4203" name="Button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3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4204" name="Button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3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4205" name="Button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3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4206" name="Button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3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4207" name="Button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3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4208" name="Button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3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4209" name="Button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3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4210" name="Button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3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4211" name="Button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3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4212" name="Button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3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4213" name="Button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3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4" name="Button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3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5" name="Button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3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6" name="Button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3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7" name="Button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3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4218" name="Button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3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4219" name="Button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3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4220" name="Button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3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4221" name="Button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3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4222" name="Button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3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4223" name="Button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3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4224" name="Button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3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4225" name="Button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3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4226" name="Button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3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4227" name="Button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3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4228" name="Button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3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4229" name="Button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3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4230" name="Button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3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4231" name="Button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3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4232" name="Button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3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4233" name="Button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3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4234" name="Button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3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4235" name="Button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3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4236" name="Button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3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4237" name="Button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3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4238" name="Button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3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4239" name="Button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3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4240" name="Button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3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4241" name="Button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3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4242" name="Button 146" hidden="1">
              <a:extLst>
                <a:ext uri="{63B3BB69-23CF-44E3-9099-C40C66FF867C}">
                  <a14:compatExt spid="_x0000_s4242"/>
                </a:ext>
                <a:ext uri="{FF2B5EF4-FFF2-40B4-BE49-F238E27FC236}">
                  <a16:creationId xmlns:a16="http://schemas.microsoft.com/office/drawing/2014/main" id="{00000000-0008-0000-0300-00009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4243" name="Button 147" hidden="1">
              <a:extLst>
                <a:ext uri="{63B3BB69-23CF-44E3-9099-C40C66FF867C}">
                  <a14:compatExt spid="_x0000_s4243"/>
                </a:ext>
                <a:ext uri="{FF2B5EF4-FFF2-40B4-BE49-F238E27FC236}">
                  <a16:creationId xmlns:a16="http://schemas.microsoft.com/office/drawing/2014/main" id="{00000000-0008-0000-0300-00009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4244" name="Button 148" hidden="1">
              <a:extLst>
                <a:ext uri="{63B3BB69-23CF-44E3-9099-C40C66FF867C}">
                  <a14:compatExt spid="_x0000_s4244"/>
                </a:ext>
                <a:ext uri="{FF2B5EF4-FFF2-40B4-BE49-F238E27FC236}">
                  <a16:creationId xmlns:a16="http://schemas.microsoft.com/office/drawing/2014/main" id="{00000000-0008-0000-0300-00009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4245" name="Button 149" hidden="1">
              <a:extLst>
                <a:ext uri="{63B3BB69-23CF-44E3-9099-C40C66FF867C}">
                  <a14:compatExt spid="_x0000_s4245"/>
                </a:ext>
                <a:ext uri="{FF2B5EF4-FFF2-40B4-BE49-F238E27FC236}">
                  <a16:creationId xmlns:a16="http://schemas.microsoft.com/office/drawing/2014/main" id="{00000000-0008-0000-0300-00009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4246" name="Button 150" hidden="1">
              <a:extLst>
                <a:ext uri="{63B3BB69-23CF-44E3-9099-C40C66FF867C}">
                  <a14:compatExt spid="_x0000_s4246"/>
                </a:ext>
                <a:ext uri="{FF2B5EF4-FFF2-40B4-BE49-F238E27FC236}">
                  <a16:creationId xmlns:a16="http://schemas.microsoft.com/office/drawing/2014/main" id="{00000000-0008-0000-0300-00009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4247" name="Button 151" hidden="1">
              <a:extLst>
                <a:ext uri="{63B3BB69-23CF-44E3-9099-C40C66FF867C}">
                  <a14:compatExt spid="_x0000_s4247"/>
                </a:ext>
                <a:ext uri="{FF2B5EF4-FFF2-40B4-BE49-F238E27FC236}">
                  <a16:creationId xmlns:a16="http://schemas.microsoft.com/office/drawing/2014/main" id="{00000000-0008-0000-0300-00009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4248" name="Button 152" hidden="1">
              <a:extLst>
                <a:ext uri="{63B3BB69-23CF-44E3-9099-C40C66FF867C}">
                  <a14:compatExt spid="_x0000_s4248"/>
                </a:ext>
                <a:ext uri="{FF2B5EF4-FFF2-40B4-BE49-F238E27FC236}">
                  <a16:creationId xmlns:a16="http://schemas.microsoft.com/office/drawing/2014/main" id="{00000000-0008-0000-0300-00009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4249" name="Button 153" hidden="1">
              <a:extLst>
                <a:ext uri="{63B3BB69-23CF-44E3-9099-C40C66FF867C}">
                  <a14:compatExt spid="_x0000_s4249"/>
                </a:ext>
                <a:ext uri="{FF2B5EF4-FFF2-40B4-BE49-F238E27FC236}">
                  <a16:creationId xmlns:a16="http://schemas.microsoft.com/office/drawing/2014/main" id="{00000000-0008-0000-0300-00009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4250" name="Button 154" hidden="1">
              <a:extLst>
                <a:ext uri="{63B3BB69-23CF-44E3-9099-C40C66FF867C}">
                  <a14:compatExt spid="_x0000_s4250"/>
                </a:ext>
                <a:ext uri="{FF2B5EF4-FFF2-40B4-BE49-F238E27FC236}">
                  <a16:creationId xmlns:a16="http://schemas.microsoft.com/office/drawing/2014/main" id="{00000000-0008-0000-0300-00009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4251" name="Button 155" hidden="1">
              <a:extLst>
                <a:ext uri="{63B3BB69-23CF-44E3-9099-C40C66FF867C}">
                  <a14:compatExt spid="_x0000_s4251"/>
                </a:ext>
                <a:ext uri="{FF2B5EF4-FFF2-40B4-BE49-F238E27FC236}">
                  <a16:creationId xmlns:a16="http://schemas.microsoft.com/office/drawing/2014/main" id="{00000000-0008-0000-0300-00009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4252" name="Button 156" hidden="1">
              <a:extLst>
                <a:ext uri="{63B3BB69-23CF-44E3-9099-C40C66FF867C}">
                  <a14:compatExt spid="_x0000_s4252"/>
                </a:ext>
                <a:ext uri="{FF2B5EF4-FFF2-40B4-BE49-F238E27FC236}">
                  <a16:creationId xmlns:a16="http://schemas.microsoft.com/office/drawing/2014/main" id="{00000000-0008-0000-0300-00009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4253" name="Button 157" hidden="1">
              <a:extLst>
                <a:ext uri="{63B3BB69-23CF-44E3-9099-C40C66FF867C}">
                  <a14:compatExt spid="_x0000_s4253"/>
                </a:ext>
                <a:ext uri="{FF2B5EF4-FFF2-40B4-BE49-F238E27FC236}">
                  <a16:creationId xmlns:a16="http://schemas.microsoft.com/office/drawing/2014/main" id="{00000000-0008-0000-0300-00009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4254" name="Button 158" hidden="1">
              <a:extLst>
                <a:ext uri="{63B3BB69-23CF-44E3-9099-C40C66FF867C}">
                  <a14:compatExt spid="_x0000_s4254"/>
                </a:ext>
                <a:ext uri="{FF2B5EF4-FFF2-40B4-BE49-F238E27FC236}">
                  <a16:creationId xmlns:a16="http://schemas.microsoft.com/office/drawing/2014/main" id="{00000000-0008-0000-0300-00009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4255" name="Button 159" hidden="1">
              <a:extLst>
                <a:ext uri="{63B3BB69-23CF-44E3-9099-C40C66FF867C}">
                  <a14:compatExt spid="_x0000_s4255"/>
                </a:ext>
                <a:ext uri="{FF2B5EF4-FFF2-40B4-BE49-F238E27FC236}">
                  <a16:creationId xmlns:a16="http://schemas.microsoft.com/office/drawing/2014/main" id="{00000000-0008-0000-0300-00009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4256" name="Button 160" hidden="1">
              <a:extLst>
                <a:ext uri="{63B3BB69-23CF-44E3-9099-C40C66FF867C}">
                  <a14:compatExt spid="_x0000_s4256"/>
                </a:ext>
                <a:ext uri="{FF2B5EF4-FFF2-40B4-BE49-F238E27FC236}">
                  <a16:creationId xmlns:a16="http://schemas.microsoft.com/office/drawing/2014/main" id="{00000000-0008-0000-0300-0000A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257" name="Button 161" hidden="1">
              <a:extLst>
                <a:ext uri="{63B3BB69-23CF-44E3-9099-C40C66FF867C}">
                  <a14:compatExt spid="_x0000_s4257"/>
                </a:ext>
                <a:ext uri="{FF2B5EF4-FFF2-40B4-BE49-F238E27FC236}">
                  <a16:creationId xmlns:a16="http://schemas.microsoft.com/office/drawing/2014/main" id="{00000000-0008-0000-0300-0000A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258" name="Button 162" hidden="1">
              <a:extLst>
                <a:ext uri="{63B3BB69-23CF-44E3-9099-C40C66FF867C}">
                  <a14:compatExt spid="_x0000_s4258"/>
                </a:ext>
                <a:ext uri="{FF2B5EF4-FFF2-40B4-BE49-F238E27FC236}">
                  <a16:creationId xmlns:a16="http://schemas.microsoft.com/office/drawing/2014/main" id="{00000000-0008-0000-0300-0000A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259" name="Button 163" hidden="1">
              <a:extLst>
                <a:ext uri="{63B3BB69-23CF-44E3-9099-C40C66FF867C}">
                  <a14:compatExt spid="_x0000_s4259"/>
                </a:ext>
                <a:ext uri="{FF2B5EF4-FFF2-40B4-BE49-F238E27FC236}">
                  <a16:creationId xmlns:a16="http://schemas.microsoft.com/office/drawing/2014/main" id="{00000000-0008-0000-0300-0000A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4260" name="Button 164" hidden="1">
              <a:extLst>
                <a:ext uri="{63B3BB69-23CF-44E3-9099-C40C66FF867C}">
                  <a14:compatExt spid="_x0000_s4260"/>
                </a:ext>
                <a:ext uri="{FF2B5EF4-FFF2-40B4-BE49-F238E27FC236}">
                  <a16:creationId xmlns:a16="http://schemas.microsoft.com/office/drawing/2014/main" id="{00000000-0008-0000-0300-0000A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4261" name="Button 165" hidden="1">
              <a:extLst>
                <a:ext uri="{63B3BB69-23CF-44E3-9099-C40C66FF867C}">
                  <a14:compatExt spid="_x0000_s4261"/>
                </a:ext>
                <a:ext uri="{FF2B5EF4-FFF2-40B4-BE49-F238E27FC236}">
                  <a16:creationId xmlns:a16="http://schemas.microsoft.com/office/drawing/2014/main" id="{00000000-0008-0000-0300-0000A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4262" name="Button 166" hidden="1">
              <a:extLst>
                <a:ext uri="{63B3BB69-23CF-44E3-9099-C40C66FF867C}">
                  <a14:compatExt spid="_x0000_s4262"/>
                </a:ext>
                <a:ext uri="{FF2B5EF4-FFF2-40B4-BE49-F238E27FC236}">
                  <a16:creationId xmlns:a16="http://schemas.microsoft.com/office/drawing/2014/main" id="{00000000-0008-0000-0300-0000A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4263" name="Button 167" hidden="1">
              <a:extLst>
                <a:ext uri="{63B3BB69-23CF-44E3-9099-C40C66FF867C}">
                  <a14:compatExt spid="_x0000_s4263"/>
                </a:ext>
                <a:ext uri="{FF2B5EF4-FFF2-40B4-BE49-F238E27FC236}">
                  <a16:creationId xmlns:a16="http://schemas.microsoft.com/office/drawing/2014/main" id="{00000000-0008-0000-0300-0000A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4264" name="Button 168" hidden="1">
              <a:extLst>
                <a:ext uri="{63B3BB69-23CF-44E3-9099-C40C66FF867C}">
                  <a14:compatExt spid="_x0000_s4264"/>
                </a:ext>
                <a:ext uri="{FF2B5EF4-FFF2-40B4-BE49-F238E27FC236}">
                  <a16:creationId xmlns:a16="http://schemas.microsoft.com/office/drawing/2014/main" id="{00000000-0008-0000-0300-0000A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4265" name="Button 169" hidden="1">
              <a:extLst>
                <a:ext uri="{63B3BB69-23CF-44E3-9099-C40C66FF867C}">
                  <a14:compatExt spid="_x0000_s4265"/>
                </a:ext>
                <a:ext uri="{FF2B5EF4-FFF2-40B4-BE49-F238E27FC236}">
                  <a16:creationId xmlns:a16="http://schemas.microsoft.com/office/drawing/2014/main" id="{00000000-0008-0000-0300-0000A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4266" name="Button 170" hidden="1">
              <a:extLst>
                <a:ext uri="{63B3BB69-23CF-44E3-9099-C40C66FF867C}">
                  <a14:compatExt spid="_x0000_s4266"/>
                </a:ext>
                <a:ext uri="{FF2B5EF4-FFF2-40B4-BE49-F238E27FC236}">
                  <a16:creationId xmlns:a16="http://schemas.microsoft.com/office/drawing/2014/main" id="{00000000-0008-0000-0300-0000A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4267" name="Button 171" hidden="1">
              <a:extLst>
                <a:ext uri="{63B3BB69-23CF-44E3-9099-C40C66FF867C}">
                  <a14:compatExt spid="_x0000_s4267"/>
                </a:ext>
                <a:ext uri="{FF2B5EF4-FFF2-40B4-BE49-F238E27FC236}">
                  <a16:creationId xmlns:a16="http://schemas.microsoft.com/office/drawing/2014/main" id="{00000000-0008-0000-0300-0000A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4268" name="Button 172" hidden="1">
              <a:extLst>
                <a:ext uri="{63B3BB69-23CF-44E3-9099-C40C66FF867C}">
                  <a14:compatExt spid="_x0000_s4268"/>
                </a:ext>
                <a:ext uri="{FF2B5EF4-FFF2-40B4-BE49-F238E27FC236}">
                  <a16:creationId xmlns:a16="http://schemas.microsoft.com/office/drawing/2014/main" id="{00000000-0008-0000-0300-0000A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4269" name="Button 173" hidden="1">
              <a:extLst>
                <a:ext uri="{63B3BB69-23CF-44E3-9099-C40C66FF867C}">
                  <a14:compatExt spid="_x0000_s4269"/>
                </a:ext>
                <a:ext uri="{FF2B5EF4-FFF2-40B4-BE49-F238E27FC236}">
                  <a16:creationId xmlns:a16="http://schemas.microsoft.com/office/drawing/2014/main" id="{00000000-0008-0000-0300-0000A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4270" name="Button 174" hidden="1">
              <a:extLst>
                <a:ext uri="{63B3BB69-23CF-44E3-9099-C40C66FF867C}">
                  <a14:compatExt spid="_x0000_s4270"/>
                </a:ext>
                <a:ext uri="{FF2B5EF4-FFF2-40B4-BE49-F238E27FC236}">
                  <a16:creationId xmlns:a16="http://schemas.microsoft.com/office/drawing/2014/main" id="{00000000-0008-0000-0300-0000A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4271" name="Button 175" hidden="1">
              <a:extLst>
                <a:ext uri="{63B3BB69-23CF-44E3-9099-C40C66FF867C}">
                  <a14:compatExt spid="_x0000_s4271"/>
                </a:ext>
                <a:ext uri="{FF2B5EF4-FFF2-40B4-BE49-F238E27FC236}">
                  <a16:creationId xmlns:a16="http://schemas.microsoft.com/office/drawing/2014/main" id="{00000000-0008-0000-0300-0000A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4272" name="Button 176" hidden="1">
              <a:extLst>
                <a:ext uri="{63B3BB69-23CF-44E3-9099-C40C66FF867C}">
                  <a14:compatExt spid="_x0000_s4272"/>
                </a:ext>
                <a:ext uri="{FF2B5EF4-FFF2-40B4-BE49-F238E27FC236}">
                  <a16:creationId xmlns:a16="http://schemas.microsoft.com/office/drawing/2014/main" id="{00000000-0008-0000-0300-0000B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4273" name="Button 177" hidden="1">
              <a:extLst>
                <a:ext uri="{63B3BB69-23CF-44E3-9099-C40C66FF867C}">
                  <a14:compatExt spid="_x0000_s4273"/>
                </a:ext>
                <a:ext uri="{FF2B5EF4-FFF2-40B4-BE49-F238E27FC236}">
                  <a16:creationId xmlns:a16="http://schemas.microsoft.com/office/drawing/2014/main" id="{00000000-0008-0000-0300-0000B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4274" name="Button 178" hidden="1">
              <a:extLst>
                <a:ext uri="{63B3BB69-23CF-44E3-9099-C40C66FF867C}">
                  <a14:compatExt spid="_x0000_s4274"/>
                </a:ext>
                <a:ext uri="{FF2B5EF4-FFF2-40B4-BE49-F238E27FC236}">
                  <a16:creationId xmlns:a16="http://schemas.microsoft.com/office/drawing/2014/main" id="{00000000-0008-0000-0300-0000B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4275" name="Button 179" hidden="1">
              <a:extLst>
                <a:ext uri="{63B3BB69-23CF-44E3-9099-C40C66FF867C}">
                  <a14:compatExt spid="_x0000_s4275"/>
                </a:ext>
                <a:ext uri="{FF2B5EF4-FFF2-40B4-BE49-F238E27FC236}">
                  <a16:creationId xmlns:a16="http://schemas.microsoft.com/office/drawing/2014/main" id="{00000000-0008-0000-0300-0000B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4276" name="Button 180" hidden="1">
              <a:extLst>
                <a:ext uri="{63B3BB69-23CF-44E3-9099-C40C66FF867C}">
                  <a14:compatExt spid="_x0000_s4276"/>
                </a:ext>
                <a:ext uri="{FF2B5EF4-FFF2-40B4-BE49-F238E27FC236}">
                  <a16:creationId xmlns:a16="http://schemas.microsoft.com/office/drawing/2014/main" id="{00000000-0008-0000-0300-0000B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4277" name="Button 181" hidden="1">
              <a:extLst>
                <a:ext uri="{63B3BB69-23CF-44E3-9099-C40C66FF867C}">
                  <a14:compatExt spid="_x0000_s4277"/>
                </a:ext>
                <a:ext uri="{FF2B5EF4-FFF2-40B4-BE49-F238E27FC236}">
                  <a16:creationId xmlns:a16="http://schemas.microsoft.com/office/drawing/2014/main" id="{00000000-0008-0000-0300-0000B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4278" name="Button 182" hidden="1">
              <a:extLst>
                <a:ext uri="{63B3BB69-23CF-44E3-9099-C40C66FF867C}">
                  <a14:compatExt spid="_x0000_s4278"/>
                </a:ext>
                <a:ext uri="{FF2B5EF4-FFF2-40B4-BE49-F238E27FC236}">
                  <a16:creationId xmlns:a16="http://schemas.microsoft.com/office/drawing/2014/main" id="{00000000-0008-0000-0300-0000B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4279" name="Button 183" hidden="1">
              <a:extLst>
                <a:ext uri="{63B3BB69-23CF-44E3-9099-C40C66FF867C}">
                  <a14:compatExt spid="_x0000_s4279"/>
                </a:ext>
                <a:ext uri="{FF2B5EF4-FFF2-40B4-BE49-F238E27FC236}">
                  <a16:creationId xmlns:a16="http://schemas.microsoft.com/office/drawing/2014/main" id="{00000000-0008-0000-0300-0000B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4280" name="Button 184" hidden="1">
              <a:extLst>
                <a:ext uri="{63B3BB69-23CF-44E3-9099-C40C66FF867C}">
                  <a14:compatExt spid="_x0000_s4280"/>
                </a:ext>
                <a:ext uri="{FF2B5EF4-FFF2-40B4-BE49-F238E27FC236}">
                  <a16:creationId xmlns:a16="http://schemas.microsoft.com/office/drawing/2014/main" id="{00000000-0008-0000-0300-0000B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4281" name="Button 185" hidden="1">
              <a:extLst>
                <a:ext uri="{63B3BB69-23CF-44E3-9099-C40C66FF867C}">
                  <a14:compatExt spid="_x0000_s4281"/>
                </a:ext>
                <a:ext uri="{FF2B5EF4-FFF2-40B4-BE49-F238E27FC236}">
                  <a16:creationId xmlns:a16="http://schemas.microsoft.com/office/drawing/2014/main" id="{00000000-0008-0000-0300-0000B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4282" name="Button 186" hidden="1">
              <a:extLst>
                <a:ext uri="{63B3BB69-23CF-44E3-9099-C40C66FF867C}">
                  <a14:compatExt spid="_x0000_s4282"/>
                </a:ext>
                <a:ext uri="{FF2B5EF4-FFF2-40B4-BE49-F238E27FC236}">
                  <a16:creationId xmlns:a16="http://schemas.microsoft.com/office/drawing/2014/main" id="{00000000-0008-0000-0300-0000B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4283" name="Button 187" hidden="1">
              <a:extLst>
                <a:ext uri="{63B3BB69-23CF-44E3-9099-C40C66FF867C}">
                  <a14:compatExt spid="_x0000_s4283"/>
                </a:ext>
                <a:ext uri="{FF2B5EF4-FFF2-40B4-BE49-F238E27FC236}">
                  <a16:creationId xmlns:a16="http://schemas.microsoft.com/office/drawing/2014/main" id="{00000000-0008-0000-0300-0000B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4284" name="Button 188" hidden="1">
              <a:extLst>
                <a:ext uri="{63B3BB69-23CF-44E3-9099-C40C66FF867C}">
                  <a14:compatExt spid="_x0000_s4284"/>
                </a:ext>
                <a:ext uri="{FF2B5EF4-FFF2-40B4-BE49-F238E27FC236}">
                  <a16:creationId xmlns:a16="http://schemas.microsoft.com/office/drawing/2014/main" id="{00000000-0008-0000-0300-0000B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4285" name="Button 189" hidden="1">
              <a:extLst>
                <a:ext uri="{63B3BB69-23CF-44E3-9099-C40C66FF867C}">
                  <a14:compatExt spid="_x0000_s4285"/>
                </a:ext>
                <a:ext uri="{FF2B5EF4-FFF2-40B4-BE49-F238E27FC236}">
                  <a16:creationId xmlns:a16="http://schemas.microsoft.com/office/drawing/2014/main" id="{00000000-0008-0000-0300-0000B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4286" name="Button 190" hidden="1">
              <a:extLst>
                <a:ext uri="{63B3BB69-23CF-44E3-9099-C40C66FF867C}">
                  <a14:compatExt spid="_x0000_s4286"/>
                </a:ext>
                <a:ext uri="{FF2B5EF4-FFF2-40B4-BE49-F238E27FC236}">
                  <a16:creationId xmlns:a16="http://schemas.microsoft.com/office/drawing/2014/main" id="{00000000-0008-0000-0300-0000B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4287" name="Button 191" hidden="1">
              <a:extLst>
                <a:ext uri="{63B3BB69-23CF-44E3-9099-C40C66FF867C}">
                  <a14:compatExt spid="_x0000_s4287"/>
                </a:ext>
                <a:ext uri="{FF2B5EF4-FFF2-40B4-BE49-F238E27FC236}">
                  <a16:creationId xmlns:a16="http://schemas.microsoft.com/office/drawing/2014/main" id="{00000000-0008-0000-0300-0000B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4288" name="Button 192" hidden="1">
              <a:extLst>
                <a:ext uri="{63B3BB69-23CF-44E3-9099-C40C66FF867C}">
                  <a14:compatExt spid="_x0000_s4288"/>
                </a:ext>
                <a:ext uri="{FF2B5EF4-FFF2-40B4-BE49-F238E27FC236}">
                  <a16:creationId xmlns:a16="http://schemas.microsoft.com/office/drawing/2014/main" id="{00000000-0008-0000-0300-0000C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4289" name="Button 193" hidden="1">
              <a:extLst>
                <a:ext uri="{63B3BB69-23CF-44E3-9099-C40C66FF867C}">
                  <a14:compatExt spid="_x0000_s4289"/>
                </a:ext>
                <a:ext uri="{FF2B5EF4-FFF2-40B4-BE49-F238E27FC236}">
                  <a16:creationId xmlns:a16="http://schemas.microsoft.com/office/drawing/2014/main" id="{00000000-0008-0000-0300-0000C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4290" name="Button 194" hidden="1">
              <a:extLst>
                <a:ext uri="{63B3BB69-23CF-44E3-9099-C40C66FF867C}">
                  <a14:compatExt spid="_x0000_s4290"/>
                </a:ext>
                <a:ext uri="{FF2B5EF4-FFF2-40B4-BE49-F238E27FC236}">
                  <a16:creationId xmlns:a16="http://schemas.microsoft.com/office/drawing/2014/main" id="{00000000-0008-0000-0300-0000C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4291" name="Button 195" hidden="1">
              <a:extLst>
                <a:ext uri="{63B3BB69-23CF-44E3-9099-C40C66FF867C}">
                  <a14:compatExt spid="_x0000_s4291"/>
                </a:ext>
                <a:ext uri="{FF2B5EF4-FFF2-40B4-BE49-F238E27FC236}">
                  <a16:creationId xmlns:a16="http://schemas.microsoft.com/office/drawing/2014/main" id="{00000000-0008-0000-0300-0000C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4292" name="Button 196" hidden="1">
              <a:extLst>
                <a:ext uri="{63B3BB69-23CF-44E3-9099-C40C66FF867C}">
                  <a14:compatExt spid="_x0000_s4292"/>
                </a:ext>
                <a:ext uri="{FF2B5EF4-FFF2-40B4-BE49-F238E27FC236}">
                  <a16:creationId xmlns:a16="http://schemas.microsoft.com/office/drawing/2014/main" id="{00000000-0008-0000-0300-0000C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4293" name="Button 197" hidden="1">
              <a:extLst>
                <a:ext uri="{63B3BB69-23CF-44E3-9099-C40C66FF867C}">
                  <a14:compatExt spid="_x0000_s4293"/>
                </a:ext>
                <a:ext uri="{FF2B5EF4-FFF2-40B4-BE49-F238E27FC236}">
                  <a16:creationId xmlns:a16="http://schemas.microsoft.com/office/drawing/2014/main" id="{00000000-0008-0000-0300-0000C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4294" name="Button 198" hidden="1">
              <a:extLst>
                <a:ext uri="{63B3BB69-23CF-44E3-9099-C40C66FF867C}">
                  <a14:compatExt spid="_x0000_s4294"/>
                </a:ext>
                <a:ext uri="{FF2B5EF4-FFF2-40B4-BE49-F238E27FC236}">
                  <a16:creationId xmlns:a16="http://schemas.microsoft.com/office/drawing/2014/main" id="{00000000-0008-0000-0300-0000C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4295" name="Button 199" hidden="1">
              <a:extLst>
                <a:ext uri="{63B3BB69-23CF-44E3-9099-C40C66FF867C}">
                  <a14:compatExt spid="_x0000_s4295"/>
                </a:ext>
                <a:ext uri="{FF2B5EF4-FFF2-40B4-BE49-F238E27FC236}">
                  <a16:creationId xmlns:a16="http://schemas.microsoft.com/office/drawing/2014/main" id="{00000000-0008-0000-0300-0000C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4296" name="Button 200" hidden="1">
              <a:extLst>
                <a:ext uri="{63B3BB69-23CF-44E3-9099-C40C66FF867C}">
                  <a14:compatExt spid="_x0000_s4296"/>
                </a:ext>
                <a:ext uri="{FF2B5EF4-FFF2-40B4-BE49-F238E27FC236}">
                  <a16:creationId xmlns:a16="http://schemas.microsoft.com/office/drawing/2014/main" id="{00000000-0008-0000-0300-0000C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4297" name="Button 201" hidden="1">
              <a:extLst>
                <a:ext uri="{63B3BB69-23CF-44E3-9099-C40C66FF867C}">
                  <a14:compatExt spid="_x0000_s4297"/>
                </a:ext>
                <a:ext uri="{FF2B5EF4-FFF2-40B4-BE49-F238E27FC236}">
                  <a16:creationId xmlns:a16="http://schemas.microsoft.com/office/drawing/2014/main" id="{00000000-0008-0000-0300-0000C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4298" name="Button 202" hidden="1">
              <a:extLst>
                <a:ext uri="{63B3BB69-23CF-44E3-9099-C40C66FF867C}">
                  <a14:compatExt spid="_x0000_s4298"/>
                </a:ext>
                <a:ext uri="{FF2B5EF4-FFF2-40B4-BE49-F238E27FC236}">
                  <a16:creationId xmlns:a16="http://schemas.microsoft.com/office/drawing/2014/main" id="{00000000-0008-0000-0300-0000C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4299" name="Button 203" hidden="1">
              <a:extLst>
                <a:ext uri="{63B3BB69-23CF-44E3-9099-C40C66FF867C}">
                  <a14:compatExt spid="_x0000_s4299"/>
                </a:ext>
                <a:ext uri="{FF2B5EF4-FFF2-40B4-BE49-F238E27FC236}">
                  <a16:creationId xmlns:a16="http://schemas.microsoft.com/office/drawing/2014/main" id="{00000000-0008-0000-0300-0000C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4300" name="Button 204" hidden="1">
              <a:extLst>
                <a:ext uri="{63B3BB69-23CF-44E3-9099-C40C66FF867C}">
                  <a14:compatExt spid="_x0000_s4300"/>
                </a:ext>
                <a:ext uri="{FF2B5EF4-FFF2-40B4-BE49-F238E27FC236}">
                  <a16:creationId xmlns:a16="http://schemas.microsoft.com/office/drawing/2014/main" id="{00000000-0008-0000-0300-0000C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4301" name="Button 205" hidden="1">
              <a:extLst>
                <a:ext uri="{63B3BB69-23CF-44E3-9099-C40C66FF867C}">
                  <a14:compatExt spid="_x0000_s4301"/>
                </a:ext>
                <a:ext uri="{FF2B5EF4-FFF2-40B4-BE49-F238E27FC236}">
                  <a16:creationId xmlns:a16="http://schemas.microsoft.com/office/drawing/2014/main" id="{00000000-0008-0000-0300-0000C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4302" name="Button 206" hidden="1">
              <a:extLst>
                <a:ext uri="{63B3BB69-23CF-44E3-9099-C40C66FF867C}">
                  <a14:compatExt spid="_x0000_s4302"/>
                </a:ext>
                <a:ext uri="{FF2B5EF4-FFF2-40B4-BE49-F238E27FC236}">
                  <a16:creationId xmlns:a16="http://schemas.microsoft.com/office/drawing/2014/main" id="{00000000-0008-0000-0300-0000C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4303" name="Button 207" hidden="1">
              <a:extLst>
                <a:ext uri="{63B3BB69-23CF-44E3-9099-C40C66FF867C}">
                  <a14:compatExt spid="_x0000_s4303"/>
                </a:ext>
                <a:ext uri="{FF2B5EF4-FFF2-40B4-BE49-F238E27FC236}">
                  <a16:creationId xmlns:a16="http://schemas.microsoft.com/office/drawing/2014/main" id="{00000000-0008-0000-0300-0000C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4304" name="Button 208" hidden="1">
              <a:extLst>
                <a:ext uri="{63B3BB69-23CF-44E3-9099-C40C66FF867C}">
                  <a14:compatExt spid="_x0000_s4304"/>
                </a:ext>
                <a:ext uri="{FF2B5EF4-FFF2-40B4-BE49-F238E27FC236}">
                  <a16:creationId xmlns:a16="http://schemas.microsoft.com/office/drawing/2014/main" id="{00000000-0008-0000-0300-0000D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4305" name="Button 209" hidden="1">
              <a:extLst>
                <a:ext uri="{63B3BB69-23CF-44E3-9099-C40C66FF867C}">
                  <a14:compatExt spid="_x0000_s4305"/>
                </a:ext>
                <a:ext uri="{FF2B5EF4-FFF2-40B4-BE49-F238E27FC236}">
                  <a16:creationId xmlns:a16="http://schemas.microsoft.com/office/drawing/2014/main" id="{00000000-0008-0000-0300-0000D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4306" name="Button 210" hidden="1">
              <a:extLst>
                <a:ext uri="{63B3BB69-23CF-44E3-9099-C40C66FF867C}">
                  <a14:compatExt spid="_x0000_s4306"/>
                </a:ext>
                <a:ext uri="{FF2B5EF4-FFF2-40B4-BE49-F238E27FC236}">
                  <a16:creationId xmlns:a16="http://schemas.microsoft.com/office/drawing/2014/main" id="{00000000-0008-0000-0300-0000D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4307" name="Button 211" hidden="1">
              <a:extLst>
                <a:ext uri="{63B3BB69-23CF-44E3-9099-C40C66FF867C}">
                  <a14:compatExt spid="_x0000_s4307"/>
                </a:ext>
                <a:ext uri="{FF2B5EF4-FFF2-40B4-BE49-F238E27FC236}">
                  <a16:creationId xmlns:a16="http://schemas.microsoft.com/office/drawing/2014/main" id="{00000000-0008-0000-0300-0000D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4308" name="Button 212" hidden="1">
              <a:extLst>
                <a:ext uri="{63B3BB69-23CF-44E3-9099-C40C66FF867C}">
                  <a14:compatExt spid="_x0000_s4308"/>
                </a:ext>
                <a:ext uri="{FF2B5EF4-FFF2-40B4-BE49-F238E27FC236}">
                  <a16:creationId xmlns:a16="http://schemas.microsoft.com/office/drawing/2014/main" id="{00000000-0008-0000-0300-0000D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hris\Desktop\Antares_Densidad\SP-21-003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hris\Desktop\Antares_Densidad\SP-20-08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22">
          <cell r="J22">
            <v>0</v>
          </cell>
        </row>
        <row r="35">
          <cell r="A35">
            <v>0</v>
          </cell>
        </row>
      </sheetData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18">
          <cell r="J18">
            <v>0</v>
          </cell>
          <cell r="P18">
            <v>0</v>
          </cell>
          <cell r="W18">
            <v>0</v>
          </cell>
        </row>
        <row r="19">
          <cell r="J19">
            <v>0</v>
          </cell>
          <cell r="P19">
            <v>0</v>
          </cell>
          <cell r="W19">
            <v>0</v>
          </cell>
        </row>
        <row r="20">
          <cell r="J20">
            <v>0</v>
          </cell>
          <cell r="P20">
            <v>0</v>
          </cell>
          <cell r="W20">
            <v>0</v>
          </cell>
        </row>
        <row r="21">
          <cell r="J21">
            <v>0</v>
          </cell>
          <cell r="P21">
            <v>0</v>
          </cell>
          <cell r="W21">
            <v>0</v>
          </cell>
        </row>
        <row r="22">
          <cell r="P22">
            <v>0</v>
          </cell>
          <cell r="W22">
            <v>0</v>
          </cell>
        </row>
        <row r="23">
          <cell r="J23">
            <v>0</v>
          </cell>
          <cell r="P23">
            <v>0</v>
          </cell>
          <cell r="W23">
            <v>0</v>
          </cell>
        </row>
        <row r="24">
          <cell r="J24">
            <v>0</v>
          </cell>
          <cell r="P24">
            <v>0</v>
          </cell>
          <cell r="W24">
            <v>0</v>
          </cell>
        </row>
        <row r="25">
          <cell r="J25">
            <v>0</v>
          </cell>
          <cell r="P25">
            <v>0</v>
          </cell>
          <cell r="W25">
            <v>0</v>
          </cell>
        </row>
        <row r="26">
          <cell r="J26">
            <v>0</v>
          </cell>
          <cell r="P26">
            <v>0</v>
          </cell>
          <cell r="W26">
            <v>0</v>
          </cell>
        </row>
        <row r="27">
          <cell r="J27">
            <v>0</v>
          </cell>
          <cell r="P27">
            <v>0</v>
          </cell>
          <cell r="W27">
            <v>0</v>
          </cell>
        </row>
        <row r="28">
          <cell r="J28">
            <v>0</v>
          </cell>
          <cell r="P28">
            <v>0</v>
          </cell>
          <cell r="W28">
            <v>0</v>
          </cell>
        </row>
        <row r="29">
          <cell r="J29">
            <v>0</v>
          </cell>
          <cell r="P29">
            <v>0</v>
          </cell>
          <cell r="W29">
            <v>0</v>
          </cell>
        </row>
        <row r="30">
          <cell r="J30">
            <v>0</v>
          </cell>
          <cell r="P30">
            <v>0</v>
          </cell>
          <cell r="W30">
            <v>0</v>
          </cell>
        </row>
        <row r="31">
          <cell r="J31">
            <v>0</v>
          </cell>
          <cell r="P31">
            <v>0</v>
          </cell>
          <cell r="W31">
            <v>0</v>
          </cell>
        </row>
        <row r="32">
          <cell r="J32">
            <v>0</v>
          </cell>
          <cell r="P32">
            <v>0</v>
          </cell>
          <cell r="W32">
            <v>0</v>
          </cell>
        </row>
        <row r="33">
          <cell r="J33">
            <v>0</v>
          </cell>
          <cell r="P33">
            <v>0</v>
          </cell>
          <cell r="W33">
            <v>0</v>
          </cell>
        </row>
        <row r="34">
          <cell r="J34">
            <v>0</v>
          </cell>
          <cell r="P34">
            <v>0</v>
          </cell>
          <cell r="W34">
            <v>0</v>
          </cell>
        </row>
        <row r="35">
          <cell r="J35">
            <v>0</v>
          </cell>
          <cell r="P35">
            <v>0</v>
          </cell>
          <cell r="W35">
            <v>0</v>
          </cell>
        </row>
        <row r="36">
          <cell r="A36">
            <v>0</v>
          </cell>
          <cell r="J36">
            <v>0</v>
          </cell>
          <cell r="P36">
            <v>0</v>
          </cell>
          <cell r="W36">
            <v>0</v>
          </cell>
        </row>
        <row r="37">
          <cell r="A37">
            <v>0</v>
          </cell>
          <cell r="J37">
            <v>0</v>
          </cell>
          <cell r="P37">
            <v>0</v>
          </cell>
          <cell r="W37">
            <v>0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10" Type="http://schemas.openxmlformats.org/officeDocument/2006/relationships/ctrlProp" Target="../ctrlProps/ctrlProp207.xml"/><Relationship Id="rId215" Type="http://schemas.openxmlformats.org/officeDocument/2006/relationships/ctrlProp" Target="../ctrlProps/ctrlProp212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6.xml"/><Relationship Id="rId21" Type="http://schemas.openxmlformats.org/officeDocument/2006/relationships/ctrlProp" Target="../ctrlProps/ctrlProp230.xml"/><Relationship Id="rId42" Type="http://schemas.openxmlformats.org/officeDocument/2006/relationships/ctrlProp" Target="../ctrlProps/ctrlProp251.xml"/><Relationship Id="rId63" Type="http://schemas.openxmlformats.org/officeDocument/2006/relationships/ctrlProp" Target="../ctrlProps/ctrlProp272.xml"/><Relationship Id="rId84" Type="http://schemas.openxmlformats.org/officeDocument/2006/relationships/ctrlProp" Target="../ctrlProps/ctrlProp293.xml"/><Relationship Id="rId138" Type="http://schemas.openxmlformats.org/officeDocument/2006/relationships/ctrlProp" Target="../ctrlProps/ctrlProp347.xml"/><Relationship Id="rId159" Type="http://schemas.openxmlformats.org/officeDocument/2006/relationships/ctrlProp" Target="../ctrlProps/ctrlProp368.xml"/><Relationship Id="rId170" Type="http://schemas.openxmlformats.org/officeDocument/2006/relationships/ctrlProp" Target="../ctrlProps/ctrlProp379.xml"/><Relationship Id="rId191" Type="http://schemas.openxmlformats.org/officeDocument/2006/relationships/ctrlProp" Target="../ctrlProps/ctrlProp400.xml"/><Relationship Id="rId205" Type="http://schemas.openxmlformats.org/officeDocument/2006/relationships/ctrlProp" Target="../ctrlProps/ctrlProp414.xml"/><Relationship Id="rId107" Type="http://schemas.openxmlformats.org/officeDocument/2006/relationships/ctrlProp" Target="../ctrlProps/ctrlProp316.xml"/><Relationship Id="rId11" Type="http://schemas.openxmlformats.org/officeDocument/2006/relationships/ctrlProp" Target="../ctrlProps/ctrlProp220.xml"/><Relationship Id="rId32" Type="http://schemas.openxmlformats.org/officeDocument/2006/relationships/ctrlProp" Target="../ctrlProps/ctrlProp241.xml"/><Relationship Id="rId53" Type="http://schemas.openxmlformats.org/officeDocument/2006/relationships/ctrlProp" Target="../ctrlProps/ctrlProp262.xml"/><Relationship Id="rId74" Type="http://schemas.openxmlformats.org/officeDocument/2006/relationships/ctrlProp" Target="../ctrlProps/ctrlProp283.xml"/><Relationship Id="rId128" Type="http://schemas.openxmlformats.org/officeDocument/2006/relationships/ctrlProp" Target="../ctrlProps/ctrlProp337.xml"/><Relationship Id="rId149" Type="http://schemas.openxmlformats.org/officeDocument/2006/relationships/ctrlProp" Target="../ctrlProps/ctrlProp358.xml"/><Relationship Id="rId5" Type="http://schemas.openxmlformats.org/officeDocument/2006/relationships/ctrlProp" Target="../ctrlProps/ctrlProp214.xml"/><Relationship Id="rId95" Type="http://schemas.openxmlformats.org/officeDocument/2006/relationships/ctrlProp" Target="../ctrlProps/ctrlProp304.xml"/><Relationship Id="rId160" Type="http://schemas.openxmlformats.org/officeDocument/2006/relationships/ctrlProp" Target="../ctrlProps/ctrlProp369.xml"/><Relationship Id="rId181" Type="http://schemas.openxmlformats.org/officeDocument/2006/relationships/ctrlProp" Target="../ctrlProps/ctrlProp390.xml"/><Relationship Id="rId22" Type="http://schemas.openxmlformats.org/officeDocument/2006/relationships/ctrlProp" Target="../ctrlProps/ctrlProp231.xml"/><Relationship Id="rId43" Type="http://schemas.openxmlformats.org/officeDocument/2006/relationships/ctrlProp" Target="../ctrlProps/ctrlProp252.xml"/><Relationship Id="rId64" Type="http://schemas.openxmlformats.org/officeDocument/2006/relationships/ctrlProp" Target="../ctrlProps/ctrlProp273.xml"/><Relationship Id="rId118" Type="http://schemas.openxmlformats.org/officeDocument/2006/relationships/ctrlProp" Target="../ctrlProps/ctrlProp327.xml"/><Relationship Id="rId139" Type="http://schemas.openxmlformats.org/officeDocument/2006/relationships/ctrlProp" Target="../ctrlProps/ctrlProp348.xml"/><Relationship Id="rId85" Type="http://schemas.openxmlformats.org/officeDocument/2006/relationships/ctrlProp" Target="../ctrlProps/ctrlProp294.xml"/><Relationship Id="rId150" Type="http://schemas.openxmlformats.org/officeDocument/2006/relationships/ctrlProp" Target="../ctrlProps/ctrlProp359.xml"/><Relationship Id="rId171" Type="http://schemas.openxmlformats.org/officeDocument/2006/relationships/ctrlProp" Target="../ctrlProps/ctrlProp380.xml"/><Relationship Id="rId192" Type="http://schemas.openxmlformats.org/officeDocument/2006/relationships/ctrlProp" Target="../ctrlProps/ctrlProp401.xml"/><Relationship Id="rId206" Type="http://schemas.openxmlformats.org/officeDocument/2006/relationships/ctrlProp" Target="../ctrlProps/ctrlProp415.xml"/><Relationship Id="rId12" Type="http://schemas.openxmlformats.org/officeDocument/2006/relationships/ctrlProp" Target="../ctrlProps/ctrlProp221.xml"/><Relationship Id="rId33" Type="http://schemas.openxmlformats.org/officeDocument/2006/relationships/ctrlProp" Target="../ctrlProps/ctrlProp242.xml"/><Relationship Id="rId108" Type="http://schemas.openxmlformats.org/officeDocument/2006/relationships/ctrlProp" Target="../ctrlProps/ctrlProp317.xml"/><Relationship Id="rId129" Type="http://schemas.openxmlformats.org/officeDocument/2006/relationships/ctrlProp" Target="../ctrlProps/ctrlProp338.xml"/><Relationship Id="rId54" Type="http://schemas.openxmlformats.org/officeDocument/2006/relationships/ctrlProp" Target="../ctrlProps/ctrlProp263.xml"/><Relationship Id="rId75" Type="http://schemas.openxmlformats.org/officeDocument/2006/relationships/ctrlProp" Target="../ctrlProps/ctrlProp284.xml"/><Relationship Id="rId96" Type="http://schemas.openxmlformats.org/officeDocument/2006/relationships/ctrlProp" Target="../ctrlProps/ctrlProp305.xml"/><Relationship Id="rId140" Type="http://schemas.openxmlformats.org/officeDocument/2006/relationships/ctrlProp" Target="../ctrlProps/ctrlProp349.xml"/><Relationship Id="rId161" Type="http://schemas.openxmlformats.org/officeDocument/2006/relationships/ctrlProp" Target="../ctrlProps/ctrlProp370.xml"/><Relationship Id="rId182" Type="http://schemas.openxmlformats.org/officeDocument/2006/relationships/ctrlProp" Target="../ctrlProps/ctrlProp391.xml"/><Relationship Id="rId6" Type="http://schemas.openxmlformats.org/officeDocument/2006/relationships/ctrlProp" Target="../ctrlProps/ctrlProp215.xml"/><Relationship Id="rId23" Type="http://schemas.openxmlformats.org/officeDocument/2006/relationships/ctrlProp" Target="../ctrlProps/ctrlProp232.xml"/><Relationship Id="rId119" Type="http://schemas.openxmlformats.org/officeDocument/2006/relationships/ctrlProp" Target="../ctrlProps/ctrlProp328.xml"/><Relationship Id="rId44" Type="http://schemas.openxmlformats.org/officeDocument/2006/relationships/ctrlProp" Target="../ctrlProps/ctrlProp253.xml"/><Relationship Id="rId65" Type="http://schemas.openxmlformats.org/officeDocument/2006/relationships/ctrlProp" Target="../ctrlProps/ctrlProp274.xml"/><Relationship Id="rId86" Type="http://schemas.openxmlformats.org/officeDocument/2006/relationships/ctrlProp" Target="../ctrlProps/ctrlProp295.xml"/><Relationship Id="rId130" Type="http://schemas.openxmlformats.org/officeDocument/2006/relationships/ctrlProp" Target="../ctrlProps/ctrlProp339.xml"/><Relationship Id="rId151" Type="http://schemas.openxmlformats.org/officeDocument/2006/relationships/ctrlProp" Target="../ctrlProps/ctrlProp360.xml"/><Relationship Id="rId172" Type="http://schemas.openxmlformats.org/officeDocument/2006/relationships/ctrlProp" Target="../ctrlProps/ctrlProp381.xml"/><Relationship Id="rId193" Type="http://schemas.openxmlformats.org/officeDocument/2006/relationships/ctrlProp" Target="../ctrlProps/ctrlProp402.xml"/><Relationship Id="rId207" Type="http://schemas.openxmlformats.org/officeDocument/2006/relationships/ctrlProp" Target="../ctrlProps/ctrlProp416.xml"/><Relationship Id="rId13" Type="http://schemas.openxmlformats.org/officeDocument/2006/relationships/ctrlProp" Target="../ctrlProps/ctrlProp222.xml"/><Relationship Id="rId109" Type="http://schemas.openxmlformats.org/officeDocument/2006/relationships/ctrlProp" Target="../ctrlProps/ctrlProp318.xml"/><Relationship Id="rId34" Type="http://schemas.openxmlformats.org/officeDocument/2006/relationships/ctrlProp" Target="../ctrlProps/ctrlProp243.xml"/><Relationship Id="rId55" Type="http://schemas.openxmlformats.org/officeDocument/2006/relationships/ctrlProp" Target="../ctrlProps/ctrlProp264.xml"/><Relationship Id="rId76" Type="http://schemas.openxmlformats.org/officeDocument/2006/relationships/ctrlProp" Target="../ctrlProps/ctrlProp285.xml"/><Relationship Id="rId97" Type="http://schemas.openxmlformats.org/officeDocument/2006/relationships/ctrlProp" Target="../ctrlProps/ctrlProp306.xml"/><Relationship Id="rId120" Type="http://schemas.openxmlformats.org/officeDocument/2006/relationships/ctrlProp" Target="../ctrlProps/ctrlProp329.xml"/><Relationship Id="rId141" Type="http://schemas.openxmlformats.org/officeDocument/2006/relationships/ctrlProp" Target="../ctrlProps/ctrlProp350.xml"/><Relationship Id="rId7" Type="http://schemas.openxmlformats.org/officeDocument/2006/relationships/ctrlProp" Target="../ctrlProps/ctrlProp216.xml"/><Relationship Id="rId162" Type="http://schemas.openxmlformats.org/officeDocument/2006/relationships/ctrlProp" Target="../ctrlProps/ctrlProp371.xml"/><Relationship Id="rId183" Type="http://schemas.openxmlformats.org/officeDocument/2006/relationships/ctrlProp" Target="../ctrlProps/ctrlProp392.xml"/><Relationship Id="rId24" Type="http://schemas.openxmlformats.org/officeDocument/2006/relationships/ctrlProp" Target="../ctrlProps/ctrlProp233.xml"/><Relationship Id="rId45" Type="http://schemas.openxmlformats.org/officeDocument/2006/relationships/ctrlProp" Target="../ctrlProps/ctrlProp254.xml"/><Relationship Id="rId66" Type="http://schemas.openxmlformats.org/officeDocument/2006/relationships/ctrlProp" Target="../ctrlProps/ctrlProp275.xml"/><Relationship Id="rId87" Type="http://schemas.openxmlformats.org/officeDocument/2006/relationships/ctrlProp" Target="../ctrlProps/ctrlProp296.xml"/><Relationship Id="rId110" Type="http://schemas.openxmlformats.org/officeDocument/2006/relationships/ctrlProp" Target="../ctrlProps/ctrlProp319.xml"/><Relationship Id="rId131" Type="http://schemas.openxmlformats.org/officeDocument/2006/relationships/ctrlProp" Target="../ctrlProps/ctrlProp340.xml"/><Relationship Id="rId152" Type="http://schemas.openxmlformats.org/officeDocument/2006/relationships/ctrlProp" Target="../ctrlProps/ctrlProp361.xml"/><Relationship Id="rId173" Type="http://schemas.openxmlformats.org/officeDocument/2006/relationships/ctrlProp" Target="../ctrlProps/ctrlProp382.xml"/><Relationship Id="rId194" Type="http://schemas.openxmlformats.org/officeDocument/2006/relationships/ctrlProp" Target="../ctrlProps/ctrlProp403.xml"/><Relationship Id="rId208" Type="http://schemas.openxmlformats.org/officeDocument/2006/relationships/ctrlProp" Target="../ctrlProps/ctrlProp417.xml"/><Relationship Id="rId19" Type="http://schemas.openxmlformats.org/officeDocument/2006/relationships/ctrlProp" Target="../ctrlProps/ctrlProp228.xml"/><Relationship Id="rId14" Type="http://schemas.openxmlformats.org/officeDocument/2006/relationships/ctrlProp" Target="../ctrlProps/ctrlProp223.xml"/><Relationship Id="rId30" Type="http://schemas.openxmlformats.org/officeDocument/2006/relationships/ctrlProp" Target="../ctrlProps/ctrlProp239.xml"/><Relationship Id="rId35" Type="http://schemas.openxmlformats.org/officeDocument/2006/relationships/ctrlProp" Target="../ctrlProps/ctrlProp244.xml"/><Relationship Id="rId56" Type="http://schemas.openxmlformats.org/officeDocument/2006/relationships/ctrlProp" Target="../ctrlProps/ctrlProp265.xml"/><Relationship Id="rId77" Type="http://schemas.openxmlformats.org/officeDocument/2006/relationships/ctrlProp" Target="../ctrlProps/ctrlProp286.xml"/><Relationship Id="rId100" Type="http://schemas.openxmlformats.org/officeDocument/2006/relationships/ctrlProp" Target="../ctrlProps/ctrlProp309.xml"/><Relationship Id="rId105" Type="http://schemas.openxmlformats.org/officeDocument/2006/relationships/ctrlProp" Target="../ctrlProps/ctrlProp314.xml"/><Relationship Id="rId126" Type="http://schemas.openxmlformats.org/officeDocument/2006/relationships/ctrlProp" Target="../ctrlProps/ctrlProp335.xml"/><Relationship Id="rId147" Type="http://schemas.openxmlformats.org/officeDocument/2006/relationships/ctrlProp" Target="../ctrlProps/ctrlProp356.xml"/><Relationship Id="rId168" Type="http://schemas.openxmlformats.org/officeDocument/2006/relationships/ctrlProp" Target="../ctrlProps/ctrlProp377.xml"/><Relationship Id="rId8" Type="http://schemas.openxmlformats.org/officeDocument/2006/relationships/ctrlProp" Target="../ctrlProps/ctrlProp217.xml"/><Relationship Id="rId51" Type="http://schemas.openxmlformats.org/officeDocument/2006/relationships/ctrlProp" Target="../ctrlProps/ctrlProp260.xml"/><Relationship Id="rId72" Type="http://schemas.openxmlformats.org/officeDocument/2006/relationships/ctrlProp" Target="../ctrlProps/ctrlProp281.xml"/><Relationship Id="rId93" Type="http://schemas.openxmlformats.org/officeDocument/2006/relationships/ctrlProp" Target="../ctrlProps/ctrlProp302.xml"/><Relationship Id="rId98" Type="http://schemas.openxmlformats.org/officeDocument/2006/relationships/ctrlProp" Target="../ctrlProps/ctrlProp307.xml"/><Relationship Id="rId121" Type="http://schemas.openxmlformats.org/officeDocument/2006/relationships/ctrlProp" Target="../ctrlProps/ctrlProp330.xml"/><Relationship Id="rId142" Type="http://schemas.openxmlformats.org/officeDocument/2006/relationships/ctrlProp" Target="../ctrlProps/ctrlProp351.xml"/><Relationship Id="rId163" Type="http://schemas.openxmlformats.org/officeDocument/2006/relationships/ctrlProp" Target="../ctrlProps/ctrlProp372.xml"/><Relationship Id="rId184" Type="http://schemas.openxmlformats.org/officeDocument/2006/relationships/ctrlProp" Target="../ctrlProps/ctrlProp393.xml"/><Relationship Id="rId189" Type="http://schemas.openxmlformats.org/officeDocument/2006/relationships/ctrlProp" Target="../ctrlProps/ctrlProp398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423.xml"/><Relationship Id="rId25" Type="http://schemas.openxmlformats.org/officeDocument/2006/relationships/ctrlProp" Target="../ctrlProps/ctrlProp234.xml"/><Relationship Id="rId46" Type="http://schemas.openxmlformats.org/officeDocument/2006/relationships/ctrlProp" Target="../ctrlProps/ctrlProp255.xml"/><Relationship Id="rId67" Type="http://schemas.openxmlformats.org/officeDocument/2006/relationships/ctrlProp" Target="../ctrlProps/ctrlProp276.xml"/><Relationship Id="rId116" Type="http://schemas.openxmlformats.org/officeDocument/2006/relationships/ctrlProp" Target="../ctrlProps/ctrlProp325.xml"/><Relationship Id="rId137" Type="http://schemas.openxmlformats.org/officeDocument/2006/relationships/ctrlProp" Target="../ctrlProps/ctrlProp346.xml"/><Relationship Id="rId158" Type="http://schemas.openxmlformats.org/officeDocument/2006/relationships/ctrlProp" Target="../ctrlProps/ctrlProp367.xml"/><Relationship Id="rId20" Type="http://schemas.openxmlformats.org/officeDocument/2006/relationships/ctrlProp" Target="../ctrlProps/ctrlProp229.xml"/><Relationship Id="rId41" Type="http://schemas.openxmlformats.org/officeDocument/2006/relationships/ctrlProp" Target="../ctrlProps/ctrlProp250.xml"/><Relationship Id="rId62" Type="http://schemas.openxmlformats.org/officeDocument/2006/relationships/ctrlProp" Target="../ctrlProps/ctrlProp271.xml"/><Relationship Id="rId83" Type="http://schemas.openxmlformats.org/officeDocument/2006/relationships/ctrlProp" Target="../ctrlProps/ctrlProp292.xml"/><Relationship Id="rId88" Type="http://schemas.openxmlformats.org/officeDocument/2006/relationships/ctrlProp" Target="../ctrlProps/ctrlProp297.xml"/><Relationship Id="rId111" Type="http://schemas.openxmlformats.org/officeDocument/2006/relationships/ctrlProp" Target="../ctrlProps/ctrlProp320.xml"/><Relationship Id="rId132" Type="http://schemas.openxmlformats.org/officeDocument/2006/relationships/ctrlProp" Target="../ctrlProps/ctrlProp341.xml"/><Relationship Id="rId153" Type="http://schemas.openxmlformats.org/officeDocument/2006/relationships/ctrlProp" Target="../ctrlProps/ctrlProp362.xml"/><Relationship Id="rId174" Type="http://schemas.openxmlformats.org/officeDocument/2006/relationships/ctrlProp" Target="../ctrlProps/ctrlProp383.xml"/><Relationship Id="rId179" Type="http://schemas.openxmlformats.org/officeDocument/2006/relationships/ctrlProp" Target="../ctrlProps/ctrlProp388.xml"/><Relationship Id="rId195" Type="http://schemas.openxmlformats.org/officeDocument/2006/relationships/ctrlProp" Target="../ctrlProps/ctrlProp404.xml"/><Relationship Id="rId209" Type="http://schemas.openxmlformats.org/officeDocument/2006/relationships/ctrlProp" Target="../ctrlProps/ctrlProp418.xml"/><Relationship Id="rId190" Type="http://schemas.openxmlformats.org/officeDocument/2006/relationships/ctrlProp" Target="../ctrlProps/ctrlProp399.xml"/><Relationship Id="rId204" Type="http://schemas.openxmlformats.org/officeDocument/2006/relationships/ctrlProp" Target="../ctrlProps/ctrlProp413.xml"/><Relationship Id="rId15" Type="http://schemas.openxmlformats.org/officeDocument/2006/relationships/ctrlProp" Target="../ctrlProps/ctrlProp224.xml"/><Relationship Id="rId36" Type="http://schemas.openxmlformats.org/officeDocument/2006/relationships/ctrlProp" Target="../ctrlProps/ctrlProp245.xml"/><Relationship Id="rId57" Type="http://schemas.openxmlformats.org/officeDocument/2006/relationships/ctrlProp" Target="../ctrlProps/ctrlProp266.xml"/><Relationship Id="rId106" Type="http://schemas.openxmlformats.org/officeDocument/2006/relationships/ctrlProp" Target="../ctrlProps/ctrlProp315.xml"/><Relationship Id="rId127" Type="http://schemas.openxmlformats.org/officeDocument/2006/relationships/ctrlProp" Target="../ctrlProps/ctrlProp336.xml"/><Relationship Id="rId10" Type="http://schemas.openxmlformats.org/officeDocument/2006/relationships/ctrlProp" Target="../ctrlProps/ctrlProp219.xml"/><Relationship Id="rId31" Type="http://schemas.openxmlformats.org/officeDocument/2006/relationships/ctrlProp" Target="../ctrlProps/ctrlProp240.xml"/><Relationship Id="rId52" Type="http://schemas.openxmlformats.org/officeDocument/2006/relationships/ctrlProp" Target="../ctrlProps/ctrlProp261.xml"/><Relationship Id="rId73" Type="http://schemas.openxmlformats.org/officeDocument/2006/relationships/ctrlProp" Target="../ctrlProps/ctrlProp282.xml"/><Relationship Id="rId78" Type="http://schemas.openxmlformats.org/officeDocument/2006/relationships/ctrlProp" Target="../ctrlProps/ctrlProp287.xml"/><Relationship Id="rId94" Type="http://schemas.openxmlformats.org/officeDocument/2006/relationships/ctrlProp" Target="../ctrlProps/ctrlProp303.xml"/><Relationship Id="rId99" Type="http://schemas.openxmlformats.org/officeDocument/2006/relationships/ctrlProp" Target="../ctrlProps/ctrlProp308.xml"/><Relationship Id="rId101" Type="http://schemas.openxmlformats.org/officeDocument/2006/relationships/ctrlProp" Target="../ctrlProps/ctrlProp310.xml"/><Relationship Id="rId122" Type="http://schemas.openxmlformats.org/officeDocument/2006/relationships/ctrlProp" Target="../ctrlProps/ctrlProp331.xml"/><Relationship Id="rId143" Type="http://schemas.openxmlformats.org/officeDocument/2006/relationships/ctrlProp" Target="../ctrlProps/ctrlProp352.xml"/><Relationship Id="rId148" Type="http://schemas.openxmlformats.org/officeDocument/2006/relationships/ctrlProp" Target="../ctrlProps/ctrlProp357.xml"/><Relationship Id="rId164" Type="http://schemas.openxmlformats.org/officeDocument/2006/relationships/ctrlProp" Target="../ctrlProps/ctrlProp373.xml"/><Relationship Id="rId169" Type="http://schemas.openxmlformats.org/officeDocument/2006/relationships/ctrlProp" Target="../ctrlProps/ctrlProp378.xml"/><Relationship Id="rId185" Type="http://schemas.openxmlformats.org/officeDocument/2006/relationships/ctrlProp" Target="../ctrlProps/ctrlProp394.xml"/><Relationship Id="rId4" Type="http://schemas.openxmlformats.org/officeDocument/2006/relationships/ctrlProp" Target="../ctrlProps/ctrlProp213.xml"/><Relationship Id="rId9" Type="http://schemas.openxmlformats.org/officeDocument/2006/relationships/ctrlProp" Target="../ctrlProps/ctrlProp218.xml"/><Relationship Id="rId180" Type="http://schemas.openxmlformats.org/officeDocument/2006/relationships/ctrlProp" Target="../ctrlProps/ctrlProp389.xml"/><Relationship Id="rId210" Type="http://schemas.openxmlformats.org/officeDocument/2006/relationships/ctrlProp" Target="../ctrlProps/ctrlProp419.xml"/><Relationship Id="rId215" Type="http://schemas.openxmlformats.org/officeDocument/2006/relationships/ctrlProp" Target="../ctrlProps/ctrlProp424.xml"/><Relationship Id="rId26" Type="http://schemas.openxmlformats.org/officeDocument/2006/relationships/ctrlProp" Target="../ctrlProps/ctrlProp235.xml"/><Relationship Id="rId47" Type="http://schemas.openxmlformats.org/officeDocument/2006/relationships/ctrlProp" Target="../ctrlProps/ctrlProp256.xml"/><Relationship Id="rId68" Type="http://schemas.openxmlformats.org/officeDocument/2006/relationships/ctrlProp" Target="../ctrlProps/ctrlProp277.xml"/><Relationship Id="rId89" Type="http://schemas.openxmlformats.org/officeDocument/2006/relationships/ctrlProp" Target="../ctrlProps/ctrlProp298.xml"/><Relationship Id="rId112" Type="http://schemas.openxmlformats.org/officeDocument/2006/relationships/ctrlProp" Target="../ctrlProps/ctrlProp321.xml"/><Relationship Id="rId133" Type="http://schemas.openxmlformats.org/officeDocument/2006/relationships/ctrlProp" Target="../ctrlProps/ctrlProp342.xml"/><Relationship Id="rId154" Type="http://schemas.openxmlformats.org/officeDocument/2006/relationships/ctrlProp" Target="../ctrlProps/ctrlProp363.xml"/><Relationship Id="rId175" Type="http://schemas.openxmlformats.org/officeDocument/2006/relationships/ctrlProp" Target="../ctrlProps/ctrlProp384.xml"/><Relationship Id="rId196" Type="http://schemas.openxmlformats.org/officeDocument/2006/relationships/ctrlProp" Target="../ctrlProps/ctrlProp405.xml"/><Relationship Id="rId200" Type="http://schemas.openxmlformats.org/officeDocument/2006/relationships/ctrlProp" Target="../ctrlProps/ctrlProp409.xml"/><Relationship Id="rId16" Type="http://schemas.openxmlformats.org/officeDocument/2006/relationships/ctrlProp" Target="../ctrlProps/ctrlProp225.xml"/><Relationship Id="rId37" Type="http://schemas.openxmlformats.org/officeDocument/2006/relationships/ctrlProp" Target="../ctrlProps/ctrlProp246.xml"/><Relationship Id="rId58" Type="http://schemas.openxmlformats.org/officeDocument/2006/relationships/ctrlProp" Target="../ctrlProps/ctrlProp267.xml"/><Relationship Id="rId79" Type="http://schemas.openxmlformats.org/officeDocument/2006/relationships/ctrlProp" Target="../ctrlProps/ctrlProp288.xml"/><Relationship Id="rId102" Type="http://schemas.openxmlformats.org/officeDocument/2006/relationships/ctrlProp" Target="../ctrlProps/ctrlProp311.xml"/><Relationship Id="rId123" Type="http://schemas.openxmlformats.org/officeDocument/2006/relationships/ctrlProp" Target="../ctrlProps/ctrlProp332.xml"/><Relationship Id="rId144" Type="http://schemas.openxmlformats.org/officeDocument/2006/relationships/ctrlProp" Target="../ctrlProps/ctrlProp353.xml"/><Relationship Id="rId90" Type="http://schemas.openxmlformats.org/officeDocument/2006/relationships/ctrlProp" Target="../ctrlProps/ctrlProp299.xml"/><Relationship Id="rId165" Type="http://schemas.openxmlformats.org/officeDocument/2006/relationships/ctrlProp" Target="../ctrlProps/ctrlProp374.xml"/><Relationship Id="rId186" Type="http://schemas.openxmlformats.org/officeDocument/2006/relationships/ctrlProp" Target="../ctrlProps/ctrlProp395.xml"/><Relationship Id="rId211" Type="http://schemas.openxmlformats.org/officeDocument/2006/relationships/ctrlProp" Target="../ctrlProps/ctrlProp420.xml"/><Relationship Id="rId27" Type="http://schemas.openxmlformats.org/officeDocument/2006/relationships/ctrlProp" Target="../ctrlProps/ctrlProp236.xml"/><Relationship Id="rId48" Type="http://schemas.openxmlformats.org/officeDocument/2006/relationships/ctrlProp" Target="../ctrlProps/ctrlProp257.xml"/><Relationship Id="rId69" Type="http://schemas.openxmlformats.org/officeDocument/2006/relationships/ctrlProp" Target="../ctrlProps/ctrlProp278.xml"/><Relationship Id="rId113" Type="http://schemas.openxmlformats.org/officeDocument/2006/relationships/ctrlProp" Target="../ctrlProps/ctrlProp322.xml"/><Relationship Id="rId134" Type="http://schemas.openxmlformats.org/officeDocument/2006/relationships/ctrlProp" Target="../ctrlProps/ctrlProp343.xml"/><Relationship Id="rId80" Type="http://schemas.openxmlformats.org/officeDocument/2006/relationships/ctrlProp" Target="../ctrlProps/ctrlProp289.xml"/><Relationship Id="rId155" Type="http://schemas.openxmlformats.org/officeDocument/2006/relationships/ctrlProp" Target="../ctrlProps/ctrlProp364.xml"/><Relationship Id="rId176" Type="http://schemas.openxmlformats.org/officeDocument/2006/relationships/ctrlProp" Target="../ctrlProps/ctrlProp385.xml"/><Relationship Id="rId197" Type="http://schemas.openxmlformats.org/officeDocument/2006/relationships/ctrlProp" Target="../ctrlProps/ctrlProp406.xml"/><Relationship Id="rId201" Type="http://schemas.openxmlformats.org/officeDocument/2006/relationships/ctrlProp" Target="../ctrlProps/ctrlProp410.xml"/><Relationship Id="rId17" Type="http://schemas.openxmlformats.org/officeDocument/2006/relationships/ctrlProp" Target="../ctrlProps/ctrlProp226.xml"/><Relationship Id="rId38" Type="http://schemas.openxmlformats.org/officeDocument/2006/relationships/ctrlProp" Target="../ctrlProps/ctrlProp247.xml"/><Relationship Id="rId59" Type="http://schemas.openxmlformats.org/officeDocument/2006/relationships/ctrlProp" Target="../ctrlProps/ctrlProp268.xml"/><Relationship Id="rId103" Type="http://schemas.openxmlformats.org/officeDocument/2006/relationships/ctrlProp" Target="../ctrlProps/ctrlProp312.xml"/><Relationship Id="rId124" Type="http://schemas.openxmlformats.org/officeDocument/2006/relationships/ctrlProp" Target="../ctrlProps/ctrlProp333.xml"/><Relationship Id="rId70" Type="http://schemas.openxmlformats.org/officeDocument/2006/relationships/ctrlProp" Target="../ctrlProps/ctrlProp279.xml"/><Relationship Id="rId91" Type="http://schemas.openxmlformats.org/officeDocument/2006/relationships/ctrlProp" Target="../ctrlProps/ctrlProp300.xml"/><Relationship Id="rId145" Type="http://schemas.openxmlformats.org/officeDocument/2006/relationships/ctrlProp" Target="../ctrlProps/ctrlProp354.xml"/><Relationship Id="rId166" Type="http://schemas.openxmlformats.org/officeDocument/2006/relationships/ctrlProp" Target="../ctrlProps/ctrlProp375.xml"/><Relationship Id="rId187" Type="http://schemas.openxmlformats.org/officeDocument/2006/relationships/ctrlProp" Target="../ctrlProps/ctrlProp396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421.xml"/><Relationship Id="rId28" Type="http://schemas.openxmlformats.org/officeDocument/2006/relationships/ctrlProp" Target="../ctrlProps/ctrlProp237.xml"/><Relationship Id="rId49" Type="http://schemas.openxmlformats.org/officeDocument/2006/relationships/ctrlProp" Target="../ctrlProps/ctrlProp258.xml"/><Relationship Id="rId114" Type="http://schemas.openxmlformats.org/officeDocument/2006/relationships/ctrlProp" Target="../ctrlProps/ctrlProp323.xml"/><Relationship Id="rId60" Type="http://schemas.openxmlformats.org/officeDocument/2006/relationships/ctrlProp" Target="../ctrlProps/ctrlProp269.xml"/><Relationship Id="rId81" Type="http://schemas.openxmlformats.org/officeDocument/2006/relationships/ctrlProp" Target="../ctrlProps/ctrlProp290.xml"/><Relationship Id="rId135" Type="http://schemas.openxmlformats.org/officeDocument/2006/relationships/ctrlProp" Target="../ctrlProps/ctrlProp344.xml"/><Relationship Id="rId156" Type="http://schemas.openxmlformats.org/officeDocument/2006/relationships/ctrlProp" Target="../ctrlProps/ctrlProp365.xml"/><Relationship Id="rId177" Type="http://schemas.openxmlformats.org/officeDocument/2006/relationships/ctrlProp" Target="../ctrlProps/ctrlProp386.xml"/><Relationship Id="rId198" Type="http://schemas.openxmlformats.org/officeDocument/2006/relationships/ctrlProp" Target="../ctrlProps/ctrlProp407.xml"/><Relationship Id="rId202" Type="http://schemas.openxmlformats.org/officeDocument/2006/relationships/ctrlProp" Target="../ctrlProps/ctrlProp411.xml"/><Relationship Id="rId18" Type="http://schemas.openxmlformats.org/officeDocument/2006/relationships/ctrlProp" Target="../ctrlProps/ctrlProp227.xml"/><Relationship Id="rId39" Type="http://schemas.openxmlformats.org/officeDocument/2006/relationships/ctrlProp" Target="../ctrlProps/ctrlProp248.xml"/><Relationship Id="rId50" Type="http://schemas.openxmlformats.org/officeDocument/2006/relationships/ctrlProp" Target="../ctrlProps/ctrlProp259.xml"/><Relationship Id="rId104" Type="http://schemas.openxmlformats.org/officeDocument/2006/relationships/ctrlProp" Target="../ctrlProps/ctrlProp313.xml"/><Relationship Id="rId125" Type="http://schemas.openxmlformats.org/officeDocument/2006/relationships/ctrlProp" Target="../ctrlProps/ctrlProp334.xml"/><Relationship Id="rId146" Type="http://schemas.openxmlformats.org/officeDocument/2006/relationships/ctrlProp" Target="../ctrlProps/ctrlProp355.xml"/><Relationship Id="rId167" Type="http://schemas.openxmlformats.org/officeDocument/2006/relationships/ctrlProp" Target="../ctrlProps/ctrlProp376.xml"/><Relationship Id="rId188" Type="http://schemas.openxmlformats.org/officeDocument/2006/relationships/ctrlProp" Target="../ctrlProps/ctrlProp397.xml"/><Relationship Id="rId71" Type="http://schemas.openxmlformats.org/officeDocument/2006/relationships/ctrlProp" Target="../ctrlProps/ctrlProp280.xml"/><Relationship Id="rId92" Type="http://schemas.openxmlformats.org/officeDocument/2006/relationships/ctrlProp" Target="../ctrlProps/ctrlProp301.xml"/><Relationship Id="rId213" Type="http://schemas.openxmlformats.org/officeDocument/2006/relationships/ctrlProp" Target="../ctrlProps/ctrlProp422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38.xml"/><Relationship Id="rId40" Type="http://schemas.openxmlformats.org/officeDocument/2006/relationships/ctrlProp" Target="../ctrlProps/ctrlProp249.xml"/><Relationship Id="rId115" Type="http://schemas.openxmlformats.org/officeDocument/2006/relationships/ctrlProp" Target="../ctrlProps/ctrlProp324.xml"/><Relationship Id="rId136" Type="http://schemas.openxmlformats.org/officeDocument/2006/relationships/ctrlProp" Target="../ctrlProps/ctrlProp345.xml"/><Relationship Id="rId157" Type="http://schemas.openxmlformats.org/officeDocument/2006/relationships/ctrlProp" Target="../ctrlProps/ctrlProp366.xml"/><Relationship Id="rId178" Type="http://schemas.openxmlformats.org/officeDocument/2006/relationships/ctrlProp" Target="../ctrlProps/ctrlProp387.xml"/><Relationship Id="rId61" Type="http://schemas.openxmlformats.org/officeDocument/2006/relationships/ctrlProp" Target="../ctrlProps/ctrlProp270.xml"/><Relationship Id="rId82" Type="http://schemas.openxmlformats.org/officeDocument/2006/relationships/ctrlProp" Target="../ctrlProps/ctrlProp291.xml"/><Relationship Id="rId199" Type="http://schemas.openxmlformats.org/officeDocument/2006/relationships/ctrlProp" Target="../ctrlProps/ctrlProp408.xml"/><Relationship Id="rId203" Type="http://schemas.openxmlformats.org/officeDocument/2006/relationships/ctrlProp" Target="../ctrlProps/ctrlProp412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38.xml"/><Relationship Id="rId21" Type="http://schemas.openxmlformats.org/officeDocument/2006/relationships/ctrlProp" Target="../ctrlProps/ctrlProp442.xml"/><Relationship Id="rId42" Type="http://schemas.openxmlformats.org/officeDocument/2006/relationships/ctrlProp" Target="../ctrlProps/ctrlProp463.xml"/><Relationship Id="rId63" Type="http://schemas.openxmlformats.org/officeDocument/2006/relationships/ctrlProp" Target="../ctrlProps/ctrlProp484.xml"/><Relationship Id="rId84" Type="http://schemas.openxmlformats.org/officeDocument/2006/relationships/ctrlProp" Target="../ctrlProps/ctrlProp505.xml"/><Relationship Id="rId138" Type="http://schemas.openxmlformats.org/officeDocument/2006/relationships/ctrlProp" Target="../ctrlProps/ctrlProp559.xml"/><Relationship Id="rId159" Type="http://schemas.openxmlformats.org/officeDocument/2006/relationships/ctrlProp" Target="../ctrlProps/ctrlProp580.xml"/><Relationship Id="rId170" Type="http://schemas.openxmlformats.org/officeDocument/2006/relationships/ctrlProp" Target="../ctrlProps/ctrlProp591.xml"/><Relationship Id="rId191" Type="http://schemas.openxmlformats.org/officeDocument/2006/relationships/ctrlProp" Target="../ctrlProps/ctrlProp612.xml"/><Relationship Id="rId205" Type="http://schemas.openxmlformats.org/officeDocument/2006/relationships/ctrlProp" Target="../ctrlProps/ctrlProp626.xml"/><Relationship Id="rId107" Type="http://schemas.openxmlformats.org/officeDocument/2006/relationships/ctrlProp" Target="../ctrlProps/ctrlProp528.xml"/><Relationship Id="rId11" Type="http://schemas.openxmlformats.org/officeDocument/2006/relationships/ctrlProp" Target="../ctrlProps/ctrlProp432.xml"/><Relationship Id="rId32" Type="http://schemas.openxmlformats.org/officeDocument/2006/relationships/ctrlProp" Target="../ctrlProps/ctrlProp453.xml"/><Relationship Id="rId53" Type="http://schemas.openxmlformats.org/officeDocument/2006/relationships/ctrlProp" Target="../ctrlProps/ctrlProp474.xml"/><Relationship Id="rId74" Type="http://schemas.openxmlformats.org/officeDocument/2006/relationships/ctrlProp" Target="../ctrlProps/ctrlProp495.xml"/><Relationship Id="rId128" Type="http://schemas.openxmlformats.org/officeDocument/2006/relationships/ctrlProp" Target="../ctrlProps/ctrlProp549.xml"/><Relationship Id="rId149" Type="http://schemas.openxmlformats.org/officeDocument/2006/relationships/ctrlProp" Target="../ctrlProps/ctrlProp570.xml"/><Relationship Id="rId5" Type="http://schemas.openxmlformats.org/officeDocument/2006/relationships/ctrlProp" Target="../ctrlProps/ctrlProp426.xml"/><Relationship Id="rId95" Type="http://schemas.openxmlformats.org/officeDocument/2006/relationships/ctrlProp" Target="../ctrlProps/ctrlProp516.xml"/><Relationship Id="rId160" Type="http://schemas.openxmlformats.org/officeDocument/2006/relationships/ctrlProp" Target="../ctrlProps/ctrlProp581.xml"/><Relationship Id="rId181" Type="http://schemas.openxmlformats.org/officeDocument/2006/relationships/ctrlProp" Target="../ctrlProps/ctrlProp602.xml"/><Relationship Id="rId22" Type="http://schemas.openxmlformats.org/officeDocument/2006/relationships/ctrlProp" Target="../ctrlProps/ctrlProp443.xml"/><Relationship Id="rId43" Type="http://schemas.openxmlformats.org/officeDocument/2006/relationships/ctrlProp" Target="../ctrlProps/ctrlProp464.xml"/><Relationship Id="rId64" Type="http://schemas.openxmlformats.org/officeDocument/2006/relationships/ctrlProp" Target="../ctrlProps/ctrlProp485.xml"/><Relationship Id="rId118" Type="http://schemas.openxmlformats.org/officeDocument/2006/relationships/ctrlProp" Target="../ctrlProps/ctrlProp539.xml"/><Relationship Id="rId139" Type="http://schemas.openxmlformats.org/officeDocument/2006/relationships/ctrlProp" Target="../ctrlProps/ctrlProp560.xml"/><Relationship Id="rId85" Type="http://schemas.openxmlformats.org/officeDocument/2006/relationships/ctrlProp" Target="../ctrlProps/ctrlProp506.xml"/><Relationship Id="rId150" Type="http://schemas.openxmlformats.org/officeDocument/2006/relationships/ctrlProp" Target="../ctrlProps/ctrlProp571.xml"/><Relationship Id="rId171" Type="http://schemas.openxmlformats.org/officeDocument/2006/relationships/ctrlProp" Target="../ctrlProps/ctrlProp592.xml"/><Relationship Id="rId192" Type="http://schemas.openxmlformats.org/officeDocument/2006/relationships/ctrlProp" Target="../ctrlProps/ctrlProp613.xml"/><Relationship Id="rId206" Type="http://schemas.openxmlformats.org/officeDocument/2006/relationships/ctrlProp" Target="../ctrlProps/ctrlProp627.xml"/><Relationship Id="rId12" Type="http://schemas.openxmlformats.org/officeDocument/2006/relationships/ctrlProp" Target="../ctrlProps/ctrlProp433.xml"/><Relationship Id="rId33" Type="http://schemas.openxmlformats.org/officeDocument/2006/relationships/ctrlProp" Target="../ctrlProps/ctrlProp454.xml"/><Relationship Id="rId108" Type="http://schemas.openxmlformats.org/officeDocument/2006/relationships/ctrlProp" Target="../ctrlProps/ctrlProp529.xml"/><Relationship Id="rId129" Type="http://schemas.openxmlformats.org/officeDocument/2006/relationships/ctrlProp" Target="../ctrlProps/ctrlProp550.xml"/><Relationship Id="rId54" Type="http://schemas.openxmlformats.org/officeDocument/2006/relationships/ctrlProp" Target="../ctrlProps/ctrlProp475.xml"/><Relationship Id="rId75" Type="http://schemas.openxmlformats.org/officeDocument/2006/relationships/ctrlProp" Target="../ctrlProps/ctrlProp496.xml"/><Relationship Id="rId96" Type="http://schemas.openxmlformats.org/officeDocument/2006/relationships/ctrlProp" Target="../ctrlProps/ctrlProp517.xml"/><Relationship Id="rId140" Type="http://schemas.openxmlformats.org/officeDocument/2006/relationships/ctrlProp" Target="../ctrlProps/ctrlProp561.xml"/><Relationship Id="rId161" Type="http://schemas.openxmlformats.org/officeDocument/2006/relationships/ctrlProp" Target="../ctrlProps/ctrlProp582.xml"/><Relationship Id="rId182" Type="http://schemas.openxmlformats.org/officeDocument/2006/relationships/ctrlProp" Target="../ctrlProps/ctrlProp603.xml"/><Relationship Id="rId6" Type="http://schemas.openxmlformats.org/officeDocument/2006/relationships/ctrlProp" Target="../ctrlProps/ctrlProp427.xml"/><Relationship Id="rId23" Type="http://schemas.openxmlformats.org/officeDocument/2006/relationships/ctrlProp" Target="../ctrlProps/ctrlProp444.xml"/><Relationship Id="rId119" Type="http://schemas.openxmlformats.org/officeDocument/2006/relationships/ctrlProp" Target="../ctrlProps/ctrlProp540.xml"/><Relationship Id="rId44" Type="http://schemas.openxmlformats.org/officeDocument/2006/relationships/ctrlProp" Target="../ctrlProps/ctrlProp465.xml"/><Relationship Id="rId65" Type="http://schemas.openxmlformats.org/officeDocument/2006/relationships/ctrlProp" Target="../ctrlProps/ctrlProp486.xml"/><Relationship Id="rId86" Type="http://schemas.openxmlformats.org/officeDocument/2006/relationships/ctrlProp" Target="../ctrlProps/ctrlProp507.xml"/><Relationship Id="rId130" Type="http://schemas.openxmlformats.org/officeDocument/2006/relationships/ctrlProp" Target="../ctrlProps/ctrlProp551.xml"/><Relationship Id="rId151" Type="http://schemas.openxmlformats.org/officeDocument/2006/relationships/ctrlProp" Target="../ctrlProps/ctrlProp572.xml"/><Relationship Id="rId172" Type="http://schemas.openxmlformats.org/officeDocument/2006/relationships/ctrlProp" Target="../ctrlProps/ctrlProp593.xml"/><Relationship Id="rId193" Type="http://schemas.openxmlformats.org/officeDocument/2006/relationships/ctrlProp" Target="../ctrlProps/ctrlProp614.xml"/><Relationship Id="rId207" Type="http://schemas.openxmlformats.org/officeDocument/2006/relationships/ctrlProp" Target="../ctrlProps/ctrlProp628.xml"/><Relationship Id="rId13" Type="http://schemas.openxmlformats.org/officeDocument/2006/relationships/ctrlProp" Target="../ctrlProps/ctrlProp434.xml"/><Relationship Id="rId109" Type="http://schemas.openxmlformats.org/officeDocument/2006/relationships/ctrlProp" Target="../ctrlProps/ctrlProp530.xml"/><Relationship Id="rId34" Type="http://schemas.openxmlformats.org/officeDocument/2006/relationships/ctrlProp" Target="../ctrlProps/ctrlProp455.xml"/><Relationship Id="rId55" Type="http://schemas.openxmlformats.org/officeDocument/2006/relationships/ctrlProp" Target="../ctrlProps/ctrlProp476.xml"/><Relationship Id="rId76" Type="http://schemas.openxmlformats.org/officeDocument/2006/relationships/ctrlProp" Target="../ctrlProps/ctrlProp497.xml"/><Relationship Id="rId97" Type="http://schemas.openxmlformats.org/officeDocument/2006/relationships/ctrlProp" Target="../ctrlProps/ctrlProp518.xml"/><Relationship Id="rId120" Type="http://schemas.openxmlformats.org/officeDocument/2006/relationships/ctrlProp" Target="../ctrlProps/ctrlProp541.xml"/><Relationship Id="rId141" Type="http://schemas.openxmlformats.org/officeDocument/2006/relationships/ctrlProp" Target="../ctrlProps/ctrlProp562.xml"/><Relationship Id="rId7" Type="http://schemas.openxmlformats.org/officeDocument/2006/relationships/ctrlProp" Target="../ctrlProps/ctrlProp428.xml"/><Relationship Id="rId162" Type="http://schemas.openxmlformats.org/officeDocument/2006/relationships/ctrlProp" Target="../ctrlProps/ctrlProp583.xml"/><Relationship Id="rId183" Type="http://schemas.openxmlformats.org/officeDocument/2006/relationships/ctrlProp" Target="../ctrlProps/ctrlProp604.xml"/><Relationship Id="rId24" Type="http://schemas.openxmlformats.org/officeDocument/2006/relationships/ctrlProp" Target="../ctrlProps/ctrlProp445.xml"/><Relationship Id="rId45" Type="http://schemas.openxmlformats.org/officeDocument/2006/relationships/ctrlProp" Target="../ctrlProps/ctrlProp466.xml"/><Relationship Id="rId66" Type="http://schemas.openxmlformats.org/officeDocument/2006/relationships/ctrlProp" Target="../ctrlProps/ctrlProp487.xml"/><Relationship Id="rId87" Type="http://schemas.openxmlformats.org/officeDocument/2006/relationships/ctrlProp" Target="../ctrlProps/ctrlProp508.xml"/><Relationship Id="rId110" Type="http://schemas.openxmlformats.org/officeDocument/2006/relationships/ctrlProp" Target="../ctrlProps/ctrlProp531.xml"/><Relationship Id="rId131" Type="http://schemas.openxmlformats.org/officeDocument/2006/relationships/ctrlProp" Target="../ctrlProps/ctrlProp552.xml"/><Relationship Id="rId152" Type="http://schemas.openxmlformats.org/officeDocument/2006/relationships/ctrlProp" Target="../ctrlProps/ctrlProp573.xml"/><Relationship Id="rId173" Type="http://schemas.openxmlformats.org/officeDocument/2006/relationships/ctrlProp" Target="../ctrlProps/ctrlProp594.xml"/><Relationship Id="rId194" Type="http://schemas.openxmlformats.org/officeDocument/2006/relationships/ctrlProp" Target="../ctrlProps/ctrlProp615.xml"/><Relationship Id="rId208" Type="http://schemas.openxmlformats.org/officeDocument/2006/relationships/ctrlProp" Target="../ctrlProps/ctrlProp629.xml"/><Relationship Id="rId19" Type="http://schemas.openxmlformats.org/officeDocument/2006/relationships/ctrlProp" Target="../ctrlProps/ctrlProp440.xml"/><Relationship Id="rId14" Type="http://schemas.openxmlformats.org/officeDocument/2006/relationships/ctrlProp" Target="../ctrlProps/ctrlProp435.xml"/><Relationship Id="rId30" Type="http://schemas.openxmlformats.org/officeDocument/2006/relationships/ctrlProp" Target="../ctrlProps/ctrlProp451.xml"/><Relationship Id="rId35" Type="http://schemas.openxmlformats.org/officeDocument/2006/relationships/ctrlProp" Target="../ctrlProps/ctrlProp456.xml"/><Relationship Id="rId56" Type="http://schemas.openxmlformats.org/officeDocument/2006/relationships/ctrlProp" Target="../ctrlProps/ctrlProp477.xml"/><Relationship Id="rId77" Type="http://schemas.openxmlformats.org/officeDocument/2006/relationships/ctrlProp" Target="../ctrlProps/ctrlProp498.xml"/><Relationship Id="rId100" Type="http://schemas.openxmlformats.org/officeDocument/2006/relationships/ctrlProp" Target="../ctrlProps/ctrlProp521.xml"/><Relationship Id="rId105" Type="http://schemas.openxmlformats.org/officeDocument/2006/relationships/ctrlProp" Target="../ctrlProps/ctrlProp526.xml"/><Relationship Id="rId126" Type="http://schemas.openxmlformats.org/officeDocument/2006/relationships/ctrlProp" Target="../ctrlProps/ctrlProp547.xml"/><Relationship Id="rId147" Type="http://schemas.openxmlformats.org/officeDocument/2006/relationships/ctrlProp" Target="../ctrlProps/ctrlProp568.xml"/><Relationship Id="rId168" Type="http://schemas.openxmlformats.org/officeDocument/2006/relationships/ctrlProp" Target="../ctrlProps/ctrlProp589.xml"/><Relationship Id="rId8" Type="http://schemas.openxmlformats.org/officeDocument/2006/relationships/ctrlProp" Target="../ctrlProps/ctrlProp429.xml"/><Relationship Id="rId51" Type="http://schemas.openxmlformats.org/officeDocument/2006/relationships/ctrlProp" Target="../ctrlProps/ctrlProp472.xml"/><Relationship Id="rId72" Type="http://schemas.openxmlformats.org/officeDocument/2006/relationships/ctrlProp" Target="../ctrlProps/ctrlProp493.xml"/><Relationship Id="rId93" Type="http://schemas.openxmlformats.org/officeDocument/2006/relationships/ctrlProp" Target="../ctrlProps/ctrlProp514.xml"/><Relationship Id="rId98" Type="http://schemas.openxmlformats.org/officeDocument/2006/relationships/ctrlProp" Target="../ctrlProps/ctrlProp519.xml"/><Relationship Id="rId121" Type="http://schemas.openxmlformats.org/officeDocument/2006/relationships/ctrlProp" Target="../ctrlProps/ctrlProp542.xml"/><Relationship Id="rId142" Type="http://schemas.openxmlformats.org/officeDocument/2006/relationships/ctrlProp" Target="../ctrlProps/ctrlProp563.xml"/><Relationship Id="rId163" Type="http://schemas.openxmlformats.org/officeDocument/2006/relationships/ctrlProp" Target="../ctrlProps/ctrlProp584.xml"/><Relationship Id="rId184" Type="http://schemas.openxmlformats.org/officeDocument/2006/relationships/ctrlProp" Target="../ctrlProps/ctrlProp605.xml"/><Relationship Id="rId189" Type="http://schemas.openxmlformats.org/officeDocument/2006/relationships/ctrlProp" Target="../ctrlProps/ctrlProp610.xml"/><Relationship Id="rId3" Type="http://schemas.openxmlformats.org/officeDocument/2006/relationships/vmlDrawing" Target="../drawings/vmlDrawing3.vml"/><Relationship Id="rId214" Type="http://schemas.openxmlformats.org/officeDocument/2006/relationships/ctrlProp" Target="../ctrlProps/ctrlProp635.xml"/><Relationship Id="rId25" Type="http://schemas.openxmlformats.org/officeDocument/2006/relationships/ctrlProp" Target="../ctrlProps/ctrlProp446.xml"/><Relationship Id="rId46" Type="http://schemas.openxmlformats.org/officeDocument/2006/relationships/ctrlProp" Target="../ctrlProps/ctrlProp467.xml"/><Relationship Id="rId67" Type="http://schemas.openxmlformats.org/officeDocument/2006/relationships/ctrlProp" Target="../ctrlProps/ctrlProp488.xml"/><Relationship Id="rId116" Type="http://schemas.openxmlformats.org/officeDocument/2006/relationships/ctrlProp" Target="../ctrlProps/ctrlProp537.xml"/><Relationship Id="rId137" Type="http://schemas.openxmlformats.org/officeDocument/2006/relationships/ctrlProp" Target="../ctrlProps/ctrlProp558.xml"/><Relationship Id="rId158" Type="http://schemas.openxmlformats.org/officeDocument/2006/relationships/ctrlProp" Target="../ctrlProps/ctrlProp579.xml"/><Relationship Id="rId20" Type="http://schemas.openxmlformats.org/officeDocument/2006/relationships/ctrlProp" Target="../ctrlProps/ctrlProp441.xml"/><Relationship Id="rId41" Type="http://schemas.openxmlformats.org/officeDocument/2006/relationships/ctrlProp" Target="../ctrlProps/ctrlProp462.xml"/><Relationship Id="rId62" Type="http://schemas.openxmlformats.org/officeDocument/2006/relationships/ctrlProp" Target="../ctrlProps/ctrlProp483.xml"/><Relationship Id="rId83" Type="http://schemas.openxmlformats.org/officeDocument/2006/relationships/ctrlProp" Target="../ctrlProps/ctrlProp504.xml"/><Relationship Id="rId88" Type="http://schemas.openxmlformats.org/officeDocument/2006/relationships/ctrlProp" Target="../ctrlProps/ctrlProp509.xml"/><Relationship Id="rId111" Type="http://schemas.openxmlformats.org/officeDocument/2006/relationships/ctrlProp" Target="../ctrlProps/ctrlProp532.xml"/><Relationship Id="rId132" Type="http://schemas.openxmlformats.org/officeDocument/2006/relationships/ctrlProp" Target="../ctrlProps/ctrlProp553.xml"/><Relationship Id="rId153" Type="http://schemas.openxmlformats.org/officeDocument/2006/relationships/ctrlProp" Target="../ctrlProps/ctrlProp574.xml"/><Relationship Id="rId174" Type="http://schemas.openxmlformats.org/officeDocument/2006/relationships/ctrlProp" Target="../ctrlProps/ctrlProp595.xml"/><Relationship Id="rId179" Type="http://schemas.openxmlformats.org/officeDocument/2006/relationships/ctrlProp" Target="../ctrlProps/ctrlProp600.xml"/><Relationship Id="rId195" Type="http://schemas.openxmlformats.org/officeDocument/2006/relationships/ctrlProp" Target="../ctrlProps/ctrlProp616.xml"/><Relationship Id="rId209" Type="http://schemas.openxmlformats.org/officeDocument/2006/relationships/ctrlProp" Target="../ctrlProps/ctrlProp630.xml"/><Relationship Id="rId190" Type="http://schemas.openxmlformats.org/officeDocument/2006/relationships/ctrlProp" Target="../ctrlProps/ctrlProp611.xml"/><Relationship Id="rId204" Type="http://schemas.openxmlformats.org/officeDocument/2006/relationships/ctrlProp" Target="../ctrlProps/ctrlProp625.xml"/><Relationship Id="rId15" Type="http://schemas.openxmlformats.org/officeDocument/2006/relationships/ctrlProp" Target="../ctrlProps/ctrlProp436.xml"/><Relationship Id="rId36" Type="http://schemas.openxmlformats.org/officeDocument/2006/relationships/ctrlProp" Target="../ctrlProps/ctrlProp457.xml"/><Relationship Id="rId57" Type="http://schemas.openxmlformats.org/officeDocument/2006/relationships/ctrlProp" Target="../ctrlProps/ctrlProp478.xml"/><Relationship Id="rId106" Type="http://schemas.openxmlformats.org/officeDocument/2006/relationships/ctrlProp" Target="../ctrlProps/ctrlProp527.xml"/><Relationship Id="rId127" Type="http://schemas.openxmlformats.org/officeDocument/2006/relationships/ctrlProp" Target="../ctrlProps/ctrlProp548.xml"/><Relationship Id="rId10" Type="http://schemas.openxmlformats.org/officeDocument/2006/relationships/ctrlProp" Target="../ctrlProps/ctrlProp431.xml"/><Relationship Id="rId31" Type="http://schemas.openxmlformats.org/officeDocument/2006/relationships/ctrlProp" Target="../ctrlProps/ctrlProp452.xml"/><Relationship Id="rId52" Type="http://schemas.openxmlformats.org/officeDocument/2006/relationships/ctrlProp" Target="../ctrlProps/ctrlProp473.xml"/><Relationship Id="rId73" Type="http://schemas.openxmlformats.org/officeDocument/2006/relationships/ctrlProp" Target="../ctrlProps/ctrlProp494.xml"/><Relationship Id="rId78" Type="http://schemas.openxmlformats.org/officeDocument/2006/relationships/ctrlProp" Target="../ctrlProps/ctrlProp499.xml"/><Relationship Id="rId94" Type="http://schemas.openxmlformats.org/officeDocument/2006/relationships/ctrlProp" Target="../ctrlProps/ctrlProp515.xml"/><Relationship Id="rId99" Type="http://schemas.openxmlformats.org/officeDocument/2006/relationships/ctrlProp" Target="../ctrlProps/ctrlProp520.xml"/><Relationship Id="rId101" Type="http://schemas.openxmlformats.org/officeDocument/2006/relationships/ctrlProp" Target="../ctrlProps/ctrlProp522.xml"/><Relationship Id="rId122" Type="http://schemas.openxmlformats.org/officeDocument/2006/relationships/ctrlProp" Target="../ctrlProps/ctrlProp543.xml"/><Relationship Id="rId143" Type="http://schemas.openxmlformats.org/officeDocument/2006/relationships/ctrlProp" Target="../ctrlProps/ctrlProp564.xml"/><Relationship Id="rId148" Type="http://schemas.openxmlformats.org/officeDocument/2006/relationships/ctrlProp" Target="../ctrlProps/ctrlProp569.xml"/><Relationship Id="rId164" Type="http://schemas.openxmlformats.org/officeDocument/2006/relationships/ctrlProp" Target="../ctrlProps/ctrlProp585.xml"/><Relationship Id="rId169" Type="http://schemas.openxmlformats.org/officeDocument/2006/relationships/ctrlProp" Target="../ctrlProps/ctrlProp590.xml"/><Relationship Id="rId185" Type="http://schemas.openxmlformats.org/officeDocument/2006/relationships/ctrlProp" Target="../ctrlProps/ctrlProp606.xml"/><Relationship Id="rId4" Type="http://schemas.openxmlformats.org/officeDocument/2006/relationships/ctrlProp" Target="../ctrlProps/ctrlProp425.xml"/><Relationship Id="rId9" Type="http://schemas.openxmlformats.org/officeDocument/2006/relationships/ctrlProp" Target="../ctrlProps/ctrlProp430.xml"/><Relationship Id="rId180" Type="http://schemas.openxmlformats.org/officeDocument/2006/relationships/ctrlProp" Target="../ctrlProps/ctrlProp601.xml"/><Relationship Id="rId210" Type="http://schemas.openxmlformats.org/officeDocument/2006/relationships/ctrlProp" Target="../ctrlProps/ctrlProp631.xml"/><Relationship Id="rId215" Type="http://schemas.openxmlformats.org/officeDocument/2006/relationships/ctrlProp" Target="../ctrlProps/ctrlProp636.xml"/><Relationship Id="rId26" Type="http://schemas.openxmlformats.org/officeDocument/2006/relationships/ctrlProp" Target="../ctrlProps/ctrlProp447.xml"/><Relationship Id="rId47" Type="http://schemas.openxmlformats.org/officeDocument/2006/relationships/ctrlProp" Target="../ctrlProps/ctrlProp468.xml"/><Relationship Id="rId68" Type="http://schemas.openxmlformats.org/officeDocument/2006/relationships/ctrlProp" Target="../ctrlProps/ctrlProp489.xml"/><Relationship Id="rId89" Type="http://schemas.openxmlformats.org/officeDocument/2006/relationships/ctrlProp" Target="../ctrlProps/ctrlProp510.xml"/><Relationship Id="rId112" Type="http://schemas.openxmlformats.org/officeDocument/2006/relationships/ctrlProp" Target="../ctrlProps/ctrlProp533.xml"/><Relationship Id="rId133" Type="http://schemas.openxmlformats.org/officeDocument/2006/relationships/ctrlProp" Target="../ctrlProps/ctrlProp554.xml"/><Relationship Id="rId154" Type="http://schemas.openxmlformats.org/officeDocument/2006/relationships/ctrlProp" Target="../ctrlProps/ctrlProp575.xml"/><Relationship Id="rId175" Type="http://schemas.openxmlformats.org/officeDocument/2006/relationships/ctrlProp" Target="../ctrlProps/ctrlProp596.xml"/><Relationship Id="rId196" Type="http://schemas.openxmlformats.org/officeDocument/2006/relationships/ctrlProp" Target="../ctrlProps/ctrlProp617.xml"/><Relationship Id="rId200" Type="http://schemas.openxmlformats.org/officeDocument/2006/relationships/ctrlProp" Target="../ctrlProps/ctrlProp621.xml"/><Relationship Id="rId16" Type="http://schemas.openxmlformats.org/officeDocument/2006/relationships/ctrlProp" Target="../ctrlProps/ctrlProp437.xml"/><Relationship Id="rId37" Type="http://schemas.openxmlformats.org/officeDocument/2006/relationships/ctrlProp" Target="../ctrlProps/ctrlProp458.xml"/><Relationship Id="rId58" Type="http://schemas.openxmlformats.org/officeDocument/2006/relationships/ctrlProp" Target="../ctrlProps/ctrlProp479.xml"/><Relationship Id="rId79" Type="http://schemas.openxmlformats.org/officeDocument/2006/relationships/ctrlProp" Target="../ctrlProps/ctrlProp500.xml"/><Relationship Id="rId102" Type="http://schemas.openxmlformats.org/officeDocument/2006/relationships/ctrlProp" Target="../ctrlProps/ctrlProp523.xml"/><Relationship Id="rId123" Type="http://schemas.openxmlformats.org/officeDocument/2006/relationships/ctrlProp" Target="../ctrlProps/ctrlProp544.xml"/><Relationship Id="rId144" Type="http://schemas.openxmlformats.org/officeDocument/2006/relationships/ctrlProp" Target="../ctrlProps/ctrlProp565.xml"/><Relationship Id="rId90" Type="http://schemas.openxmlformats.org/officeDocument/2006/relationships/ctrlProp" Target="../ctrlProps/ctrlProp511.xml"/><Relationship Id="rId165" Type="http://schemas.openxmlformats.org/officeDocument/2006/relationships/ctrlProp" Target="../ctrlProps/ctrlProp586.xml"/><Relationship Id="rId186" Type="http://schemas.openxmlformats.org/officeDocument/2006/relationships/ctrlProp" Target="../ctrlProps/ctrlProp607.xml"/><Relationship Id="rId211" Type="http://schemas.openxmlformats.org/officeDocument/2006/relationships/ctrlProp" Target="../ctrlProps/ctrlProp632.xml"/><Relationship Id="rId27" Type="http://schemas.openxmlformats.org/officeDocument/2006/relationships/ctrlProp" Target="../ctrlProps/ctrlProp448.xml"/><Relationship Id="rId48" Type="http://schemas.openxmlformats.org/officeDocument/2006/relationships/ctrlProp" Target="../ctrlProps/ctrlProp469.xml"/><Relationship Id="rId69" Type="http://schemas.openxmlformats.org/officeDocument/2006/relationships/ctrlProp" Target="../ctrlProps/ctrlProp490.xml"/><Relationship Id="rId113" Type="http://schemas.openxmlformats.org/officeDocument/2006/relationships/ctrlProp" Target="../ctrlProps/ctrlProp534.xml"/><Relationship Id="rId134" Type="http://schemas.openxmlformats.org/officeDocument/2006/relationships/ctrlProp" Target="../ctrlProps/ctrlProp555.xml"/><Relationship Id="rId80" Type="http://schemas.openxmlformats.org/officeDocument/2006/relationships/ctrlProp" Target="../ctrlProps/ctrlProp501.xml"/><Relationship Id="rId155" Type="http://schemas.openxmlformats.org/officeDocument/2006/relationships/ctrlProp" Target="../ctrlProps/ctrlProp576.xml"/><Relationship Id="rId176" Type="http://schemas.openxmlformats.org/officeDocument/2006/relationships/ctrlProp" Target="../ctrlProps/ctrlProp597.xml"/><Relationship Id="rId197" Type="http://schemas.openxmlformats.org/officeDocument/2006/relationships/ctrlProp" Target="../ctrlProps/ctrlProp618.xml"/><Relationship Id="rId201" Type="http://schemas.openxmlformats.org/officeDocument/2006/relationships/ctrlProp" Target="../ctrlProps/ctrlProp622.xml"/><Relationship Id="rId17" Type="http://schemas.openxmlformats.org/officeDocument/2006/relationships/ctrlProp" Target="../ctrlProps/ctrlProp438.xml"/><Relationship Id="rId38" Type="http://schemas.openxmlformats.org/officeDocument/2006/relationships/ctrlProp" Target="../ctrlProps/ctrlProp459.xml"/><Relationship Id="rId59" Type="http://schemas.openxmlformats.org/officeDocument/2006/relationships/ctrlProp" Target="../ctrlProps/ctrlProp480.xml"/><Relationship Id="rId103" Type="http://schemas.openxmlformats.org/officeDocument/2006/relationships/ctrlProp" Target="../ctrlProps/ctrlProp524.xml"/><Relationship Id="rId124" Type="http://schemas.openxmlformats.org/officeDocument/2006/relationships/ctrlProp" Target="../ctrlProps/ctrlProp545.xml"/><Relationship Id="rId70" Type="http://schemas.openxmlformats.org/officeDocument/2006/relationships/ctrlProp" Target="../ctrlProps/ctrlProp491.xml"/><Relationship Id="rId91" Type="http://schemas.openxmlformats.org/officeDocument/2006/relationships/ctrlProp" Target="../ctrlProps/ctrlProp512.xml"/><Relationship Id="rId145" Type="http://schemas.openxmlformats.org/officeDocument/2006/relationships/ctrlProp" Target="../ctrlProps/ctrlProp566.xml"/><Relationship Id="rId166" Type="http://schemas.openxmlformats.org/officeDocument/2006/relationships/ctrlProp" Target="../ctrlProps/ctrlProp587.xml"/><Relationship Id="rId187" Type="http://schemas.openxmlformats.org/officeDocument/2006/relationships/ctrlProp" Target="../ctrlProps/ctrlProp608.xml"/><Relationship Id="rId1" Type="http://schemas.openxmlformats.org/officeDocument/2006/relationships/printerSettings" Target="../printerSettings/printerSettings3.bin"/><Relationship Id="rId212" Type="http://schemas.openxmlformats.org/officeDocument/2006/relationships/ctrlProp" Target="../ctrlProps/ctrlProp633.xml"/><Relationship Id="rId28" Type="http://schemas.openxmlformats.org/officeDocument/2006/relationships/ctrlProp" Target="../ctrlProps/ctrlProp449.xml"/><Relationship Id="rId49" Type="http://schemas.openxmlformats.org/officeDocument/2006/relationships/ctrlProp" Target="../ctrlProps/ctrlProp470.xml"/><Relationship Id="rId114" Type="http://schemas.openxmlformats.org/officeDocument/2006/relationships/ctrlProp" Target="../ctrlProps/ctrlProp535.xml"/><Relationship Id="rId60" Type="http://schemas.openxmlformats.org/officeDocument/2006/relationships/ctrlProp" Target="../ctrlProps/ctrlProp481.xml"/><Relationship Id="rId81" Type="http://schemas.openxmlformats.org/officeDocument/2006/relationships/ctrlProp" Target="../ctrlProps/ctrlProp502.xml"/><Relationship Id="rId135" Type="http://schemas.openxmlformats.org/officeDocument/2006/relationships/ctrlProp" Target="../ctrlProps/ctrlProp556.xml"/><Relationship Id="rId156" Type="http://schemas.openxmlformats.org/officeDocument/2006/relationships/ctrlProp" Target="../ctrlProps/ctrlProp577.xml"/><Relationship Id="rId177" Type="http://schemas.openxmlformats.org/officeDocument/2006/relationships/ctrlProp" Target="../ctrlProps/ctrlProp598.xml"/><Relationship Id="rId198" Type="http://schemas.openxmlformats.org/officeDocument/2006/relationships/ctrlProp" Target="../ctrlProps/ctrlProp619.xml"/><Relationship Id="rId202" Type="http://schemas.openxmlformats.org/officeDocument/2006/relationships/ctrlProp" Target="../ctrlProps/ctrlProp623.xml"/><Relationship Id="rId18" Type="http://schemas.openxmlformats.org/officeDocument/2006/relationships/ctrlProp" Target="../ctrlProps/ctrlProp439.xml"/><Relationship Id="rId39" Type="http://schemas.openxmlformats.org/officeDocument/2006/relationships/ctrlProp" Target="../ctrlProps/ctrlProp460.xml"/><Relationship Id="rId50" Type="http://schemas.openxmlformats.org/officeDocument/2006/relationships/ctrlProp" Target="../ctrlProps/ctrlProp471.xml"/><Relationship Id="rId104" Type="http://schemas.openxmlformats.org/officeDocument/2006/relationships/ctrlProp" Target="../ctrlProps/ctrlProp525.xml"/><Relationship Id="rId125" Type="http://schemas.openxmlformats.org/officeDocument/2006/relationships/ctrlProp" Target="../ctrlProps/ctrlProp546.xml"/><Relationship Id="rId146" Type="http://schemas.openxmlformats.org/officeDocument/2006/relationships/ctrlProp" Target="../ctrlProps/ctrlProp567.xml"/><Relationship Id="rId167" Type="http://schemas.openxmlformats.org/officeDocument/2006/relationships/ctrlProp" Target="../ctrlProps/ctrlProp588.xml"/><Relationship Id="rId188" Type="http://schemas.openxmlformats.org/officeDocument/2006/relationships/ctrlProp" Target="../ctrlProps/ctrlProp609.xml"/><Relationship Id="rId71" Type="http://schemas.openxmlformats.org/officeDocument/2006/relationships/ctrlProp" Target="../ctrlProps/ctrlProp492.xml"/><Relationship Id="rId92" Type="http://schemas.openxmlformats.org/officeDocument/2006/relationships/ctrlProp" Target="../ctrlProps/ctrlProp513.xml"/><Relationship Id="rId213" Type="http://schemas.openxmlformats.org/officeDocument/2006/relationships/ctrlProp" Target="../ctrlProps/ctrlProp634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450.xml"/><Relationship Id="rId40" Type="http://schemas.openxmlformats.org/officeDocument/2006/relationships/ctrlProp" Target="../ctrlProps/ctrlProp461.xml"/><Relationship Id="rId115" Type="http://schemas.openxmlformats.org/officeDocument/2006/relationships/ctrlProp" Target="../ctrlProps/ctrlProp536.xml"/><Relationship Id="rId136" Type="http://schemas.openxmlformats.org/officeDocument/2006/relationships/ctrlProp" Target="../ctrlProps/ctrlProp557.xml"/><Relationship Id="rId157" Type="http://schemas.openxmlformats.org/officeDocument/2006/relationships/ctrlProp" Target="../ctrlProps/ctrlProp578.xml"/><Relationship Id="rId178" Type="http://schemas.openxmlformats.org/officeDocument/2006/relationships/ctrlProp" Target="../ctrlProps/ctrlProp599.xml"/><Relationship Id="rId61" Type="http://schemas.openxmlformats.org/officeDocument/2006/relationships/ctrlProp" Target="../ctrlProps/ctrlProp482.xml"/><Relationship Id="rId82" Type="http://schemas.openxmlformats.org/officeDocument/2006/relationships/ctrlProp" Target="../ctrlProps/ctrlProp503.xml"/><Relationship Id="rId199" Type="http://schemas.openxmlformats.org/officeDocument/2006/relationships/ctrlProp" Target="../ctrlProps/ctrlProp620.xml"/><Relationship Id="rId203" Type="http://schemas.openxmlformats.org/officeDocument/2006/relationships/ctrlProp" Target="../ctrlProps/ctrlProp624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50.xml"/><Relationship Id="rId21" Type="http://schemas.openxmlformats.org/officeDocument/2006/relationships/ctrlProp" Target="../ctrlProps/ctrlProp654.xml"/><Relationship Id="rId42" Type="http://schemas.openxmlformats.org/officeDocument/2006/relationships/ctrlProp" Target="../ctrlProps/ctrlProp675.xml"/><Relationship Id="rId63" Type="http://schemas.openxmlformats.org/officeDocument/2006/relationships/ctrlProp" Target="../ctrlProps/ctrlProp696.xml"/><Relationship Id="rId84" Type="http://schemas.openxmlformats.org/officeDocument/2006/relationships/ctrlProp" Target="../ctrlProps/ctrlProp717.xml"/><Relationship Id="rId138" Type="http://schemas.openxmlformats.org/officeDocument/2006/relationships/ctrlProp" Target="../ctrlProps/ctrlProp771.xml"/><Relationship Id="rId159" Type="http://schemas.openxmlformats.org/officeDocument/2006/relationships/ctrlProp" Target="../ctrlProps/ctrlProp792.xml"/><Relationship Id="rId170" Type="http://schemas.openxmlformats.org/officeDocument/2006/relationships/ctrlProp" Target="../ctrlProps/ctrlProp803.xml"/><Relationship Id="rId191" Type="http://schemas.openxmlformats.org/officeDocument/2006/relationships/ctrlProp" Target="../ctrlProps/ctrlProp824.xml"/><Relationship Id="rId205" Type="http://schemas.openxmlformats.org/officeDocument/2006/relationships/ctrlProp" Target="../ctrlProps/ctrlProp838.xml"/><Relationship Id="rId107" Type="http://schemas.openxmlformats.org/officeDocument/2006/relationships/ctrlProp" Target="../ctrlProps/ctrlProp740.xml"/><Relationship Id="rId11" Type="http://schemas.openxmlformats.org/officeDocument/2006/relationships/ctrlProp" Target="../ctrlProps/ctrlProp644.xml"/><Relationship Id="rId32" Type="http://schemas.openxmlformats.org/officeDocument/2006/relationships/ctrlProp" Target="../ctrlProps/ctrlProp665.xml"/><Relationship Id="rId53" Type="http://schemas.openxmlformats.org/officeDocument/2006/relationships/ctrlProp" Target="../ctrlProps/ctrlProp686.xml"/><Relationship Id="rId74" Type="http://schemas.openxmlformats.org/officeDocument/2006/relationships/ctrlProp" Target="../ctrlProps/ctrlProp707.xml"/><Relationship Id="rId128" Type="http://schemas.openxmlformats.org/officeDocument/2006/relationships/ctrlProp" Target="../ctrlProps/ctrlProp761.xml"/><Relationship Id="rId149" Type="http://schemas.openxmlformats.org/officeDocument/2006/relationships/ctrlProp" Target="../ctrlProps/ctrlProp782.xml"/><Relationship Id="rId5" Type="http://schemas.openxmlformats.org/officeDocument/2006/relationships/ctrlProp" Target="../ctrlProps/ctrlProp638.xml"/><Relationship Id="rId95" Type="http://schemas.openxmlformats.org/officeDocument/2006/relationships/ctrlProp" Target="../ctrlProps/ctrlProp728.xml"/><Relationship Id="rId160" Type="http://schemas.openxmlformats.org/officeDocument/2006/relationships/ctrlProp" Target="../ctrlProps/ctrlProp793.xml"/><Relationship Id="rId181" Type="http://schemas.openxmlformats.org/officeDocument/2006/relationships/ctrlProp" Target="../ctrlProps/ctrlProp814.xml"/><Relationship Id="rId22" Type="http://schemas.openxmlformats.org/officeDocument/2006/relationships/ctrlProp" Target="../ctrlProps/ctrlProp655.xml"/><Relationship Id="rId43" Type="http://schemas.openxmlformats.org/officeDocument/2006/relationships/ctrlProp" Target="../ctrlProps/ctrlProp676.xml"/><Relationship Id="rId64" Type="http://schemas.openxmlformats.org/officeDocument/2006/relationships/ctrlProp" Target="../ctrlProps/ctrlProp697.xml"/><Relationship Id="rId118" Type="http://schemas.openxmlformats.org/officeDocument/2006/relationships/ctrlProp" Target="../ctrlProps/ctrlProp751.xml"/><Relationship Id="rId139" Type="http://schemas.openxmlformats.org/officeDocument/2006/relationships/ctrlProp" Target="../ctrlProps/ctrlProp772.xml"/><Relationship Id="rId85" Type="http://schemas.openxmlformats.org/officeDocument/2006/relationships/ctrlProp" Target="../ctrlProps/ctrlProp718.xml"/><Relationship Id="rId150" Type="http://schemas.openxmlformats.org/officeDocument/2006/relationships/ctrlProp" Target="../ctrlProps/ctrlProp783.xml"/><Relationship Id="rId171" Type="http://schemas.openxmlformats.org/officeDocument/2006/relationships/ctrlProp" Target="../ctrlProps/ctrlProp804.xml"/><Relationship Id="rId192" Type="http://schemas.openxmlformats.org/officeDocument/2006/relationships/ctrlProp" Target="../ctrlProps/ctrlProp825.xml"/><Relationship Id="rId206" Type="http://schemas.openxmlformats.org/officeDocument/2006/relationships/ctrlProp" Target="../ctrlProps/ctrlProp839.xml"/><Relationship Id="rId12" Type="http://schemas.openxmlformats.org/officeDocument/2006/relationships/ctrlProp" Target="../ctrlProps/ctrlProp645.xml"/><Relationship Id="rId33" Type="http://schemas.openxmlformats.org/officeDocument/2006/relationships/ctrlProp" Target="../ctrlProps/ctrlProp666.xml"/><Relationship Id="rId108" Type="http://schemas.openxmlformats.org/officeDocument/2006/relationships/ctrlProp" Target="../ctrlProps/ctrlProp741.xml"/><Relationship Id="rId129" Type="http://schemas.openxmlformats.org/officeDocument/2006/relationships/ctrlProp" Target="../ctrlProps/ctrlProp762.xml"/><Relationship Id="rId54" Type="http://schemas.openxmlformats.org/officeDocument/2006/relationships/ctrlProp" Target="../ctrlProps/ctrlProp687.xml"/><Relationship Id="rId75" Type="http://schemas.openxmlformats.org/officeDocument/2006/relationships/ctrlProp" Target="../ctrlProps/ctrlProp708.xml"/><Relationship Id="rId96" Type="http://schemas.openxmlformats.org/officeDocument/2006/relationships/ctrlProp" Target="../ctrlProps/ctrlProp729.xml"/><Relationship Id="rId140" Type="http://schemas.openxmlformats.org/officeDocument/2006/relationships/ctrlProp" Target="../ctrlProps/ctrlProp773.xml"/><Relationship Id="rId161" Type="http://schemas.openxmlformats.org/officeDocument/2006/relationships/ctrlProp" Target="../ctrlProps/ctrlProp794.xml"/><Relationship Id="rId182" Type="http://schemas.openxmlformats.org/officeDocument/2006/relationships/ctrlProp" Target="../ctrlProps/ctrlProp815.xml"/><Relationship Id="rId6" Type="http://schemas.openxmlformats.org/officeDocument/2006/relationships/ctrlProp" Target="../ctrlProps/ctrlProp639.xml"/><Relationship Id="rId23" Type="http://schemas.openxmlformats.org/officeDocument/2006/relationships/ctrlProp" Target="../ctrlProps/ctrlProp656.xml"/><Relationship Id="rId119" Type="http://schemas.openxmlformats.org/officeDocument/2006/relationships/ctrlProp" Target="../ctrlProps/ctrlProp752.xml"/><Relationship Id="rId44" Type="http://schemas.openxmlformats.org/officeDocument/2006/relationships/ctrlProp" Target="../ctrlProps/ctrlProp677.xml"/><Relationship Id="rId65" Type="http://schemas.openxmlformats.org/officeDocument/2006/relationships/ctrlProp" Target="../ctrlProps/ctrlProp698.xml"/><Relationship Id="rId86" Type="http://schemas.openxmlformats.org/officeDocument/2006/relationships/ctrlProp" Target="../ctrlProps/ctrlProp719.xml"/><Relationship Id="rId130" Type="http://schemas.openxmlformats.org/officeDocument/2006/relationships/ctrlProp" Target="../ctrlProps/ctrlProp763.xml"/><Relationship Id="rId151" Type="http://schemas.openxmlformats.org/officeDocument/2006/relationships/ctrlProp" Target="../ctrlProps/ctrlProp784.xml"/><Relationship Id="rId172" Type="http://schemas.openxmlformats.org/officeDocument/2006/relationships/ctrlProp" Target="../ctrlProps/ctrlProp805.xml"/><Relationship Id="rId193" Type="http://schemas.openxmlformats.org/officeDocument/2006/relationships/ctrlProp" Target="../ctrlProps/ctrlProp826.xml"/><Relationship Id="rId207" Type="http://schemas.openxmlformats.org/officeDocument/2006/relationships/ctrlProp" Target="../ctrlProps/ctrlProp840.xml"/><Relationship Id="rId13" Type="http://schemas.openxmlformats.org/officeDocument/2006/relationships/ctrlProp" Target="../ctrlProps/ctrlProp646.xml"/><Relationship Id="rId109" Type="http://schemas.openxmlformats.org/officeDocument/2006/relationships/ctrlProp" Target="../ctrlProps/ctrlProp742.xml"/><Relationship Id="rId34" Type="http://schemas.openxmlformats.org/officeDocument/2006/relationships/ctrlProp" Target="../ctrlProps/ctrlProp667.xml"/><Relationship Id="rId55" Type="http://schemas.openxmlformats.org/officeDocument/2006/relationships/ctrlProp" Target="../ctrlProps/ctrlProp688.xml"/><Relationship Id="rId76" Type="http://schemas.openxmlformats.org/officeDocument/2006/relationships/ctrlProp" Target="../ctrlProps/ctrlProp709.xml"/><Relationship Id="rId97" Type="http://schemas.openxmlformats.org/officeDocument/2006/relationships/ctrlProp" Target="../ctrlProps/ctrlProp730.xml"/><Relationship Id="rId120" Type="http://schemas.openxmlformats.org/officeDocument/2006/relationships/ctrlProp" Target="../ctrlProps/ctrlProp753.xml"/><Relationship Id="rId141" Type="http://schemas.openxmlformats.org/officeDocument/2006/relationships/ctrlProp" Target="../ctrlProps/ctrlProp774.xml"/><Relationship Id="rId7" Type="http://schemas.openxmlformats.org/officeDocument/2006/relationships/ctrlProp" Target="../ctrlProps/ctrlProp640.xml"/><Relationship Id="rId162" Type="http://schemas.openxmlformats.org/officeDocument/2006/relationships/ctrlProp" Target="../ctrlProps/ctrlProp795.xml"/><Relationship Id="rId183" Type="http://schemas.openxmlformats.org/officeDocument/2006/relationships/ctrlProp" Target="../ctrlProps/ctrlProp816.xml"/><Relationship Id="rId24" Type="http://schemas.openxmlformats.org/officeDocument/2006/relationships/ctrlProp" Target="../ctrlProps/ctrlProp657.xml"/><Relationship Id="rId45" Type="http://schemas.openxmlformats.org/officeDocument/2006/relationships/ctrlProp" Target="../ctrlProps/ctrlProp678.xml"/><Relationship Id="rId66" Type="http://schemas.openxmlformats.org/officeDocument/2006/relationships/ctrlProp" Target="../ctrlProps/ctrlProp699.xml"/><Relationship Id="rId87" Type="http://schemas.openxmlformats.org/officeDocument/2006/relationships/ctrlProp" Target="../ctrlProps/ctrlProp720.xml"/><Relationship Id="rId110" Type="http://schemas.openxmlformats.org/officeDocument/2006/relationships/ctrlProp" Target="../ctrlProps/ctrlProp743.xml"/><Relationship Id="rId131" Type="http://schemas.openxmlformats.org/officeDocument/2006/relationships/ctrlProp" Target="../ctrlProps/ctrlProp764.xml"/><Relationship Id="rId152" Type="http://schemas.openxmlformats.org/officeDocument/2006/relationships/ctrlProp" Target="../ctrlProps/ctrlProp785.xml"/><Relationship Id="rId173" Type="http://schemas.openxmlformats.org/officeDocument/2006/relationships/ctrlProp" Target="../ctrlProps/ctrlProp806.xml"/><Relationship Id="rId194" Type="http://schemas.openxmlformats.org/officeDocument/2006/relationships/ctrlProp" Target="../ctrlProps/ctrlProp827.xml"/><Relationship Id="rId208" Type="http://schemas.openxmlformats.org/officeDocument/2006/relationships/ctrlProp" Target="../ctrlProps/ctrlProp841.xml"/><Relationship Id="rId19" Type="http://schemas.openxmlformats.org/officeDocument/2006/relationships/ctrlProp" Target="../ctrlProps/ctrlProp652.xml"/><Relationship Id="rId14" Type="http://schemas.openxmlformats.org/officeDocument/2006/relationships/ctrlProp" Target="../ctrlProps/ctrlProp647.xml"/><Relationship Id="rId30" Type="http://schemas.openxmlformats.org/officeDocument/2006/relationships/ctrlProp" Target="../ctrlProps/ctrlProp663.xml"/><Relationship Id="rId35" Type="http://schemas.openxmlformats.org/officeDocument/2006/relationships/ctrlProp" Target="../ctrlProps/ctrlProp668.xml"/><Relationship Id="rId56" Type="http://schemas.openxmlformats.org/officeDocument/2006/relationships/ctrlProp" Target="../ctrlProps/ctrlProp689.xml"/><Relationship Id="rId77" Type="http://schemas.openxmlformats.org/officeDocument/2006/relationships/ctrlProp" Target="../ctrlProps/ctrlProp710.xml"/><Relationship Id="rId100" Type="http://schemas.openxmlformats.org/officeDocument/2006/relationships/ctrlProp" Target="../ctrlProps/ctrlProp733.xml"/><Relationship Id="rId105" Type="http://schemas.openxmlformats.org/officeDocument/2006/relationships/ctrlProp" Target="../ctrlProps/ctrlProp738.xml"/><Relationship Id="rId126" Type="http://schemas.openxmlformats.org/officeDocument/2006/relationships/ctrlProp" Target="../ctrlProps/ctrlProp759.xml"/><Relationship Id="rId147" Type="http://schemas.openxmlformats.org/officeDocument/2006/relationships/ctrlProp" Target="../ctrlProps/ctrlProp780.xml"/><Relationship Id="rId168" Type="http://schemas.openxmlformats.org/officeDocument/2006/relationships/ctrlProp" Target="../ctrlProps/ctrlProp801.xml"/><Relationship Id="rId8" Type="http://schemas.openxmlformats.org/officeDocument/2006/relationships/ctrlProp" Target="../ctrlProps/ctrlProp641.xml"/><Relationship Id="rId51" Type="http://schemas.openxmlformats.org/officeDocument/2006/relationships/ctrlProp" Target="../ctrlProps/ctrlProp684.xml"/><Relationship Id="rId72" Type="http://schemas.openxmlformats.org/officeDocument/2006/relationships/ctrlProp" Target="../ctrlProps/ctrlProp705.xml"/><Relationship Id="rId93" Type="http://schemas.openxmlformats.org/officeDocument/2006/relationships/ctrlProp" Target="../ctrlProps/ctrlProp726.xml"/><Relationship Id="rId98" Type="http://schemas.openxmlformats.org/officeDocument/2006/relationships/ctrlProp" Target="../ctrlProps/ctrlProp731.xml"/><Relationship Id="rId121" Type="http://schemas.openxmlformats.org/officeDocument/2006/relationships/ctrlProp" Target="../ctrlProps/ctrlProp754.xml"/><Relationship Id="rId142" Type="http://schemas.openxmlformats.org/officeDocument/2006/relationships/ctrlProp" Target="../ctrlProps/ctrlProp775.xml"/><Relationship Id="rId163" Type="http://schemas.openxmlformats.org/officeDocument/2006/relationships/ctrlProp" Target="../ctrlProps/ctrlProp796.xml"/><Relationship Id="rId184" Type="http://schemas.openxmlformats.org/officeDocument/2006/relationships/ctrlProp" Target="../ctrlProps/ctrlProp817.xml"/><Relationship Id="rId189" Type="http://schemas.openxmlformats.org/officeDocument/2006/relationships/ctrlProp" Target="../ctrlProps/ctrlProp822.xml"/><Relationship Id="rId3" Type="http://schemas.openxmlformats.org/officeDocument/2006/relationships/vmlDrawing" Target="../drawings/vmlDrawing4.vml"/><Relationship Id="rId214" Type="http://schemas.openxmlformats.org/officeDocument/2006/relationships/ctrlProp" Target="../ctrlProps/ctrlProp847.xml"/><Relationship Id="rId25" Type="http://schemas.openxmlformats.org/officeDocument/2006/relationships/ctrlProp" Target="../ctrlProps/ctrlProp658.xml"/><Relationship Id="rId46" Type="http://schemas.openxmlformats.org/officeDocument/2006/relationships/ctrlProp" Target="../ctrlProps/ctrlProp679.xml"/><Relationship Id="rId67" Type="http://schemas.openxmlformats.org/officeDocument/2006/relationships/ctrlProp" Target="../ctrlProps/ctrlProp700.xml"/><Relationship Id="rId116" Type="http://schemas.openxmlformats.org/officeDocument/2006/relationships/ctrlProp" Target="../ctrlProps/ctrlProp749.xml"/><Relationship Id="rId137" Type="http://schemas.openxmlformats.org/officeDocument/2006/relationships/ctrlProp" Target="../ctrlProps/ctrlProp770.xml"/><Relationship Id="rId158" Type="http://schemas.openxmlformats.org/officeDocument/2006/relationships/ctrlProp" Target="../ctrlProps/ctrlProp791.xml"/><Relationship Id="rId20" Type="http://schemas.openxmlformats.org/officeDocument/2006/relationships/ctrlProp" Target="../ctrlProps/ctrlProp653.xml"/><Relationship Id="rId41" Type="http://schemas.openxmlformats.org/officeDocument/2006/relationships/ctrlProp" Target="../ctrlProps/ctrlProp674.xml"/><Relationship Id="rId62" Type="http://schemas.openxmlformats.org/officeDocument/2006/relationships/ctrlProp" Target="../ctrlProps/ctrlProp695.xml"/><Relationship Id="rId83" Type="http://schemas.openxmlformats.org/officeDocument/2006/relationships/ctrlProp" Target="../ctrlProps/ctrlProp716.xml"/><Relationship Id="rId88" Type="http://schemas.openxmlformats.org/officeDocument/2006/relationships/ctrlProp" Target="../ctrlProps/ctrlProp721.xml"/><Relationship Id="rId111" Type="http://schemas.openxmlformats.org/officeDocument/2006/relationships/ctrlProp" Target="../ctrlProps/ctrlProp744.xml"/><Relationship Id="rId132" Type="http://schemas.openxmlformats.org/officeDocument/2006/relationships/ctrlProp" Target="../ctrlProps/ctrlProp765.xml"/><Relationship Id="rId153" Type="http://schemas.openxmlformats.org/officeDocument/2006/relationships/ctrlProp" Target="../ctrlProps/ctrlProp786.xml"/><Relationship Id="rId174" Type="http://schemas.openxmlformats.org/officeDocument/2006/relationships/ctrlProp" Target="../ctrlProps/ctrlProp807.xml"/><Relationship Id="rId179" Type="http://schemas.openxmlformats.org/officeDocument/2006/relationships/ctrlProp" Target="../ctrlProps/ctrlProp812.xml"/><Relationship Id="rId195" Type="http://schemas.openxmlformats.org/officeDocument/2006/relationships/ctrlProp" Target="../ctrlProps/ctrlProp828.xml"/><Relationship Id="rId209" Type="http://schemas.openxmlformats.org/officeDocument/2006/relationships/ctrlProp" Target="../ctrlProps/ctrlProp842.xml"/><Relationship Id="rId190" Type="http://schemas.openxmlformats.org/officeDocument/2006/relationships/ctrlProp" Target="../ctrlProps/ctrlProp823.xml"/><Relationship Id="rId204" Type="http://schemas.openxmlformats.org/officeDocument/2006/relationships/ctrlProp" Target="../ctrlProps/ctrlProp837.xml"/><Relationship Id="rId15" Type="http://schemas.openxmlformats.org/officeDocument/2006/relationships/ctrlProp" Target="../ctrlProps/ctrlProp648.xml"/><Relationship Id="rId36" Type="http://schemas.openxmlformats.org/officeDocument/2006/relationships/ctrlProp" Target="../ctrlProps/ctrlProp669.xml"/><Relationship Id="rId57" Type="http://schemas.openxmlformats.org/officeDocument/2006/relationships/ctrlProp" Target="../ctrlProps/ctrlProp690.xml"/><Relationship Id="rId106" Type="http://schemas.openxmlformats.org/officeDocument/2006/relationships/ctrlProp" Target="../ctrlProps/ctrlProp739.xml"/><Relationship Id="rId127" Type="http://schemas.openxmlformats.org/officeDocument/2006/relationships/ctrlProp" Target="../ctrlProps/ctrlProp760.xml"/><Relationship Id="rId10" Type="http://schemas.openxmlformats.org/officeDocument/2006/relationships/ctrlProp" Target="../ctrlProps/ctrlProp643.xml"/><Relationship Id="rId31" Type="http://schemas.openxmlformats.org/officeDocument/2006/relationships/ctrlProp" Target="../ctrlProps/ctrlProp664.xml"/><Relationship Id="rId52" Type="http://schemas.openxmlformats.org/officeDocument/2006/relationships/ctrlProp" Target="../ctrlProps/ctrlProp685.xml"/><Relationship Id="rId73" Type="http://schemas.openxmlformats.org/officeDocument/2006/relationships/ctrlProp" Target="../ctrlProps/ctrlProp706.xml"/><Relationship Id="rId78" Type="http://schemas.openxmlformats.org/officeDocument/2006/relationships/ctrlProp" Target="../ctrlProps/ctrlProp711.xml"/><Relationship Id="rId94" Type="http://schemas.openxmlformats.org/officeDocument/2006/relationships/ctrlProp" Target="../ctrlProps/ctrlProp727.xml"/><Relationship Id="rId99" Type="http://schemas.openxmlformats.org/officeDocument/2006/relationships/ctrlProp" Target="../ctrlProps/ctrlProp732.xml"/><Relationship Id="rId101" Type="http://schemas.openxmlformats.org/officeDocument/2006/relationships/ctrlProp" Target="../ctrlProps/ctrlProp734.xml"/><Relationship Id="rId122" Type="http://schemas.openxmlformats.org/officeDocument/2006/relationships/ctrlProp" Target="../ctrlProps/ctrlProp755.xml"/><Relationship Id="rId143" Type="http://schemas.openxmlformats.org/officeDocument/2006/relationships/ctrlProp" Target="../ctrlProps/ctrlProp776.xml"/><Relationship Id="rId148" Type="http://schemas.openxmlformats.org/officeDocument/2006/relationships/ctrlProp" Target="../ctrlProps/ctrlProp781.xml"/><Relationship Id="rId164" Type="http://schemas.openxmlformats.org/officeDocument/2006/relationships/ctrlProp" Target="../ctrlProps/ctrlProp797.xml"/><Relationship Id="rId169" Type="http://schemas.openxmlformats.org/officeDocument/2006/relationships/ctrlProp" Target="../ctrlProps/ctrlProp802.xml"/><Relationship Id="rId185" Type="http://schemas.openxmlformats.org/officeDocument/2006/relationships/ctrlProp" Target="../ctrlProps/ctrlProp818.xml"/><Relationship Id="rId4" Type="http://schemas.openxmlformats.org/officeDocument/2006/relationships/ctrlProp" Target="../ctrlProps/ctrlProp637.xml"/><Relationship Id="rId9" Type="http://schemas.openxmlformats.org/officeDocument/2006/relationships/ctrlProp" Target="../ctrlProps/ctrlProp642.xml"/><Relationship Id="rId180" Type="http://schemas.openxmlformats.org/officeDocument/2006/relationships/ctrlProp" Target="../ctrlProps/ctrlProp813.xml"/><Relationship Id="rId210" Type="http://schemas.openxmlformats.org/officeDocument/2006/relationships/ctrlProp" Target="../ctrlProps/ctrlProp843.xml"/><Relationship Id="rId215" Type="http://schemas.openxmlformats.org/officeDocument/2006/relationships/ctrlProp" Target="../ctrlProps/ctrlProp848.xml"/><Relationship Id="rId26" Type="http://schemas.openxmlformats.org/officeDocument/2006/relationships/ctrlProp" Target="../ctrlProps/ctrlProp659.xml"/><Relationship Id="rId47" Type="http://schemas.openxmlformats.org/officeDocument/2006/relationships/ctrlProp" Target="../ctrlProps/ctrlProp680.xml"/><Relationship Id="rId68" Type="http://schemas.openxmlformats.org/officeDocument/2006/relationships/ctrlProp" Target="../ctrlProps/ctrlProp701.xml"/><Relationship Id="rId89" Type="http://schemas.openxmlformats.org/officeDocument/2006/relationships/ctrlProp" Target="../ctrlProps/ctrlProp722.xml"/><Relationship Id="rId112" Type="http://schemas.openxmlformats.org/officeDocument/2006/relationships/ctrlProp" Target="../ctrlProps/ctrlProp745.xml"/><Relationship Id="rId133" Type="http://schemas.openxmlformats.org/officeDocument/2006/relationships/ctrlProp" Target="../ctrlProps/ctrlProp766.xml"/><Relationship Id="rId154" Type="http://schemas.openxmlformats.org/officeDocument/2006/relationships/ctrlProp" Target="../ctrlProps/ctrlProp787.xml"/><Relationship Id="rId175" Type="http://schemas.openxmlformats.org/officeDocument/2006/relationships/ctrlProp" Target="../ctrlProps/ctrlProp808.xml"/><Relationship Id="rId196" Type="http://schemas.openxmlformats.org/officeDocument/2006/relationships/ctrlProp" Target="../ctrlProps/ctrlProp829.xml"/><Relationship Id="rId200" Type="http://schemas.openxmlformats.org/officeDocument/2006/relationships/ctrlProp" Target="../ctrlProps/ctrlProp833.xml"/><Relationship Id="rId16" Type="http://schemas.openxmlformats.org/officeDocument/2006/relationships/ctrlProp" Target="../ctrlProps/ctrlProp649.xml"/><Relationship Id="rId37" Type="http://schemas.openxmlformats.org/officeDocument/2006/relationships/ctrlProp" Target="../ctrlProps/ctrlProp670.xml"/><Relationship Id="rId58" Type="http://schemas.openxmlformats.org/officeDocument/2006/relationships/ctrlProp" Target="../ctrlProps/ctrlProp691.xml"/><Relationship Id="rId79" Type="http://schemas.openxmlformats.org/officeDocument/2006/relationships/ctrlProp" Target="../ctrlProps/ctrlProp712.xml"/><Relationship Id="rId102" Type="http://schemas.openxmlformats.org/officeDocument/2006/relationships/ctrlProp" Target="../ctrlProps/ctrlProp735.xml"/><Relationship Id="rId123" Type="http://schemas.openxmlformats.org/officeDocument/2006/relationships/ctrlProp" Target="../ctrlProps/ctrlProp756.xml"/><Relationship Id="rId144" Type="http://schemas.openxmlformats.org/officeDocument/2006/relationships/ctrlProp" Target="../ctrlProps/ctrlProp777.xml"/><Relationship Id="rId90" Type="http://schemas.openxmlformats.org/officeDocument/2006/relationships/ctrlProp" Target="../ctrlProps/ctrlProp723.xml"/><Relationship Id="rId165" Type="http://schemas.openxmlformats.org/officeDocument/2006/relationships/ctrlProp" Target="../ctrlProps/ctrlProp798.xml"/><Relationship Id="rId186" Type="http://schemas.openxmlformats.org/officeDocument/2006/relationships/ctrlProp" Target="../ctrlProps/ctrlProp819.xml"/><Relationship Id="rId211" Type="http://schemas.openxmlformats.org/officeDocument/2006/relationships/ctrlProp" Target="../ctrlProps/ctrlProp844.xml"/><Relationship Id="rId27" Type="http://schemas.openxmlformats.org/officeDocument/2006/relationships/ctrlProp" Target="../ctrlProps/ctrlProp660.xml"/><Relationship Id="rId48" Type="http://schemas.openxmlformats.org/officeDocument/2006/relationships/ctrlProp" Target="../ctrlProps/ctrlProp681.xml"/><Relationship Id="rId69" Type="http://schemas.openxmlformats.org/officeDocument/2006/relationships/ctrlProp" Target="../ctrlProps/ctrlProp702.xml"/><Relationship Id="rId113" Type="http://schemas.openxmlformats.org/officeDocument/2006/relationships/ctrlProp" Target="../ctrlProps/ctrlProp746.xml"/><Relationship Id="rId134" Type="http://schemas.openxmlformats.org/officeDocument/2006/relationships/ctrlProp" Target="../ctrlProps/ctrlProp767.xml"/><Relationship Id="rId80" Type="http://schemas.openxmlformats.org/officeDocument/2006/relationships/ctrlProp" Target="../ctrlProps/ctrlProp713.xml"/><Relationship Id="rId155" Type="http://schemas.openxmlformats.org/officeDocument/2006/relationships/ctrlProp" Target="../ctrlProps/ctrlProp788.xml"/><Relationship Id="rId176" Type="http://schemas.openxmlformats.org/officeDocument/2006/relationships/ctrlProp" Target="../ctrlProps/ctrlProp809.xml"/><Relationship Id="rId197" Type="http://schemas.openxmlformats.org/officeDocument/2006/relationships/ctrlProp" Target="../ctrlProps/ctrlProp830.xml"/><Relationship Id="rId201" Type="http://schemas.openxmlformats.org/officeDocument/2006/relationships/ctrlProp" Target="../ctrlProps/ctrlProp834.xml"/><Relationship Id="rId17" Type="http://schemas.openxmlformats.org/officeDocument/2006/relationships/ctrlProp" Target="../ctrlProps/ctrlProp650.xml"/><Relationship Id="rId38" Type="http://schemas.openxmlformats.org/officeDocument/2006/relationships/ctrlProp" Target="../ctrlProps/ctrlProp671.xml"/><Relationship Id="rId59" Type="http://schemas.openxmlformats.org/officeDocument/2006/relationships/ctrlProp" Target="../ctrlProps/ctrlProp692.xml"/><Relationship Id="rId103" Type="http://schemas.openxmlformats.org/officeDocument/2006/relationships/ctrlProp" Target="../ctrlProps/ctrlProp736.xml"/><Relationship Id="rId124" Type="http://schemas.openxmlformats.org/officeDocument/2006/relationships/ctrlProp" Target="../ctrlProps/ctrlProp757.xml"/><Relationship Id="rId70" Type="http://schemas.openxmlformats.org/officeDocument/2006/relationships/ctrlProp" Target="../ctrlProps/ctrlProp703.xml"/><Relationship Id="rId91" Type="http://schemas.openxmlformats.org/officeDocument/2006/relationships/ctrlProp" Target="../ctrlProps/ctrlProp724.xml"/><Relationship Id="rId145" Type="http://schemas.openxmlformats.org/officeDocument/2006/relationships/ctrlProp" Target="../ctrlProps/ctrlProp778.xml"/><Relationship Id="rId166" Type="http://schemas.openxmlformats.org/officeDocument/2006/relationships/ctrlProp" Target="../ctrlProps/ctrlProp799.xml"/><Relationship Id="rId187" Type="http://schemas.openxmlformats.org/officeDocument/2006/relationships/ctrlProp" Target="../ctrlProps/ctrlProp820.xml"/><Relationship Id="rId1" Type="http://schemas.openxmlformats.org/officeDocument/2006/relationships/printerSettings" Target="../printerSettings/printerSettings4.bin"/><Relationship Id="rId212" Type="http://schemas.openxmlformats.org/officeDocument/2006/relationships/ctrlProp" Target="../ctrlProps/ctrlProp845.xml"/><Relationship Id="rId28" Type="http://schemas.openxmlformats.org/officeDocument/2006/relationships/ctrlProp" Target="../ctrlProps/ctrlProp661.xml"/><Relationship Id="rId49" Type="http://schemas.openxmlformats.org/officeDocument/2006/relationships/ctrlProp" Target="../ctrlProps/ctrlProp682.xml"/><Relationship Id="rId114" Type="http://schemas.openxmlformats.org/officeDocument/2006/relationships/ctrlProp" Target="../ctrlProps/ctrlProp747.xml"/><Relationship Id="rId60" Type="http://schemas.openxmlformats.org/officeDocument/2006/relationships/ctrlProp" Target="../ctrlProps/ctrlProp693.xml"/><Relationship Id="rId81" Type="http://schemas.openxmlformats.org/officeDocument/2006/relationships/ctrlProp" Target="../ctrlProps/ctrlProp714.xml"/><Relationship Id="rId135" Type="http://schemas.openxmlformats.org/officeDocument/2006/relationships/ctrlProp" Target="../ctrlProps/ctrlProp768.xml"/><Relationship Id="rId156" Type="http://schemas.openxmlformats.org/officeDocument/2006/relationships/ctrlProp" Target="../ctrlProps/ctrlProp789.xml"/><Relationship Id="rId177" Type="http://schemas.openxmlformats.org/officeDocument/2006/relationships/ctrlProp" Target="../ctrlProps/ctrlProp810.xml"/><Relationship Id="rId198" Type="http://schemas.openxmlformats.org/officeDocument/2006/relationships/ctrlProp" Target="../ctrlProps/ctrlProp831.xml"/><Relationship Id="rId202" Type="http://schemas.openxmlformats.org/officeDocument/2006/relationships/ctrlProp" Target="../ctrlProps/ctrlProp835.xml"/><Relationship Id="rId18" Type="http://schemas.openxmlformats.org/officeDocument/2006/relationships/ctrlProp" Target="../ctrlProps/ctrlProp651.xml"/><Relationship Id="rId39" Type="http://schemas.openxmlformats.org/officeDocument/2006/relationships/ctrlProp" Target="../ctrlProps/ctrlProp672.xml"/><Relationship Id="rId50" Type="http://schemas.openxmlformats.org/officeDocument/2006/relationships/ctrlProp" Target="../ctrlProps/ctrlProp683.xml"/><Relationship Id="rId104" Type="http://schemas.openxmlformats.org/officeDocument/2006/relationships/ctrlProp" Target="../ctrlProps/ctrlProp737.xml"/><Relationship Id="rId125" Type="http://schemas.openxmlformats.org/officeDocument/2006/relationships/ctrlProp" Target="../ctrlProps/ctrlProp758.xml"/><Relationship Id="rId146" Type="http://schemas.openxmlformats.org/officeDocument/2006/relationships/ctrlProp" Target="../ctrlProps/ctrlProp779.xml"/><Relationship Id="rId167" Type="http://schemas.openxmlformats.org/officeDocument/2006/relationships/ctrlProp" Target="../ctrlProps/ctrlProp800.xml"/><Relationship Id="rId188" Type="http://schemas.openxmlformats.org/officeDocument/2006/relationships/ctrlProp" Target="../ctrlProps/ctrlProp821.xml"/><Relationship Id="rId71" Type="http://schemas.openxmlformats.org/officeDocument/2006/relationships/ctrlProp" Target="../ctrlProps/ctrlProp704.xml"/><Relationship Id="rId92" Type="http://schemas.openxmlformats.org/officeDocument/2006/relationships/ctrlProp" Target="../ctrlProps/ctrlProp725.xml"/><Relationship Id="rId213" Type="http://schemas.openxmlformats.org/officeDocument/2006/relationships/ctrlProp" Target="../ctrlProps/ctrlProp846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662.xml"/><Relationship Id="rId40" Type="http://schemas.openxmlformats.org/officeDocument/2006/relationships/ctrlProp" Target="../ctrlProps/ctrlProp673.xml"/><Relationship Id="rId115" Type="http://schemas.openxmlformats.org/officeDocument/2006/relationships/ctrlProp" Target="../ctrlProps/ctrlProp748.xml"/><Relationship Id="rId136" Type="http://schemas.openxmlformats.org/officeDocument/2006/relationships/ctrlProp" Target="../ctrlProps/ctrlProp769.xml"/><Relationship Id="rId157" Type="http://schemas.openxmlformats.org/officeDocument/2006/relationships/ctrlProp" Target="../ctrlProps/ctrlProp790.xml"/><Relationship Id="rId178" Type="http://schemas.openxmlformats.org/officeDocument/2006/relationships/ctrlProp" Target="../ctrlProps/ctrlProp811.xml"/><Relationship Id="rId61" Type="http://schemas.openxmlformats.org/officeDocument/2006/relationships/ctrlProp" Target="../ctrlProps/ctrlProp694.xml"/><Relationship Id="rId82" Type="http://schemas.openxmlformats.org/officeDocument/2006/relationships/ctrlProp" Target="../ctrlProps/ctrlProp715.xml"/><Relationship Id="rId199" Type="http://schemas.openxmlformats.org/officeDocument/2006/relationships/ctrlProp" Target="../ctrlProps/ctrlProp832.xml"/><Relationship Id="rId203" Type="http://schemas.openxmlformats.org/officeDocument/2006/relationships/ctrlProp" Target="../ctrlProps/ctrlProp83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1"/>
  <dimension ref="A1:AC42"/>
  <sheetViews>
    <sheetView showGridLines="0" tabSelected="1" view="pageBreakPreview" topLeftCell="A7" zoomScaleNormal="100" zoomScaleSheetLayoutView="100" workbookViewId="0">
      <selection activeCell="U18" sqref="U18:U24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8"/>
      <c r="B1" s="40"/>
      <c r="I1" s="99" t="s">
        <v>33</v>
      </c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100"/>
      <c r="Y1" s="100"/>
      <c r="Z1" s="100"/>
      <c r="AA1" s="100"/>
      <c r="AB1" s="100"/>
      <c r="AC1" s="3"/>
    </row>
    <row r="2" spans="1:29" ht="37.5" customHeight="1" x14ac:dyDescent="0.2">
      <c r="A2" s="98"/>
      <c r="B2" s="40"/>
      <c r="I2" s="101" t="s">
        <v>32</v>
      </c>
      <c r="J2" s="102"/>
      <c r="K2" s="102"/>
      <c r="L2" s="102"/>
      <c r="M2" s="102"/>
      <c r="N2" s="102"/>
      <c r="O2" s="102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92" t="s">
        <v>1</v>
      </c>
      <c r="B4" s="92"/>
      <c r="C4" s="92"/>
      <c r="D4" s="92"/>
      <c r="E4" s="92"/>
      <c r="F4" s="93"/>
      <c r="G4" s="103"/>
      <c r="H4" s="103"/>
      <c r="I4" s="103"/>
      <c r="J4" s="103"/>
      <c r="K4" s="103"/>
      <c r="L4" s="103"/>
      <c r="M4" s="103"/>
      <c r="N4" s="104" t="s">
        <v>11</v>
      </c>
      <c r="O4" s="104"/>
      <c r="P4" s="104"/>
      <c r="Q4" s="104"/>
      <c r="R4" s="104"/>
      <c r="S4" s="104"/>
      <c r="T4" s="104"/>
      <c r="U4" s="81" t="s">
        <v>64</v>
      </c>
      <c r="V4" s="82"/>
      <c r="W4" s="82"/>
      <c r="X4" s="82"/>
      <c r="Y4" s="82"/>
      <c r="Z4" s="82"/>
      <c r="AA4" s="82"/>
      <c r="AB4" s="83"/>
      <c r="AC4" s="3"/>
    </row>
    <row r="5" spans="1:29" ht="24" customHeight="1" x14ac:dyDescent="0.2">
      <c r="A5" s="92" t="s">
        <v>5</v>
      </c>
      <c r="B5" s="92"/>
      <c r="C5" s="92"/>
      <c r="D5" s="92"/>
      <c r="E5" s="92"/>
      <c r="F5" s="93"/>
      <c r="G5" s="71" t="s">
        <v>61</v>
      </c>
      <c r="H5" s="71"/>
      <c r="I5" s="71"/>
      <c r="J5" s="71"/>
      <c r="K5" s="71"/>
      <c r="L5" s="71"/>
      <c r="M5" s="71"/>
      <c r="N5" s="92" t="s">
        <v>9</v>
      </c>
      <c r="O5" s="92"/>
      <c r="P5" s="92"/>
      <c r="Q5" s="92"/>
      <c r="R5" s="92"/>
      <c r="S5" s="92"/>
      <c r="T5" s="92"/>
      <c r="U5" s="94">
        <v>44389</v>
      </c>
      <c r="V5" s="94"/>
      <c r="W5" s="94"/>
      <c r="X5" s="24" t="s">
        <v>30</v>
      </c>
      <c r="Y5" s="95">
        <v>0.58333333333333337</v>
      </c>
      <c r="Z5" s="96"/>
      <c r="AA5" s="96"/>
      <c r="AB5" s="96"/>
    </row>
    <row r="6" spans="1:29" ht="24" customHeight="1" x14ac:dyDescent="0.2">
      <c r="A6" s="84" t="s">
        <v>7</v>
      </c>
      <c r="B6" s="84"/>
      <c r="C6" s="84"/>
      <c r="D6" s="84"/>
      <c r="E6" s="84"/>
      <c r="F6" s="85"/>
      <c r="G6" s="71" t="s">
        <v>62</v>
      </c>
      <c r="H6" s="71"/>
      <c r="I6" s="71"/>
      <c r="J6" s="71"/>
      <c r="K6" s="71"/>
      <c r="L6" s="71"/>
      <c r="M6" s="71"/>
      <c r="N6" s="97" t="s">
        <v>0</v>
      </c>
      <c r="O6" s="97"/>
      <c r="P6" s="97"/>
      <c r="Q6" s="97"/>
      <c r="R6" s="97"/>
      <c r="S6" s="97"/>
      <c r="T6" s="97"/>
      <c r="U6" s="94">
        <v>44389</v>
      </c>
      <c r="V6" s="94"/>
      <c r="W6" s="94"/>
      <c r="X6" s="24" t="s">
        <v>30</v>
      </c>
      <c r="Y6" s="95">
        <v>0.75</v>
      </c>
      <c r="Z6" s="96"/>
      <c r="AA6" s="96"/>
      <c r="AB6" s="96"/>
    </row>
    <row r="7" spans="1:29" ht="24" customHeight="1" x14ac:dyDescent="0.2">
      <c r="A7" s="92" t="s">
        <v>10</v>
      </c>
      <c r="B7" s="92"/>
      <c r="C7" s="92"/>
      <c r="D7" s="92"/>
      <c r="E7" s="92"/>
      <c r="F7" s="93"/>
      <c r="G7" s="71" t="s">
        <v>63</v>
      </c>
      <c r="H7" s="71"/>
      <c r="I7" s="71"/>
      <c r="J7" s="71"/>
      <c r="K7" s="71"/>
      <c r="L7" s="71"/>
      <c r="M7" s="71"/>
      <c r="N7" s="87" t="s">
        <v>35</v>
      </c>
      <c r="O7" s="87"/>
      <c r="P7" s="87"/>
      <c r="Q7" s="87"/>
      <c r="R7" s="87"/>
      <c r="S7" s="87"/>
      <c r="T7" s="87"/>
      <c r="U7" s="88" t="s">
        <v>65</v>
      </c>
      <c r="V7" s="88"/>
      <c r="W7" s="88"/>
      <c r="X7" s="88"/>
      <c r="Y7" s="88"/>
      <c r="Z7" s="88"/>
      <c r="AA7" s="88"/>
      <c r="AB7" s="88"/>
    </row>
    <row r="8" spans="1:29" ht="24" customHeight="1" x14ac:dyDescent="0.2">
      <c r="A8" s="84" t="s">
        <v>2</v>
      </c>
      <c r="B8" s="84"/>
      <c r="C8" s="84"/>
      <c r="D8" s="84"/>
      <c r="E8" s="84"/>
      <c r="F8" s="85"/>
      <c r="G8" s="90">
        <v>514059</v>
      </c>
      <c r="H8" s="90"/>
      <c r="I8" s="90"/>
      <c r="J8" s="90"/>
      <c r="K8" s="90"/>
      <c r="L8" s="90"/>
      <c r="M8" s="90"/>
      <c r="N8" s="87" t="s">
        <v>4</v>
      </c>
      <c r="O8" s="87"/>
      <c r="P8" s="87"/>
      <c r="Q8" s="87"/>
      <c r="R8" s="87"/>
      <c r="S8" s="87"/>
      <c r="T8" s="87"/>
      <c r="U8" s="91" t="s">
        <v>66</v>
      </c>
      <c r="V8" s="91"/>
      <c r="W8" s="91"/>
      <c r="X8" s="91"/>
      <c r="Y8" s="91"/>
      <c r="Z8" s="91"/>
      <c r="AA8" s="91"/>
      <c r="AB8" s="91"/>
    </row>
    <row r="9" spans="1:29" ht="24" customHeight="1" x14ac:dyDescent="0.2">
      <c r="A9" s="84" t="s">
        <v>6</v>
      </c>
      <c r="B9" s="84"/>
      <c r="C9" s="84"/>
      <c r="D9" s="84"/>
      <c r="E9" s="84"/>
      <c r="F9" s="85"/>
      <c r="G9" s="86" t="s">
        <v>72</v>
      </c>
      <c r="H9" s="86"/>
      <c r="I9" s="86"/>
      <c r="J9" s="86"/>
      <c r="K9" s="86"/>
      <c r="L9" s="86"/>
      <c r="M9" s="86"/>
      <c r="N9" s="87" t="s">
        <v>31</v>
      </c>
      <c r="O9" s="87"/>
      <c r="P9" s="87"/>
      <c r="Q9" s="87"/>
      <c r="R9" s="87"/>
      <c r="S9" s="87"/>
      <c r="T9" s="87"/>
      <c r="U9" s="88" t="s">
        <v>81</v>
      </c>
      <c r="V9" s="88"/>
      <c r="W9" s="88"/>
      <c r="X9" s="88"/>
      <c r="Y9" s="88"/>
      <c r="Z9" s="88"/>
      <c r="AA9" s="88"/>
      <c r="AB9" s="88"/>
    </row>
    <row r="10" spans="1:29" ht="6" customHeight="1" x14ac:dyDescent="0.2">
      <c r="U10" s="7"/>
      <c r="V10" s="7"/>
      <c r="W10" s="7"/>
    </row>
    <row r="11" spans="1:29" ht="23.25" customHeight="1" x14ac:dyDescent="0.2">
      <c r="A11" s="89" t="s">
        <v>8</v>
      </c>
      <c r="B11" s="89"/>
      <c r="C11" s="89"/>
      <c r="D11" s="89"/>
      <c r="E11" s="89"/>
      <c r="F11" s="89"/>
      <c r="G11" s="89"/>
      <c r="H11" s="89"/>
      <c r="I11" s="89"/>
      <c r="J11" s="89"/>
      <c r="K11" s="89"/>
      <c r="L11" s="89"/>
      <c r="M11" s="18"/>
      <c r="N11" s="87" t="s">
        <v>12</v>
      </c>
      <c r="O11" s="87"/>
      <c r="P11" s="87"/>
      <c r="Q11" s="87"/>
      <c r="R11" s="87"/>
      <c r="S11" s="71"/>
      <c r="T11" s="71"/>
      <c r="U11" s="87" t="s">
        <v>13</v>
      </c>
      <c r="V11" s="87"/>
      <c r="W11" s="87"/>
      <c r="X11" s="87"/>
      <c r="Y11" s="87"/>
      <c r="Z11" s="87"/>
      <c r="AA11" s="81"/>
      <c r="AB11" s="83"/>
    </row>
    <row r="12" spans="1:29" ht="6" customHeight="1" x14ac:dyDescent="0.2">
      <c r="I12" s="78"/>
      <c r="J12" s="78"/>
      <c r="K12" s="78"/>
      <c r="L12" s="78"/>
      <c r="M12" s="78"/>
      <c r="N12" s="78"/>
      <c r="O12" s="78"/>
      <c r="P12" s="78"/>
      <c r="Q12" s="78"/>
      <c r="R12" s="78"/>
      <c r="S12" s="78"/>
      <c r="T12" s="78"/>
    </row>
    <row r="13" spans="1:29" ht="36" customHeight="1" x14ac:dyDescent="0.2">
      <c r="A13" s="53" t="s">
        <v>60</v>
      </c>
      <c r="B13" s="73"/>
      <c r="C13" s="73"/>
      <c r="D13" s="73"/>
      <c r="E13" s="73"/>
      <c r="F13" s="41" t="s">
        <v>37</v>
      </c>
      <c r="G13" s="72" t="s">
        <v>14</v>
      </c>
      <c r="H13" s="72"/>
      <c r="I13" s="72"/>
      <c r="J13" s="79" t="s">
        <v>70</v>
      </c>
      <c r="K13" s="80"/>
      <c r="L13" s="72" t="s">
        <v>15</v>
      </c>
      <c r="M13" s="72"/>
      <c r="N13" s="72"/>
      <c r="O13" s="81">
        <v>0</v>
      </c>
      <c r="P13" s="82"/>
      <c r="Q13" s="83"/>
      <c r="R13" s="72" t="s">
        <v>16</v>
      </c>
      <c r="S13" s="72"/>
      <c r="T13" s="72"/>
      <c r="U13" s="71">
        <v>1</v>
      </c>
      <c r="V13" s="71"/>
      <c r="W13" s="72" t="s">
        <v>17</v>
      </c>
      <c r="X13" s="72"/>
      <c r="Y13" s="72"/>
      <c r="Z13" s="72"/>
      <c r="AA13" s="71">
        <v>1</v>
      </c>
      <c r="AB13" s="71"/>
    </row>
    <row r="14" spans="1:29" ht="27" customHeight="1" x14ac:dyDescent="0.2">
      <c r="A14" s="73" t="s">
        <v>3</v>
      </c>
      <c r="B14" s="73"/>
      <c r="C14" s="73"/>
      <c r="D14" s="73"/>
      <c r="E14" s="73"/>
      <c r="F14" s="41"/>
      <c r="G14" s="72" t="s">
        <v>18</v>
      </c>
      <c r="H14" s="72"/>
      <c r="I14" s="72"/>
      <c r="J14" s="72"/>
      <c r="K14" s="72"/>
      <c r="L14" s="72"/>
      <c r="M14" s="74"/>
      <c r="N14" s="75"/>
      <c r="O14" s="75"/>
      <c r="P14" s="75"/>
      <c r="Q14" s="76"/>
      <c r="R14" s="72" t="s">
        <v>19</v>
      </c>
      <c r="S14" s="72"/>
      <c r="T14" s="72"/>
      <c r="U14" s="72"/>
      <c r="V14" s="72"/>
      <c r="W14" s="77"/>
      <c r="X14" s="77"/>
      <c r="Y14" s="77"/>
      <c r="Z14" s="77"/>
      <c r="AA14" s="77"/>
      <c r="AB14" s="77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8" t="s">
        <v>20</v>
      </c>
      <c r="B17" s="69"/>
      <c r="C17" s="69"/>
      <c r="D17" s="69"/>
      <c r="E17" s="69"/>
      <c r="F17" s="70"/>
      <c r="G17" s="67" t="s">
        <v>21</v>
      </c>
      <c r="H17" s="67"/>
      <c r="I17" s="67"/>
      <c r="J17" s="67" t="s">
        <v>23</v>
      </c>
      <c r="K17" s="67"/>
      <c r="L17" s="67"/>
      <c r="M17" s="67" t="s">
        <v>24</v>
      </c>
      <c r="N17" s="67"/>
      <c r="O17" s="67"/>
      <c r="P17" s="67" t="s">
        <v>22</v>
      </c>
      <c r="Q17" s="67"/>
      <c r="R17" s="67"/>
      <c r="S17" s="67"/>
      <c r="T17" s="67" t="s">
        <v>25</v>
      </c>
      <c r="U17" s="67"/>
      <c r="V17" s="67"/>
      <c r="W17" s="67" t="s">
        <v>26</v>
      </c>
      <c r="X17" s="67"/>
      <c r="Y17" s="67"/>
      <c r="Z17" s="67" t="s">
        <v>27</v>
      </c>
      <c r="AA17" s="67"/>
      <c r="AB17" s="67"/>
    </row>
    <row r="18" spans="1:28" ht="15" customHeight="1" x14ac:dyDescent="0.2">
      <c r="A18" s="64"/>
      <c r="B18" s="64"/>
      <c r="C18" s="64"/>
      <c r="D18" s="64"/>
      <c r="E18" s="64"/>
      <c r="F18" s="64"/>
      <c r="G18" s="15"/>
      <c r="H18" s="15"/>
      <c r="I18" s="15"/>
      <c r="J18" s="65"/>
      <c r="K18" s="65"/>
      <c r="L18" s="65"/>
      <c r="M18" s="15"/>
      <c r="N18" s="15"/>
      <c r="O18" s="15"/>
      <c r="P18" s="66" t="s">
        <v>107</v>
      </c>
      <c r="Q18" s="66"/>
      <c r="R18" s="66"/>
      <c r="S18" s="66"/>
      <c r="T18" s="16"/>
      <c r="U18" s="15">
        <v>1</v>
      </c>
      <c r="V18" s="16"/>
      <c r="W18" s="62"/>
      <c r="X18" s="62"/>
      <c r="Y18" s="62"/>
      <c r="Z18" s="16"/>
      <c r="AA18" s="15">
        <v>0</v>
      </c>
      <c r="AB18" s="16"/>
    </row>
    <row r="19" spans="1:28" ht="15" customHeight="1" x14ac:dyDescent="0.2">
      <c r="A19" s="64" t="s">
        <v>68</v>
      </c>
      <c r="B19" s="64"/>
      <c r="C19" s="64"/>
      <c r="D19" s="64"/>
      <c r="E19" s="64"/>
      <c r="F19" s="64"/>
      <c r="G19" s="15"/>
      <c r="H19" s="15">
        <v>5</v>
      </c>
      <c r="I19" s="15"/>
      <c r="J19" s="65"/>
      <c r="K19" s="65"/>
      <c r="L19" s="65"/>
      <c r="M19" s="15"/>
      <c r="N19" s="15"/>
      <c r="O19" s="15"/>
      <c r="P19" s="62"/>
      <c r="Q19" s="62"/>
      <c r="R19" s="62"/>
      <c r="S19" s="62"/>
      <c r="T19" s="16"/>
      <c r="U19" s="15"/>
      <c r="V19" s="16"/>
      <c r="W19" s="62"/>
      <c r="X19" s="62"/>
      <c r="Y19" s="62"/>
      <c r="Z19" s="16"/>
      <c r="AA19" s="15">
        <v>0</v>
      </c>
      <c r="AB19" s="16"/>
    </row>
    <row r="20" spans="1:28" ht="15" customHeight="1" x14ac:dyDescent="0.2">
      <c r="A20" s="64"/>
      <c r="B20" s="64"/>
      <c r="C20" s="64"/>
      <c r="D20" s="64"/>
      <c r="E20" s="64"/>
      <c r="F20" s="64"/>
      <c r="G20" s="15"/>
      <c r="H20" s="15"/>
      <c r="I20" s="15"/>
      <c r="J20" s="65"/>
      <c r="K20" s="65"/>
      <c r="L20" s="65"/>
      <c r="M20" s="15"/>
      <c r="N20" s="15"/>
      <c r="O20" s="15"/>
      <c r="P20" s="66" t="s">
        <v>109</v>
      </c>
      <c r="Q20" s="66"/>
      <c r="R20" s="66"/>
      <c r="S20" s="66"/>
      <c r="T20" s="16"/>
      <c r="U20" s="15">
        <v>4</v>
      </c>
      <c r="V20" s="16"/>
      <c r="W20" s="62"/>
      <c r="X20" s="62"/>
      <c r="Y20" s="62"/>
      <c r="Z20" s="17"/>
      <c r="AA20" s="15">
        <v>0</v>
      </c>
      <c r="AB20" s="16"/>
    </row>
    <row r="21" spans="1:28" ht="15" customHeight="1" x14ac:dyDescent="0.2">
      <c r="A21" s="64" t="s">
        <v>74</v>
      </c>
      <c r="B21" s="64"/>
      <c r="C21" s="64"/>
      <c r="D21" s="64"/>
      <c r="E21" s="64"/>
      <c r="F21" s="64"/>
      <c r="G21" s="15"/>
      <c r="H21" s="15">
        <v>3</v>
      </c>
      <c r="I21" s="15"/>
      <c r="J21" s="65" t="s">
        <v>94</v>
      </c>
      <c r="K21" s="65"/>
      <c r="L21" s="65"/>
      <c r="M21" s="15"/>
      <c r="N21" s="15">
        <v>1</v>
      </c>
      <c r="O21" s="15"/>
      <c r="P21" s="66" t="s">
        <v>110</v>
      </c>
      <c r="Q21" s="66"/>
      <c r="R21" s="66"/>
      <c r="S21" s="66"/>
      <c r="T21" s="16"/>
      <c r="U21" s="15">
        <v>1</v>
      </c>
      <c r="V21" s="16"/>
      <c r="W21" s="61"/>
      <c r="X21" s="61"/>
      <c r="Y21" s="61"/>
      <c r="Z21" s="16"/>
      <c r="AA21" s="15">
        <v>0</v>
      </c>
      <c r="AB21" s="16"/>
    </row>
    <row r="22" spans="1:28" ht="15" customHeight="1" x14ac:dyDescent="0.2">
      <c r="A22" s="57"/>
      <c r="B22" s="58"/>
      <c r="C22" s="58"/>
      <c r="D22" s="58"/>
      <c r="E22" s="58"/>
      <c r="F22" s="59"/>
      <c r="G22" s="15"/>
      <c r="H22" s="15"/>
      <c r="I22" s="15"/>
      <c r="J22" s="65" t="s">
        <v>75</v>
      </c>
      <c r="K22" s="65"/>
      <c r="L22" s="65"/>
      <c r="M22" s="15"/>
      <c r="N22" s="15">
        <v>2</v>
      </c>
      <c r="O22" s="15"/>
      <c r="P22" s="62" t="s">
        <v>111</v>
      </c>
      <c r="Q22" s="62"/>
      <c r="R22" s="62"/>
      <c r="S22" s="62"/>
      <c r="T22" s="16"/>
      <c r="U22" s="15">
        <v>2</v>
      </c>
      <c r="V22" s="16"/>
      <c r="W22" s="61"/>
      <c r="X22" s="61"/>
      <c r="Y22" s="61"/>
      <c r="Z22" s="16"/>
      <c r="AA22" s="15">
        <v>0</v>
      </c>
      <c r="AB22" s="16"/>
    </row>
    <row r="23" spans="1:28" ht="15" customHeight="1" x14ac:dyDescent="0.2">
      <c r="A23" s="64"/>
      <c r="B23" s="64"/>
      <c r="C23" s="64"/>
      <c r="D23" s="64"/>
      <c r="E23" s="64"/>
      <c r="F23" s="64"/>
      <c r="G23" s="15"/>
      <c r="H23" s="15"/>
      <c r="I23" s="15"/>
      <c r="J23" s="65" t="s">
        <v>113</v>
      </c>
      <c r="K23" s="65"/>
      <c r="L23" s="65"/>
      <c r="M23" s="15"/>
      <c r="N23" s="15">
        <v>2</v>
      </c>
      <c r="O23" s="15"/>
      <c r="P23" s="62" t="s">
        <v>112</v>
      </c>
      <c r="Q23" s="62"/>
      <c r="R23" s="62"/>
      <c r="S23" s="62"/>
      <c r="T23" s="16"/>
      <c r="U23" s="15">
        <v>1</v>
      </c>
      <c r="V23" s="16"/>
      <c r="W23" s="61"/>
      <c r="X23" s="61"/>
      <c r="Y23" s="61"/>
      <c r="Z23" s="16"/>
      <c r="AA23" s="15">
        <v>0</v>
      </c>
      <c r="AB23" s="16"/>
    </row>
    <row r="24" spans="1:28" ht="15" customHeight="1" x14ac:dyDescent="0.2">
      <c r="A24" s="64"/>
      <c r="B24" s="64"/>
      <c r="C24" s="64"/>
      <c r="D24" s="64"/>
      <c r="E24" s="64"/>
      <c r="F24" s="64"/>
      <c r="G24" s="15"/>
      <c r="H24" s="15"/>
      <c r="I24" s="15"/>
      <c r="J24" s="65" t="s">
        <v>95</v>
      </c>
      <c r="K24" s="65"/>
      <c r="L24" s="65"/>
      <c r="M24" s="15"/>
      <c r="N24" s="15">
        <v>1</v>
      </c>
      <c r="O24" s="15"/>
      <c r="P24" s="62" t="s">
        <v>114</v>
      </c>
      <c r="Q24" s="62"/>
      <c r="R24" s="62"/>
      <c r="S24" s="62"/>
      <c r="T24" s="16"/>
      <c r="U24" s="15">
        <v>1</v>
      </c>
      <c r="V24" s="16"/>
      <c r="W24" s="61"/>
      <c r="X24" s="61"/>
      <c r="Y24" s="61"/>
      <c r="Z24" s="16"/>
      <c r="AA24" s="15">
        <v>0</v>
      </c>
      <c r="AB24" s="16"/>
    </row>
    <row r="25" spans="1:28" ht="15" customHeight="1" x14ac:dyDescent="0.2">
      <c r="A25" s="64"/>
      <c r="B25" s="64"/>
      <c r="C25" s="64"/>
      <c r="D25" s="64"/>
      <c r="E25" s="64"/>
      <c r="F25" s="64"/>
      <c r="G25" s="15"/>
      <c r="H25" s="15"/>
      <c r="I25" s="15"/>
      <c r="J25" s="65" t="s">
        <v>96</v>
      </c>
      <c r="K25" s="65"/>
      <c r="L25" s="65"/>
      <c r="M25" s="15"/>
      <c r="N25" s="35">
        <v>1</v>
      </c>
      <c r="O25" s="15"/>
      <c r="P25" s="62"/>
      <c r="Q25" s="62"/>
      <c r="R25" s="62"/>
      <c r="S25" s="62"/>
      <c r="T25" s="16"/>
      <c r="U25" s="15">
        <v>0</v>
      </c>
      <c r="V25" s="16"/>
      <c r="W25" s="61"/>
      <c r="X25" s="61"/>
      <c r="Y25" s="61"/>
      <c r="Z25" s="16"/>
      <c r="AA25" s="15">
        <v>0</v>
      </c>
      <c r="AB25" s="16"/>
    </row>
    <row r="26" spans="1:28" ht="15" customHeight="1" x14ac:dyDescent="0.2">
      <c r="A26" s="64"/>
      <c r="B26" s="64"/>
      <c r="C26" s="64"/>
      <c r="D26" s="64"/>
      <c r="E26" s="64"/>
      <c r="F26" s="64"/>
      <c r="G26" s="15"/>
      <c r="H26" s="15"/>
      <c r="I26" s="15"/>
      <c r="J26" s="65" t="s">
        <v>97</v>
      </c>
      <c r="K26" s="65"/>
      <c r="L26" s="65"/>
      <c r="M26" s="15"/>
      <c r="N26" s="15">
        <v>1</v>
      </c>
      <c r="O26" s="15"/>
      <c r="P26" s="62"/>
      <c r="Q26" s="62"/>
      <c r="R26" s="62"/>
      <c r="S26" s="62"/>
      <c r="T26" s="16"/>
      <c r="U26" s="15">
        <v>0</v>
      </c>
      <c r="V26" s="16"/>
      <c r="W26" s="61"/>
      <c r="X26" s="61"/>
      <c r="Y26" s="61"/>
      <c r="Z26" s="16"/>
      <c r="AA26" s="15">
        <v>0</v>
      </c>
      <c r="AB26" s="16"/>
    </row>
    <row r="27" spans="1:28" ht="15" customHeight="1" x14ac:dyDescent="0.2">
      <c r="A27" s="64"/>
      <c r="B27" s="64"/>
      <c r="C27" s="64"/>
      <c r="D27" s="64"/>
      <c r="E27" s="64"/>
      <c r="F27" s="64"/>
      <c r="G27" s="15"/>
      <c r="H27" s="15"/>
      <c r="I27" s="15"/>
      <c r="J27" s="65"/>
      <c r="K27" s="65"/>
      <c r="L27" s="65"/>
      <c r="M27" s="15"/>
      <c r="N27" s="15"/>
      <c r="O27" s="15"/>
      <c r="P27" s="62"/>
      <c r="Q27" s="62"/>
      <c r="R27" s="62"/>
      <c r="S27" s="62"/>
      <c r="T27" s="16"/>
      <c r="U27" s="15">
        <v>0</v>
      </c>
      <c r="V27" s="16"/>
      <c r="W27" s="61"/>
      <c r="X27" s="61"/>
      <c r="Y27" s="61"/>
      <c r="Z27" s="16"/>
      <c r="AA27" s="15">
        <v>0</v>
      </c>
      <c r="AB27" s="16"/>
    </row>
    <row r="28" spans="1:28" ht="15" customHeight="1" x14ac:dyDescent="0.2">
      <c r="A28" s="64"/>
      <c r="B28" s="64"/>
      <c r="C28" s="64"/>
      <c r="D28" s="64"/>
      <c r="E28" s="64"/>
      <c r="F28" s="64"/>
      <c r="G28" s="15"/>
      <c r="H28" s="15"/>
      <c r="I28" s="15"/>
      <c r="J28" s="65"/>
      <c r="K28" s="65"/>
      <c r="L28" s="65"/>
      <c r="M28" s="15"/>
      <c r="N28" s="15"/>
      <c r="O28" s="15"/>
      <c r="P28" s="62"/>
      <c r="Q28" s="62"/>
      <c r="R28" s="62"/>
      <c r="S28" s="62"/>
      <c r="T28" s="16"/>
      <c r="U28" s="15">
        <v>0</v>
      </c>
      <c r="V28" s="16"/>
      <c r="W28" s="61"/>
      <c r="X28" s="61"/>
      <c r="Y28" s="61"/>
      <c r="Z28" s="16"/>
      <c r="AA28" s="15">
        <v>0</v>
      </c>
      <c r="AB28" s="16"/>
    </row>
    <row r="29" spans="1:28" ht="15" customHeight="1" x14ac:dyDescent="0.2">
      <c r="A29" s="64" t="s">
        <v>79</v>
      </c>
      <c r="B29" s="64"/>
      <c r="C29" s="64"/>
      <c r="D29" s="64"/>
      <c r="E29" s="64"/>
      <c r="F29" s="64"/>
      <c r="G29" s="15"/>
      <c r="H29" s="15">
        <v>7</v>
      </c>
      <c r="I29" s="15"/>
      <c r="J29" s="65"/>
      <c r="K29" s="65"/>
      <c r="L29" s="65"/>
      <c r="M29" s="15"/>
      <c r="N29" s="15"/>
      <c r="O29" s="15"/>
      <c r="P29" s="62"/>
      <c r="Q29" s="62"/>
      <c r="R29" s="62"/>
      <c r="S29" s="62"/>
      <c r="T29" s="16"/>
      <c r="U29" s="15">
        <v>0</v>
      </c>
      <c r="V29" s="16"/>
      <c r="W29" s="61"/>
      <c r="X29" s="61"/>
      <c r="Y29" s="61"/>
      <c r="Z29" s="16"/>
      <c r="AA29" s="15">
        <v>0</v>
      </c>
      <c r="AB29" s="16"/>
    </row>
    <row r="30" spans="1:28" ht="15" customHeight="1" x14ac:dyDescent="0.2">
      <c r="A30" s="64"/>
      <c r="B30" s="64"/>
      <c r="C30" s="64"/>
      <c r="D30" s="64"/>
      <c r="E30" s="64"/>
      <c r="F30" s="64"/>
      <c r="G30" s="15"/>
      <c r="H30" s="15"/>
      <c r="I30" s="15"/>
      <c r="J30" s="65"/>
      <c r="K30" s="65"/>
      <c r="L30" s="65"/>
      <c r="M30" s="15"/>
      <c r="N30" s="15"/>
      <c r="O30" s="15"/>
      <c r="P30" s="66"/>
      <c r="Q30" s="66"/>
      <c r="R30" s="66"/>
      <c r="S30" s="66"/>
      <c r="T30" s="16"/>
      <c r="U30" s="15">
        <v>0</v>
      </c>
      <c r="V30" s="16"/>
      <c r="W30" s="61"/>
      <c r="X30" s="61"/>
      <c r="Y30" s="61"/>
      <c r="Z30" s="16"/>
      <c r="AA30" s="15">
        <v>0</v>
      </c>
      <c r="AB30" s="16"/>
    </row>
    <row r="31" spans="1:28" ht="15" customHeight="1" x14ac:dyDescent="0.2">
      <c r="A31" s="64"/>
      <c r="B31" s="64"/>
      <c r="C31" s="64"/>
      <c r="D31" s="64"/>
      <c r="E31" s="64"/>
      <c r="F31" s="64"/>
      <c r="G31" s="15"/>
      <c r="H31" s="15"/>
      <c r="I31" s="15"/>
      <c r="J31" s="65"/>
      <c r="K31" s="65"/>
      <c r="L31" s="65"/>
      <c r="M31" s="15"/>
      <c r="N31" s="15"/>
      <c r="O31" s="15"/>
      <c r="P31" s="62"/>
      <c r="Q31" s="62"/>
      <c r="R31" s="62"/>
      <c r="S31" s="62"/>
      <c r="T31" s="16"/>
      <c r="U31" s="15">
        <v>0</v>
      </c>
      <c r="V31" s="16"/>
      <c r="W31" s="61"/>
      <c r="X31" s="61"/>
      <c r="Y31" s="61"/>
      <c r="Z31" s="16"/>
      <c r="AA31" s="15">
        <v>0</v>
      </c>
      <c r="AB31" s="16"/>
    </row>
    <row r="32" spans="1:28" ht="15" customHeight="1" x14ac:dyDescent="0.2">
      <c r="A32" s="64"/>
      <c r="B32" s="64"/>
      <c r="C32" s="64"/>
      <c r="D32" s="64"/>
      <c r="E32" s="64"/>
      <c r="F32" s="64"/>
      <c r="G32" s="15"/>
      <c r="H32" s="15"/>
      <c r="I32" s="15"/>
      <c r="J32" s="65"/>
      <c r="K32" s="65"/>
      <c r="L32" s="65"/>
      <c r="M32" s="15"/>
      <c r="N32" s="15"/>
      <c r="O32" s="15"/>
      <c r="P32" s="62"/>
      <c r="Q32" s="62"/>
      <c r="R32" s="62"/>
      <c r="S32" s="62"/>
      <c r="T32" s="16"/>
      <c r="U32" s="15">
        <v>0</v>
      </c>
      <c r="V32" s="16"/>
      <c r="W32" s="61"/>
      <c r="X32" s="61"/>
      <c r="Y32" s="61"/>
      <c r="Z32" s="16"/>
      <c r="AA32" s="15">
        <v>0</v>
      </c>
      <c r="AB32" s="16"/>
    </row>
    <row r="33" spans="1:28" ht="15" customHeight="1" x14ac:dyDescent="0.2">
      <c r="A33" s="64"/>
      <c r="B33" s="64"/>
      <c r="C33" s="64"/>
      <c r="D33" s="64"/>
      <c r="E33" s="64"/>
      <c r="F33" s="64"/>
      <c r="G33" s="15"/>
      <c r="H33" s="15"/>
      <c r="I33" s="15"/>
      <c r="J33" s="65" t="s">
        <v>103</v>
      </c>
      <c r="K33" s="65"/>
      <c r="L33" s="65"/>
      <c r="M33" s="15"/>
      <c r="N33" s="15">
        <v>2</v>
      </c>
      <c r="O33" s="15"/>
      <c r="P33" s="62"/>
      <c r="Q33" s="62"/>
      <c r="R33" s="62"/>
      <c r="S33" s="62"/>
      <c r="T33" s="16"/>
      <c r="U33" s="15">
        <v>0</v>
      </c>
      <c r="V33" s="16"/>
      <c r="W33" s="61"/>
      <c r="X33" s="61"/>
      <c r="Y33" s="61"/>
      <c r="Z33" s="16"/>
      <c r="AA33" s="15">
        <v>0</v>
      </c>
      <c r="AB33" s="16"/>
    </row>
    <row r="34" spans="1:28" ht="15" customHeight="1" x14ac:dyDescent="0.2">
      <c r="A34" s="57"/>
      <c r="B34" s="58"/>
      <c r="C34" s="58"/>
      <c r="D34" s="58"/>
      <c r="E34" s="58"/>
      <c r="F34" s="59"/>
      <c r="G34" s="15"/>
      <c r="H34" s="15"/>
      <c r="I34" s="15"/>
      <c r="J34" s="65"/>
      <c r="K34" s="65"/>
      <c r="L34" s="65"/>
      <c r="M34" s="15"/>
      <c r="N34" s="15"/>
      <c r="O34" s="15"/>
      <c r="P34" s="62"/>
      <c r="Q34" s="62"/>
      <c r="R34" s="62"/>
      <c r="S34" s="62"/>
      <c r="T34" s="16"/>
      <c r="U34" s="15">
        <v>0</v>
      </c>
      <c r="V34" s="16"/>
      <c r="W34" s="61"/>
      <c r="X34" s="61"/>
      <c r="Y34" s="61"/>
      <c r="Z34" s="16"/>
      <c r="AA34" s="15">
        <v>0</v>
      </c>
      <c r="AB34" s="16"/>
    </row>
    <row r="35" spans="1:28" ht="15" customHeight="1" x14ac:dyDescent="0.2">
      <c r="A35" s="64"/>
      <c r="B35" s="64"/>
      <c r="C35" s="64"/>
      <c r="D35" s="64"/>
      <c r="E35" s="64"/>
      <c r="F35" s="64"/>
      <c r="G35" s="15"/>
      <c r="H35" s="15"/>
      <c r="I35" s="15"/>
      <c r="J35" s="65"/>
      <c r="K35" s="65"/>
      <c r="L35" s="65"/>
      <c r="M35" s="15"/>
      <c r="N35" s="15"/>
      <c r="O35" s="15"/>
      <c r="P35" s="62"/>
      <c r="Q35" s="62"/>
      <c r="R35" s="62"/>
      <c r="S35" s="62"/>
      <c r="T35" s="16"/>
      <c r="U35" s="15">
        <v>0</v>
      </c>
      <c r="V35" s="16"/>
      <c r="W35" s="61"/>
      <c r="X35" s="61"/>
      <c r="Y35" s="61"/>
      <c r="Z35" s="16"/>
      <c r="AA35" s="15">
        <v>0</v>
      </c>
      <c r="AB35" s="16"/>
    </row>
    <row r="36" spans="1:28" ht="15" customHeight="1" x14ac:dyDescent="0.2">
      <c r="A36" s="57" t="s">
        <v>69</v>
      </c>
      <c r="B36" s="58"/>
      <c r="C36" s="58"/>
      <c r="D36" s="58"/>
      <c r="E36" s="58"/>
      <c r="F36" s="59"/>
      <c r="G36" s="15"/>
      <c r="H36" s="15">
        <v>7</v>
      </c>
      <c r="I36" s="15"/>
      <c r="J36" s="60"/>
      <c r="K36" s="61"/>
      <c r="L36" s="61"/>
      <c r="M36" s="15"/>
      <c r="N36" s="15"/>
      <c r="O36" s="15"/>
      <c r="P36" s="62"/>
      <c r="Q36" s="62"/>
      <c r="R36" s="62"/>
      <c r="S36" s="62"/>
      <c r="T36" s="16"/>
      <c r="U36" s="15">
        <v>0</v>
      </c>
      <c r="V36" s="16"/>
      <c r="W36" s="61"/>
      <c r="X36" s="61"/>
      <c r="Y36" s="61"/>
      <c r="Z36" s="16"/>
      <c r="AA36" s="15">
        <v>0</v>
      </c>
      <c r="AB36" s="16"/>
    </row>
    <row r="37" spans="1:28" ht="15" customHeight="1" x14ac:dyDescent="0.2">
      <c r="A37" s="57" t="s">
        <v>67</v>
      </c>
      <c r="B37" s="58"/>
      <c r="C37" s="58"/>
      <c r="D37" s="58"/>
      <c r="E37" s="58"/>
      <c r="F37" s="59"/>
      <c r="G37" s="15"/>
      <c r="H37" s="15">
        <v>42</v>
      </c>
      <c r="I37" s="15"/>
      <c r="J37" s="60"/>
      <c r="K37" s="61"/>
      <c r="L37" s="61"/>
      <c r="M37" s="15"/>
      <c r="N37" s="15"/>
      <c r="O37" s="15"/>
      <c r="P37" s="62"/>
      <c r="Q37" s="62"/>
      <c r="R37" s="62"/>
      <c r="S37" s="62"/>
      <c r="T37" s="16"/>
      <c r="U37" s="15">
        <v>0</v>
      </c>
      <c r="V37" s="16"/>
      <c r="W37" s="61"/>
      <c r="X37" s="61"/>
      <c r="Y37" s="61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63" t="s">
        <v>28</v>
      </c>
      <c r="B39" s="63"/>
      <c r="C39" s="63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W39" s="53" t="s">
        <v>34</v>
      </c>
      <c r="X39" s="53"/>
      <c r="Y39" s="53"/>
      <c r="Z39" s="53"/>
      <c r="AA39" s="53"/>
      <c r="AB39" s="53"/>
    </row>
    <row r="40" spans="1:28" ht="22.5" customHeight="1" x14ac:dyDescent="0.2">
      <c r="A40" s="42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4"/>
      <c r="W40" s="48"/>
      <c r="X40" s="49"/>
      <c r="Y40" s="49"/>
      <c r="Z40" s="49"/>
      <c r="AA40" s="49"/>
      <c r="AB40" s="50"/>
    </row>
    <row r="41" spans="1:28" ht="26.25" customHeight="1" x14ac:dyDescent="0.2">
      <c r="A41" s="45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7"/>
      <c r="V41" s="51"/>
      <c r="W41" s="52" t="s">
        <v>29</v>
      </c>
      <c r="X41" s="53"/>
      <c r="Y41" s="53"/>
      <c r="Z41" s="53"/>
      <c r="AA41" s="53"/>
      <c r="AB41" s="53"/>
    </row>
    <row r="42" spans="1:28" ht="22.5" customHeight="1" x14ac:dyDescent="0.2">
      <c r="A42" s="45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7"/>
      <c r="V42" s="51"/>
      <c r="W42" s="54"/>
      <c r="X42" s="55"/>
      <c r="Y42" s="55"/>
      <c r="Z42" s="55"/>
      <c r="AA42" s="55"/>
      <c r="AB42" s="56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5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6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7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8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9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50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51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52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53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54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55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56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57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58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59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60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61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62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63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64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65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66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67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68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69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70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71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72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73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74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75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76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77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78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79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80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81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82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83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84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85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86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87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88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89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90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91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92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93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94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95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96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97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98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99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00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01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02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03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04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05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06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07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08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09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10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11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12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13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14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15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16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0"/>
  <dimension ref="A1:AC42"/>
  <sheetViews>
    <sheetView showGridLines="0" view="pageBreakPreview" topLeftCell="A14" zoomScale="115" zoomScaleNormal="100" zoomScaleSheetLayoutView="115" workbookViewId="0">
      <selection activeCell="N22" sqref="N22:N37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8"/>
      <c r="B1" s="38"/>
      <c r="I1" s="99" t="s">
        <v>33</v>
      </c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100"/>
      <c r="Y1" s="100"/>
      <c r="Z1" s="100"/>
      <c r="AA1" s="100"/>
      <c r="AB1" s="100"/>
      <c r="AC1" s="3"/>
    </row>
    <row r="2" spans="1:29" ht="37.5" customHeight="1" x14ac:dyDescent="0.2">
      <c r="A2" s="98"/>
      <c r="B2" s="38"/>
      <c r="I2" s="101" t="s">
        <v>32</v>
      </c>
      <c r="J2" s="102"/>
      <c r="K2" s="102"/>
      <c r="L2" s="102"/>
      <c r="M2" s="102"/>
      <c r="N2" s="102"/>
      <c r="O2" s="102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92" t="s">
        <v>1</v>
      </c>
      <c r="B4" s="92"/>
      <c r="C4" s="92"/>
      <c r="D4" s="92"/>
      <c r="E4" s="92"/>
      <c r="F4" s="93"/>
      <c r="G4" s="103"/>
      <c r="H4" s="103"/>
      <c r="I4" s="103"/>
      <c r="J4" s="103"/>
      <c r="K4" s="103"/>
      <c r="L4" s="103"/>
      <c r="M4" s="103"/>
      <c r="N4" s="104" t="s">
        <v>11</v>
      </c>
      <c r="O4" s="104"/>
      <c r="P4" s="104"/>
      <c r="Q4" s="104"/>
      <c r="R4" s="104"/>
      <c r="S4" s="104"/>
      <c r="T4" s="104"/>
      <c r="U4" s="81" t="s">
        <v>64</v>
      </c>
      <c r="V4" s="82"/>
      <c r="W4" s="82"/>
      <c r="X4" s="82"/>
      <c r="Y4" s="82"/>
      <c r="Z4" s="82"/>
      <c r="AA4" s="82"/>
      <c r="AB4" s="83"/>
      <c r="AC4" s="3"/>
    </row>
    <row r="5" spans="1:29" ht="24" customHeight="1" x14ac:dyDescent="0.2">
      <c r="A5" s="92" t="s">
        <v>5</v>
      </c>
      <c r="B5" s="92"/>
      <c r="C5" s="92"/>
      <c r="D5" s="92"/>
      <c r="E5" s="92"/>
      <c r="F5" s="93"/>
      <c r="G5" s="71" t="s">
        <v>61</v>
      </c>
      <c r="H5" s="71"/>
      <c r="I5" s="71"/>
      <c r="J5" s="71"/>
      <c r="K5" s="71"/>
      <c r="L5" s="71"/>
      <c r="M5" s="71"/>
      <c r="N5" s="92" t="s">
        <v>9</v>
      </c>
      <c r="O5" s="92"/>
      <c r="P5" s="92"/>
      <c r="Q5" s="92"/>
      <c r="R5" s="92"/>
      <c r="S5" s="92"/>
      <c r="T5" s="92"/>
      <c r="U5" s="94">
        <v>44389</v>
      </c>
      <c r="V5" s="94"/>
      <c r="W5" s="94"/>
      <c r="X5" s="24" t="s">
        <v>30</v>
      </c>
      <c r="Y5" s="95">
        <v>0.58333333333333337</v>
      </c>
      <c r="Z5" s="96"/>
      <c r="AA5" s="96"/>
      <c r="AB5" s="96"/>
    </row>
    <row r="6" spans="1:29" ht="24" customHeight="1" x14ac:dyDescent="0.2">
      <c r="A6" s="84" t="s">
        <v>7</v>
      </c>
      <c r="B6" s="84"/>
      <c r="C6" s="84"/>
      <c r="D6" s="84"/>
      <c r="E6" s="84"/>
      <c r="F6" s="85"/>
      <c r="G6" s="71" t="s">
        <v>62</v>
      </c>
      <c r="H6" s="71"/>
      <c r="I6" s="71"/>
      <c r="J6" s="71"/>
      <c r="K6" s="71"/>
      <c r="L6" s="71"/>
      <c r="M6" s="71"/>
      <c r="N6" s="97" t="s">
        <v>0</v>
      </c>
      <c r="O6" s="97"/>
      <c r="P6" s="97"/>
      <c r="Q6" s="97"/>
      <c r="R6" s="97"/>
      <c r="S6" s="97"/>
      <c r="T6" s="97"/>
      <c r="U6" s="94">
        <v>44389</v>
      </c>
      <c r="V6" s="94"/>
      <c r="W6" s="94"/>
      <c r="X6" s="24" t="s">
        <v>30</v>
      </c>
      <c r="Y6" s="95">
        <v>0.66666666666666663</v>
      </c>
      <c r="Z6" s="96"/>
      <c r="AA6" s="96"/>
      <c r="AB6" s="96"/>
    </row>
    <row r="7" spans="1:29" ht="24" customHeight="1" x14ac:dyDescent="0.2">
      <c r="A7" s="92" t="s">
        <v>10</v>
      </c>
      <c r="B7" s="92"/>
      <c r="C7" s="92"/>
      <c r="D7" s="92"/>
      <c r="E7" s="92"/>
      <c r="F7" s="93"/>
      <c r="G7" s="71" t="s">
        <v>63</v>
      </c>
      <c r="H7" s="71"/>
      <c r="I7" s="71"/>
      <c r="J7" s="71"/>
      <c r="K7" s="71"/>
      <c r="L7" s="71"/>
      <c r="M7" s="71"/>
      <c r="N7" s="87" t="s">
        <v>35</v>
      </c>
      <c r="O7" s="87"/>
      <c r="P7" s="87"/>
      <c r="Q7" s="87"/>
      <c r="R7" s="87"/>
      <c r="S7" s="87"/>
      <c r="T7" s="87"/>
      <c r="U7" s="88" t="s">
        <v>65</v>
      </c>
      <c r="V7" s="88"/>
      <c r="W7" s="88"/>
      <c r="X7" s="88"/>
      <c r="Y7" s="88"/>
      <c r="Z7" s="88"/>
      <c r="AA7" s="88"/>
      <c r="AB7" s="88"/>
    </row>
    <row r="8" spans="1:29" ht="24" customHeight="1" x14ac:dyDescent="0.2">
      <c r="A8" s="84" t="s">
        <v>2</v>
      </c>
      <c r="B8" s="84"/>
      <c r="C8" s="84"/>
      <c r="D8" s="84"/>
      <c r="E8" s="84"/>
      <c r="F8" s="85"/>
      <c r="G8" s="90">
        <v>514059</v>
      </c>
      <c r="H8" s="90"/>
      <c r="I8" s="90"/>
      <c r="J8" s="90"/>
      <c r="K8" s="90"/>
      <c r="L8" s="90"/>
      <c r="M8" s="90"/>
      <c r="N8" s="87" t="s">
        <v>4</v>
      </c>
      <c r="O8" s="87"/>
      <c r="P8" s="87"/>
      <c r="Q8" s="87"/>
      <c r="R8" s="87"/>
      <c r="S8" s="87"/>
      <c r="T8" s="87"/>
      <c r="U8" s="91" t="s">
        <v>66</v>
      </c>
      <c r="V8" s="91"/>
      <c r="W8" s="91"/>
      <c r="X8" s="91"/>
      <c r="Y8" s="91"/>
      <c r="Z8" s="91"/>
      <c r="AA8" s="91"/>
      <c r="AB8" s="91"/>
    </row>
    <row r="9" spans="1:29" ht="24" customHeight="1" x14ac:dyDescent="0.2">
      <c r="A9" s="84" t="s">
        <v>6</v>
      </c>
      <c r="B9" s="84"/>
      <c r="C9" s="84"/>
      <c r="D9" s="84"/>
      <c r="E9" s="84"/>
      <c r="F9" s="85"/>
      <c r="G9" s="86" t="s">
        <v>72</v>
      </c>
      <c r="H9" s="86"/>
      <c r="I9" s="86"/>
      <c r="J9" s="86"/>
      <c r="K9" s="86"/>
      <c r="L9" s="86"/>
      <c r="M9" s="86"/>
      <c r="N9" s="87" t="s">
        <v>31</v>
      </c>
      <c r="O9" s="87"/>
      <c r="P9" s="87"/>
      <c r="Q9" s="87"/>
      <c r="R9" s="87"/>
      <c r="S9" s="87"/>
      <c r="T9" s="87"/>
      <c r="U9" s="88" t="s">
        <v>81</v>
      </c>
      <c r="V9" s="88"/>
      <c r="W9" s="88"/>
      <c r="X9" s="88"/>
      <c r="Y9" s="88"/>
      <c r="Z9" s="88"/>
      <c r="AA9" s="88"/>
      <c r="AB9" s="88"/>
    </row>
    <row r="10" spans="1:29" ht="6" customHeight="1" x14ac:dyDescent="0.2">
      <c r="U10" s="7"/>
      <c r="V10" s="7"/>
      <c r="W10" s="7"/>
    </row>
    <row r="11" spans="1:29" ht="23.25" customHeight="1" x14ac:dyDescent="0.2">
      <c r="A11" s="89" t="s">
        <v>8</v>
      </c>
      <c r="B11" s="89"/>
      <c r="C11" s="89"/>
      <c r="D11" s="89"/>
      <c r="E11" s="89"/>
      <c r="F11" s="89"/>
      <c r="G11" s="89"/>
      <c r="H11" s="89"/>
      <c r="I11" s="89"/>
      <c r="J11" s="89"/>
      <c r="K11" s="89"/>
      <c r="L11" s="89"/>
      <c r="M11" s="18"/>
      <c r="N11" s="87" t="s">
        <v>12</v>
      </c>
      <c r="O11" s="87"/>
      <c r="P11" s="87"/>
      <c r="Q11" s="87"/>
      <c r="R11" s="87"/>
      <c r="S11" s="71"/>
      <c r="T11" s="71"/>
      <c r="U11" s="87" t="s">
        <v>13</v>
      </c>
      <c r="V11" s="87"/>
      <c r="W11" s="87"/>
      <c r="X11" s="87"/>
      <c r="Y11" s="87"/>
      <c r="Z11" s="87"/>
      <c r="AA11" s="81"/>
      <c r="AB11" s="83"/>
    </row>
    <row r="12" spans="1:29" ht="6" customHeight="1" x14ac:dyDescent="0.2">
      <c r="I12" s="78"/>
      <c r="J12" s="78"/>
      <c r="K12" s="78"/>
      <c r="L12" s="78"/>
      <c r="M12" s="78"/>
      <c r="N12" s="78"/>
      <c r="O12" s="78"/>
      <c r="P12" s="78"/>
      <c r="Q12" s="78"/>
      <c r="R12" s="78"/>
      <c r="S12" s="78"/>
      <c r="T12" s="78"/>
    </row>
    <row r="13" spans="1:29" ht="36" customHeight="1" x14ac:dyDescent="0.2">
      <c r="A13" s="53" t="s">
        <v>60</v>
      </c>
      <c r="B13" s="73"/>
      <c r="C13" s="73"/>
      <c r="D13" s="73"/>
      <c r="E13" s="73"/>
      <c r="F13" s="39" t="s">
        <v>37</v>
      </c>
      <c r="G13" s="72" t="s">
        <v>14</v>
      </c>
      <c r="H13" s="72"/>
      <c r="I13" s="72"/>
      <c r="J13" s="79" t="s">
        <v>70</v>
      </c>
      <c r="K13" s="80"/>
      <c r="L13" s="72" t="s">
        <v>15</v>
      </c>
      <c r="M13" s="72"/>
      <c r="N13" s="72"/>
      <c r="O13" s="81">
        <v>0</v>
      </c>
      <c r="P13" s="82"/>
      <c r="Q13" s="83"/>
      <c r="R13" s="72" t="s">
        <v>16</v>
      </c>
      <c r="S13" s="72"/>
      <c r="T13" s="72"/>
      <c r="U13" s="71">
        <v>1</v>
      </c>
      <c r="V13" s="71"/>
      <c r="W13" s="72" t="s">
        <v>17</v>
      </c>
      <c r="X13" s="72"/>
      <c r="Y13" s="72"/>
      <c r="Z13" s="72"/>
      <c r="AA13" s="71">
        <v>1</v>
      </c>
      <c r="AB13" s="71"/>
    </row>
    <row r="14" spans="1:29" ht="27" customHeight="1" x14ac:dyDescent="0.2">
      <c r="A14" s="73" t="s">
        <v>3</v>
      </c>
      <c r="B14" s="73"/>
      <c r="C14" s="73"/>
      <c r="D14" s="73"/>
      <c r="E14" s="73"/>
      <c r="F14" s="39"/>
      <c r="G14" s="72" t="s">
        <v>18</v>
      </c>
      <c r="H14" s="72"/>
      <c r="I14" s="72"/>
      <c r="J14" s="72"/>
      <c r="K14" s="72"/>
      <c r="L14" s="72"/>
      <c r="M14" s="74"/>
      <c r="N14" s="75"/>
      <c r="O14" s="75"/>
      <c r="P14" s="75"/>
      <c r="Q14" s="76"/>
      <c r="R14" s="72" t="s">
        <v>19</v>
      </c>
      <c r="S14" s="72"/>
      <c r="T14" s="72"/>
      <c r="U14" s="72"/>
      <c r="V14" s="72"/>
      <c r="W14" s="77"/>
      <c r="X14" s="77"/>
      <c r="Y14" s="77"/>
      <c r="Z14" s="77"/>
      <c r="AA14" s="77"/>
      <c r="AB14" s="77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8" t="s">
        <v>20</v>
      </c>
      <c r="B17" s="69"/>
      <c r="C17" s="69"/>
      <c r="D17" s="69"/>
      <c r="E17" s="69"/>
      <c r="F17" s="70"/>
      <c r="G17" s="67" t="s">
        <v>21</v>
      </c>
      <c r="H17" s="67"/>
      <c r="I17" s="67"/>
      <c r="J17" s="67" t="s">
        <v>23</v>
      </c>
      <c r="K17" s="67"/>
      <c r="L17" s="67"/>
      <c r="M17" s="67" t="s">
        <v>24</v>
      </c>
      <c r="N17" s="67"/>
      <c r="O17" s="67"/>
      <c r="P17" s="67" t="s">
        <v>22</v>
      </c>
      <c r="Q17" s="67"/>
      <c r="R17" s="67"/>
      <c r="S17" s="67"/>
      <c r="T17" s="67" t="s">
        <v>25</v>
      </c>
      <c r="U17" s="67"/>
      <c r="V17" s="67"/>
      <c r="W17" s="67" t="s">
        <v>26</v>
      </c>
      <c r="X17" s="67"/>
      <c r="Y17" s="67"/>
      <c r="Z17" s="67" t="s">
        <v>27</v>
      </c>
      <c r="AA17" s="67"/>
      <c r="AB17" s="67"/>
    </row>
    <row r="18" spans="1:28" ht="15" customHeight="1" x14ac:dyDescent="0.2">
      <c r="A18" s="64"/>
      <c r="B18" s="64"/>
      <c r="C18" s="64"/>
      <c r="D18" s="64"/>
      <c r="E18" s="64"/>
      <c r="F18" s="64"/>
      <c r="G18" s="15"/>
      <c r="H18" s="15"/>
      <c r="I18" s="15"/>
      <c r="J18" s="65"/>
      <c r="K18" s="65"/>
      <c r="L18" s="65"/>
      <c r="M18" s="15"/>
      <c r="N18" s="15"/>
      <c r="O18" s="15"/>
      <c r="P18" s="66" t="s">
        <v>107</v>
      </c>
      <c r="Q18" s="66"/>
      <c r="R18" s="66"/>
      <c r="S18" s="66"/>
      <c r="T18" s="16"/>
      <c r="U18" s="15">
        <v>1</v>
      </c>
      <c r="V18" s="16"/>
      <c r="W18" s="62"/>
      <c r="X18" s="62"/>
      <c r="Y18" s="62"/>
      <c r="Z18" s="16"/>
      <c r="AA18" s="15">
        <v>0</v>
      </c>
      <c r="AB18" s="16"/>
    </row>
    <row r="19" spans="1:28" ht="15" customHeight="1" x14ac:dyDescent="0.2">
      <c r="A19" s="64" t="s">
        <v>68</v>
      </c>
      <c r="B19" s="64"/>
      <c r="C19" s="64"/>
      <c r="D19" s="64"/>
      <c r="E19" s="64"/>
      <c r="F19" s="64"/>
      <c r="G19" s="15"/>
      <c r="H19" s="15">
        <v>4</v>
      </c>
      <c r="I19" s="15"/>
      <c r="J19" s="65"/>
      <c r="K19" s="65"/>
      <c r="L19" s="65"/>
      <c r="M19" s="15"/>
      <c r="N19" s="15"/>
      <c r="O19" s="15"/>
      <c r="P19" s="62" t="s">
        <v>108</v>
      </c>
      <c r="Q19" s="62"/>
      <c r="R19" s="62"/>
      <c r="S19" s="62"/>
      <c r="T19" s="16"/>
      <c r="U19" s="15">
        <v>1</v>
      </c>
      <c r="V19" s="16"/>
      <c r="W19" s="62"/>
      <c r="X19" s="62"/>
      <c r="Y19" s="62"/>
      <c r="Z19" s="16"/>
      <c r="AA19" s="15">
        <v>0</v>
      </c>
      <c r="AB19" s="16"/>
    </row>
    <row r="20" spans="1:28" ht="15" customHeight="1" x14ac:dyDescent="0.2">
      <c r="A20" s="64"/>
      <c r="B20" s="64"/>
      <c r="C20" s="64"/>
      <c r="D20" s="64"/>
      <c r="E20" s="64"/>
      <c r="F20" s="64"/>
      <c r="G20" s="15"/>
      <c r="H20" s="15"/>
      <c r="I20" s="15"/>
      <c r="J20" s="65"/>
      <c r="K20" s="65"/>
      <c r="L20" s="65"/>
      <c r="M20" s="15"/>
      <c r="N20" s="15"/>
      <c r="O20" s="15"/>
      <c r="P20" s="66" t="s">
        <v>110</v>
      </c>
      <c r="Q20" s="66"/>
      <c r="R20" s="66"/>
      <c r="S20" s="66"/>
      <c r="T20" s="16"/>
      <c r="U20" s="15">
        <v>1</v>
      </c>
      <c r="V20" s="16"/>
      <c r="W20" s="62"/>
      <c r="X20" s="62"/>
      <c r="Y20" s="62"/>
      <c r="Z20" s="17"/>
      <c r="AA20" s="15">
        <v>0</v>
      </c>
      <c r="AB20" s="16"/>
    </row>
    <row r="21" spans="1:28" ht="15" customHeight="1" x14ac:dyDescent="0.2">
      <c r="A21" s="64" t="s">
        <v>74</v>
      </c>
      <c r="B21" s="64"/>
      <c r="C21" s="64"/>
      <c r="D21" s="64"/>
      <c r="E21" s="64"/>
      <c r="F21" s="64"/>
      <c r="G21" s="15"/>
      <c r="H21" s="15">
        <v>15</v>
      </c>
      <c r="I21" s="15"/>
      <c r="J21" s="65"/>
      <c r="K21" s="65"/>
      <c r="L21" s="65"/>
      <c r="M21" s="15"/>
      <c r="N21" s="15"/>
      <c r="O21" s="15"/>
      <c r="P21" s="62"/>
      <c r="Q21" s="62"/>
      <c r="R21" s="62"/>
      <c r="S21" s="62"/>
      <c r="T21" s="16"/>
      <c r="U21" s="15">
        <v>0</v>
      </c>
      <c r="V21" s="16"/>
      <c r="W21" s="61"/>
      <c r="X21" s="61"/>
      <c r="Y21" s="61"/>
      <c r="Z21" s="16"/>
      <c r="AA21" s="15">
        <v>0</v>
      </c>
      <c r="AB21" s="16"/>
    </row>
    <row r="22" spans="1:28" ht="15" customHeight="1" x14ac:dyDescent="0.2">
      <c r="A22" s="57"/>
      <c r="B22" s="58"/>
      <c r="C22" s="58"/>
      <c r="D22" s="58"/>
      <c r="E22" s="58"/>
      <c r="F22" s="59"/>
      <c r="G22" s="15"/>
      <c r="H22" s="15"/>
      <c r="I22" s="15"/>
      <c r="J22" s="65" t="s">
        <v>75</v>
      </c>
      <c r="K22" s="65"/>
      <c r="L22" s="65"/>
      <c r="M22" s="15"/>
      <c r="N22" s="15">
        <v>1</v>
      </c>
      <c r="O22" s="15"/>
      <c r="P22" s="62"/>
      <c r="Q22" s="62"/>
      <c r="R22" s="62"/>
      <c r="S22" s="62"/>
      <c r="T22" s="16"/>
      <c r="U22" s="15">
        <v>0</v>
      </c>
      <c r="V22" s="16"/>
      <c r="W22" s="61"/>
      <c r="X22" s="61"/>
      <c r="Y22" s="61"/>
      <c r="Z22" s="16"/>
      <c r="AA22" s="15">
        <v>0</v>
      </c>
      <c r="AB22" s="16"/>
    </row>
    <row r="23" spans="1:28" ht="15" customHeight="1" x14ac:dyDescent="0.2">
      <c r="A23" s="64"/>
      <c r="B23" s="64"/>
      <c r="C23" s="64"/>
      <c r="D23" s="64"/>
      <c r="E23" s="64"/>
      <c r="F23" s="64"/>
      <c r="G23" s="15"/>
      <c r="H23" s="15"/>
      <c r="I23" s="15"/>
      <c r="J23" s="65" t="s">
        <v>77</v>
      </c>
      <c r="K23" s="65"/>
      <c r="L23" s="65"/>
      <c r="M23" s="15"/>
      <c r="N23" s="15">
        <v>3</v>
      </c>
      <c r="O23" s="15"/>
      <c r="P23" s="62"/>
      <c r="Q23" s="62"/>
      <c r="R23" s="62"/>
      <c r="S23" s="62"/>
      <c r="T23" s="16"/>
      <c r="U23" s="15">
        <v>0</v>
      </c>
      <c r="V23" s="16"/>
      <c r="W23" s="61"/>
      <c r="X23" s="61"/>
      <c r="Y23" s="61"/>
      <c r="Z23" s="16"/>
      <c r="AA23" s="15">
        <v>0</v>
      </c>
      <c r="AB23" s="16"/>
    </row>
    <row r="24" spans="1:28" ht="15" customHeight="1" x14ac:dyDescent="0.2">
      <c r="A24" s="64"/>
      <c r="B24" s="64"/>
      <c r="C24" s="64"/>
      <c r="D24" s="64"/>
      <c r="E24" s="64"/>
      <c r="F24" s="64"/>
      <c r="G24" s="15"/>
      <c r="H24" s="15"/>
      <c r="I24" s="15"/>
      <c r="J24" s="65" t="s">
        <v>95</v>
      </c>
      <c r="K24" s="65"/>
      <c r="L24" s="65"/>
      <c r="M24" s="15"/>
      <c r="N24" s="15">
        <v>1</v>
      </c>
      <c r="O24" s="15"/>
      <c r="P24" s="62"/>
      <c r="Q24" s="62"/>
      <c r="R24" s="62"/>
      <c r="S24" s="62"/>
      <c r="T24" s="16"/>
      <c r="U24" s="15">
        <v>0</v>
      </c>
      <c r="V24" s="16"/>
      <c r="W24" s="61"/>
      <c r="X24" s="61"/>
      <c r="Y24" s="61"/>
      <c r="Z24" s="16"/>
      <c r="AA24" s="15">
        <v>0</v>
      </c>
      <c r="AB24" s="16"/>
    </row>
    <row r="25" spans="1:28" ht="15" customHeight="1" x14ac:dyDescent="0.2">
      <c r="A25" s="64"/>
      <c r="B25" s="64"/>
      <c r="C25" s="64"/>
      <c r="D25" s="64"/>
      <c r="E25" s="64"/>
      <c r="F25" s="64"/>
      <c r="G25" s="15"/>
      <c r="H25" s="15"/>
      <c r="I25" s="15"/>
      <c r="J25" s="65" t="s">
        <v>96</v>
      </c>
      <c r="K25" s="65"/>
      <c r="L25" s="65"/>
      <c r="M25" s="15"/>
      <c r="N25" s="35">
        <v>1</v>
      </c>
      <c r="O25" s="15"/>
      <c r="P25" s="62"/>
      <c r="Q25" s="62"/>
      <c r="R25" s="62"/>
      <c r="S25" s="62"/>
      <c r="T25" s="16"/>
      <c r="U25" s="15">
        <v>0</v>
      </c>
      <c r="V25" s="16"/>
      <c r="W25" s="61"/>
      <c r="X25" s="61"/>
      <c r="Y25" s="61"/>
      <c r="Z25" s="16"/>
      <c r="AA25" s="15">
        <v>0</v>
      </c>
      <c r="AB25" s="16"/>
    </row>
    <row r="26" spans="1:28" ht="15" customHeight="1" x14ac:dyDescent="0.2">
      <c r="A26" s="64"/>
      <c r="B26" s="64"/>
      <c r="C26" s="64"/>
      <c r="D26" s="64"/>
      <c r="E26" s="64"/>
      <c r="F26" s="64"/>
      <c r="G26" s="15"/>
      <c r="H26" s="15"/>
      <c r="I26" s="15"/>
      <c r="J26" s="65" t="s">
        <v>97</v>
      </c>
      <c r="K26" s="65"/>
      <c r="L26" s="65"/>
      <c r="M26" s="15"/>
      <c r="N26" s="15">
        <v>1</v>
      </c>
      <c r="O26" s="15"/>
      <c r="P26" s="62"/>
      <c r="Q26" s="62"/>
      <c r="R26" s="62"/>
      <c r="S26" s="62"/>
      <c r="T26" s="16"/>
      <c r="U26" s="15">
        <v>0</v>
      </c>
      <c r="V26" s="16"/>
      <c r="W26" s="61"/>
      <c r="X26" s="61"/>
      <c r="Y26" s="61"/>
      <c r="Z26" s="16"/>
      <c r="AA26" s="15">
        <v>0</v>
      </c>
      <c r="AB26" s="16"/>
    </row>
    <row r="27" spans="1:28" ht="15" customHeight="1" x14ac:dyDescent="0.2">
      <c r="A27" s="64"/>
      <c r="B27" s="64"/>
      <c r="C27" s="64"/>
      <c r="D27" s="64"/>
      <c r="E27" s="64"/>
      <c r="F27" s="64"/>
      <c r="G27" s="15"/>
      <c r="H27" s="15"/>
      <c r="I27" s="15"/>
      <c r="J27" s="65"/>
      <c r="K27" s="65"/>
      <c r="L27" s="65"/>
      <c r="M27" s="15"/>
      <c r="N27" s="15"/>
      <c r="O27" s="15"/>
      <c r="P27" s="62"/>
      <c r="Q27" s="62"/>
      <c r="R27" s="62"/>
      <c r="S27" s="62"/>
      <c r="T27" s="16"/>
      <c r="U27" s="15">
        <v>0</v>
      </c>
      <c r="V27" s="16"/>
      <c r="W27" s="61"/>
      <c r="X27" s="61"/>
      <c r="Y27" s="61"/>
      <c r="Z27" s="16"/>
      <c r="AA27" s="15">
        <v>0</v>
      </c>
      <c r="AB27" s="16"/>
    </row>
    <row r="28" spans="1:28" ht="15" customHeight="1" x14ac:dyDescent="0.2">
      <c r="A28" s="64"/>
      <c r="B28" s="64"/>
      <c r="C28" s="64"/>
      <c r="D28" s="64"/>
      <c r="E28" s="64"/>
      <c r="F28" s="64"/>
      <c r="G28" s="15"/>
      <c r="H28" s="15"/>
      <c r="I28" s="15"/>
      <c r="J28" s="65" t="s">
        <v>98</v>
      </c>
      <c r="K28" s="65"/>
      <c r="L28" s="65"/>
      <c r="M28" s="15"/>
      <c r="N28" s="15">
        <v>1</v>
      </c>
      <c r="O28" s="15"/>
      <c r="P28" s="62"/>
      <c r="Q28" s="62"/>
      <c r="R28" s="62"/>
      <c r="S28" s="62"/>
      <c r="T28" s="16"/>
      <c r="U28" s="15">
        <v>0</v>
      </c>
      <c r="V28" s="16"/>
      <c r="W28" s="61"/>
      <c r="X28" s="61"/>
      <c r="Y28" s="61"/>
      <c r="Z28" s="16"/>
      <c r="AA28" s="15">
        <v>0</v>
      </c>
      <c r="AB28" s="16"/>
    </row>
    <row r="29" spans="1:28" ht="15" customHeight="1" x14ac:dyDescent="0.2">
      <c r="A29" s="64"/>
      <c r="B29" s="64"/>
      <c r="C29" s="64"/>
      <c r="D29" s="64"/>
      <c r="E29" s="64"/>
      <c r="F29" s="64"/>
      <c r="G29" s="15"/>
      <c r="H29" s="15"/>
      <c r="I29" s="15"/>
      <c r="J29" s="65" t="s">
        <v>99</v>
      </c>
      <c r="K29" s="65"/>
      <c r="L29" s="65"/>
      <c r="M29" s="15"/>
      <c r="N29" s="15">
        <v>1</v>
      </c>
      <c r="O29" s="15"/>
      <c r="P29" s="62"/>
      <c r="Q29" s="62"/>
      <c r="R29" s="62"/>
      <c r="S29" s="62"/>
      <c r="T29" s="16"/>
      <c r="U29" s="15">
        <v>0</v>
      </c>
      <c r="V29" s="16"/>
      <c r="W29" s="61"/>
      <c r="X29" s="61"/>
      <c r="Y29" s="61"/>
      <c r="Z29" s="16"/>
      <c r="AA29" s="15">
        <v>0</v>
      </c>
      <c r="AB29" s="16"/>
    </row>
    <row r="30" spans="1:28" ht="15" customHeight="1" x14ac:dyDescent="0.2">
      <c r="A30" s="64" t="s">
        <v>88</v>
      </c>
      <c r="B30" s="64"/>
      <c r="C30" s="64"/>
      <c r="D30" s="64"/>
      <c r="E30" s="64"/>
      <c r="F30" s="64"/>
      <c r="G30" s="15"/>
      <c r="H30" s="15">
        <v>26</v>
      </c>
      <c r="I30" s="15"/>
      <c r="J30" s="65" t="s">
        <v>100</v>
      </c>
      <c r="K30" s="65"/>
      <c r="L30" s="65"/>
      <c r="M30" s="15"/>
      <c r="N30" s="15">
        <v>1</v>
      </c>
      <c r="O30" s="15"/>
      <c r="P30" s="66"/>
      <c r="Q30" s="66"/>
      <c r="R30" s="66"/>
      <c r="S30" s="66"/>
      <c r="T30" s="16"/>
      <c r="U30" s="15">
        <v>0</v>
      </c>
      <c r="V30" s="16"/>
      <c r="W30" s="61"/>
      <c r="X30" s="61"/>
      <c r="Y30" s="61"/>
      <c r="Z30" s="16"/>
      <c r="AA30" s="15">
        <v>0</v>
      </c>
      <c r="AB30" s="16"/>
    </row>
    <row r="31" spans="1:28" ht="15" customHeight="1" x14ac:dyDescent="0.2">
      <c r="A31" s="64"/>
      <c r="B31" s="64"/>
      <c r="C31" s="64"/>
      <c r="D31" s="64"/>
      <c r="E31" s="64"/>
      <c r="F31" s="64"/>
      <c r="G31" s="15"/>
      <c r="H31" s="15"/>
      <c r="I31" s="15"/>
      <c r="J31" s="65" t="s">
        <v>101</v>
      </c>
      <c r="K31" s="65"/>
      <c r="L31" s="65"/>
      <c r="M31" s="15"/>
      <c r="N31" s="15">
        <v>1</v>
      </c>
      <c r="O31" s="15"/>
      <c r="P31" s="62"/>
      <c r="Q31" s="62"/>
      <c r="R31" s="62"/>
      <c r="S31" s="62"/>
      <c r="T31" s="16"/>
      <c r="U31" s="15">
        <v>0</v>
      </c>
      <c r="V31" s="16"/>
      <c r="W31" s="61"/>
      <c r="X31" s="61"/>
      <c r="Y31" s="61"/>
      <c r="Z31" s="16"/>
      <c r="AA31" s="15">
        <v>0</v>
      </c>
      <c r="AB31" s="16"/>
    </row>
    <row r="32" spans="1:28" ht="15" customHeight="1" x14ac:dyDescent="0.2">
      <c r="A32" s="64"/>
      <c r="B32" s="64"/>
      <c r="C32" s="64"/>
      <c r="D32" s="64"/>
      <c r="E32" s="64"/>
      <c r="F32" s="64"/>
      <c r="G32" s="15"/>
      <c r="H32" s="15"/>
      <c r="I32" s="15"/>
      <c r="J32" s="65" t="s">
        <v>102</v>
      </c>
      <c r="K32" s="65"/>
      <c r="L32" s="65"/>
      <c r="M32" s="15"/>
      <c r="N32" s="15">
        <v>1</v>
      </c>
      <c r="O32" s="15"/>
      <c r="P32" s="62"/>
      <c r="Q32" s="62"/>
      <c r="R32" s="62"/>
      <c r="S32" s="62"/>
      <c r="T32" s="16"/>
      <c r="U32" s="15">
        <v>0</v>
      </c>
      <c r="V32" s="16"/>
      <c r="W32" s="61"/>
      <c r="X32" s="61"/>
      <c r="Y32" s="61"/>
      <c r="Z32" s="16"/>
      <c r="AA32" s="15">
        <v>0</v>
      </c>
      <c r="AB32" s="16"/>
    </row>
    <row r="33" spans="1:28" ht="15" customHeight="1" x14ac:dyDescent="0.2">
      <c r="A33" s="64"/>
      <c r="B33" s="64"/>
      <c r="C33" s="64"/>
      <c r="D33" s="64"/>
      <c r="E33" s="64"/>
      <c r="F33" s="64"/>
      <c r="G33" s="15"/>
      <c r="H33" s="15"/>
      <c r="I33" s="15"/>
      <c r="J33" s="65" t="s">
        <v>103</v>
      </c>
      <c r="K33" s="65"/>
      <c r="L33" s="65"/>
      <c r="M33" s="15"/>
      <c r="N33" s="15">
        <v>1</v>
      </c>
      <c r="O33" s="15"/>
      <c r="P33" s="62"/>
      <c r="Q33" s="62"/>
      <c r="R33" s="62"/>
      <c r="S33" s="62"/>
      <c r="T33" s="16"/>
      <c r="U33" s="15">
        <v>0</v>
      </c>
      <c r="V33" s="16"/>
      <c r="W33" s="61"/>
      <c r="X33" s="61"/>
      <c r="Y33" s="61"/>
      <c r="Z33" s="16"/>
      <c r="AA33" s="15">
        <v>0</v>
      </c>
      <c r="AB33" s="16"/>
    </row>
    <row r="34" spans="1:28" ht="15" customHeight="1" x14ac:dyDescent="0.2">
      <c r="A34" s="57" t="s">
        <v>92</v>
      </c>
      <c r="B34" s="58"/>
      <c r="C34" s="58"/>
      <c r="D34" s="58"/>
      <c r="E34" s="58"/>
      <c r="F34" s="59"/>
      <c r="G34" s="15"/>
      <c r="H34" s="15">
        <v>11</v>
      </c>
      <c r="I34" s="15"/>
      <c r="J34" s="65" t="s">
        <v>104</v>
      </c>
      <c r="K34" s="65"/>
      <c r="L34" s="65"/>
      <c r="M34" s="15"/>
      <c r="N34" s="15">
        <v>1</v>
      </c>
      <c r="O34" s="15"/>
      <c r="P34" s="62"/>
      <c r="Q34" s="62"/>
      <c r="R34" s="62"/>
      <c r="S34" s="62"/>
      <c r="T34" s="16"/>
      <c r="U34" s="15">
        <v>0</v>
      </c>
      <c r="V34" s="16"/>
      <c r="W34" s="61"/>
      <c r="X34" s="61"/>
      <c r="Y34" s="61"/>
      <c r="Z34" s="16"/>
      <c r="AA34" s="15">
        <v>0</v>
      </c>
      <c r="AB34" s="16"/>
    </row>
    <row r="35" spans="1:28" ht="15" customHeight="1" x14ac:dyDescent="0.2">
      <c r="A35" s="64" t="s">
        <v>71</v>
      </c>
      <c r="B35" s="64"/>
      <c r="C35" s="64"/>
      <c r="D35" s="64"/>
      <c r="E35" s="64"/>
      <c r="F35" s="64"/>
      <c r="G35" s="15"/>
      <c r="H35" s="15">
        <v>1</v>
      </c>
      <c r="I35" s="15"/>
      <c r="J35" s="65" t="s">
        <v>105</v>
      </c>
      <c r="K35" s="65"/>
      <c r="L35" s="65"/>
      <c r="M35" s="15"/>
      <c r="N35" s="15">
        <v>1</v>
      </c>
      <c r="O35" s="15"/>
      <c r="P35" s="62"/>
      <c r="Q35" s="62"/>
      <c r="R35" s="62"/>
      <c r="S35" s="62"/>
      <c r="T35" s="16"/>
      <c r="U35" s="15">
        <v>0</v>
      </c>
      <c r="V35" s="16"/>
      <c r="W35" s="61"/>
      <c r="X35" s="61"/>
      <c r="Y35" s="61"/>
      <c r="Z35" s="16"/>
      <c r="AA35" s="15">
        <v>0</v>
      </c>
      <c r="AB35" s="16"/>
    </row>
    <row r="36" spans="1:28" ht="15" customHeight="1" x14ac:dyDescent="0.2">
      <c r="A36" s="57" t="s">
        <v>69</v>
      </c>
      <c r="B36" s="58"/>
      <c r="C36" s="58"/>
      <c r="D36" s="58"/>
      <c r="E36" s="58"/>
      <c r="F36" s="59"/>
      <c r="G36" s="15"/>
      <c r="H36" s="15">
        <v>1</v>
      </c>
      <c r="I36" s="15"/>
      <c r="J36" s="60" t="s">
        <v>106</v>
      </c>
      <c r="K36" s="61"/>
      <c r="L36" s="61"/>
      <c r="M36" s="15"/>
      <c r="N36" s="15">
        <v>1</v>
      </c>
      <c r="O36" s="15"/>
      <c r="P36" s="62"/>
      <c r="Q36" s="62"/>
      <c r="R36" s="62"/>
      <c r="S36" s="62"/>
      <c r="T36" s="16"/>
      <c r="U36" s="15">
        <v>0</v>
      </c>
      <c r="V36" s="16"/>
      <c r="W36" s="61"/>
      <c r="X36" s="61"/>
      <c r="Y36" s="61"/>
      <c r="Z36" s="16"/>
      <c r="AA36" s="15">
        <v>0</v>
      </c>
      <c r="AB36" s="16"/>
    </row>
    <row r="37" spans="1:28" ht="15" customHeight="1" x14ac:dyDescent="0.2">
      <c r="A37" s="57" t="s">
        <v>67</v>
      </c>
      <c r="B37" s="58"/>
      <c r="C37" s="58"/>
      <c r="D37" s="58"/>
      <c r="E37" s="58"/>
      <c r="F37" s="59"/>
      <c r="G37" s="15"/>
      <c r="H37" s="15">
        <v>59</v>
      </c>
      <c r="I37" s="15"/>
      <c r="J37" s="60" t="s">
        <v>90</v>
      </c>
      <c r="K37" s="61"/>
      <c r="L37" s="61"/>
      <c r="M37" s="15"/>
      <c r="N37" s="15">
        <v>1</v>
      </c>
      <c r="O37" s="15"/>
      <c r="P37" s="62"/>
      <c r="Q37" s="62"/>
      <c r="R37" s="62"/>
      <c r="S37" s="62"/>
      <c r="T37" s="16"/>
      <c r="U37" s="15">
        <v>0</v>
      </c>
      <c r="V37" s="16"/>
      <c r="W37" s="61"/>
      <c r="X37" s="61"/>
      <c r="Y37" s="61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63" t="s">
        <v>28</v>
      </c>
      <c r="B39" s="63"/>
      <c r="C39" s="63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W39" s="53" t="s">
        <v>34</v>
      </c>
      <c r="X39" s="53"/>
      <c r="Y39" s="53"/>
      <c r="Z39" s="53"/>
      <c r="AA39" s="53"/>
      <c r="AB39" s="53"/>
    </row>
    <row r="40" spans="1:28" ht="22.5" customHeight="1" x14ac:dyDescent="0.2">
      <c r="A40" s="42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4"/>
      <c r="W40" s="48"/>
      <c r="X40" s="49"/>
      <c r="Y40" s="49"/>
      <c r="Z40" s="49"/>
      <c r="AA40" s="49"/>
      <c r="AB40" s="50"/>
    </row>
    <row r="41" spans="1:28" ht="26.25" customHeight="1" x14ac:dyDescent="0.2">
      <c r="A41" s="45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7"/>
      <c r="V41" s="51"/>
      <c r="W41" s="52" t="s">
        <v>29</v>
      </c>
      <c r="X41" s="53"/>
      <c r="Y41" s="53"/>
      <c r="Z41" s="53"/>
      <c r="AA41" s="53"/>
      <c r="AB41" s="53"/>
    </row>
    <row r="42" spans="1:28" ht="22.5" customHeight="1" x14ac:dyDescent="0.2">
      <c r="A42" s="45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7"/>
      <c r="V42" s="51"/>
      <c r="W42" s="54"/>
      <c r="X42" s="55"/>
      <c r="Y42" s="55"/>
      <c r="Z42" s="55"/>
      <c r="AA42" s="55"/>
      <c r="AB42" s="56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5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6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7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8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9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0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1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2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3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4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5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6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7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8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9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0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1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2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3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4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5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6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7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8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9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0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1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2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3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4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5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6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7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8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9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0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1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2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3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4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5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6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7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8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9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0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1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2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3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4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5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6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7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8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9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0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1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2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3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4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5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6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7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8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9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0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1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2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3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4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5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6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9"/>
  <dimension ref="A1:AC42"/>
  <sheetViews>
    <sheetView showGridLines="0" view="pageBreakPreview" topLeftCell="A15" zoomScale="130" zoomScaleNormal="100" zoomScaleSheetLayoutView="130" workbookViewId="0">
      <selection activeCell="N18" sqref="N18:N23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8"/>
      <c r="B1" s="36"/>
      <c r="I1" s="99" t="s">
        <v>33</v>
      </c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100"/>
      <c r="Y1" s="100"/>
      <c r="Z1" s="100"/>
      <c r="AA1" s="100"/>
      <c r="AB1" s="100"/>
      <c r="AC1" s="3"/>
    </row>
    <row r="2" spans="1:29" ht="37.5" customHeight="1" x14ac:dyDescent="0.2">
      <c r="A2" s="98"/>
      <c r="B2" s="36"/>
      <c r="I2" s="101" t="s">
        <v>32</v>
      </c>
      <c r="J2" s="102"/>
      <c r="K2" s="102"/>
      <c r="L2" s="102"/>
      <c r="M2" s="102"/>
      <c r="N2" s="102"/>
      <c r="O2" s="102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92" t="s">
        <v>1</v>
      </c>
      <c r="B4" s="92"/>
      <c r="C4" s="92"/>
      <c r="D4" s="92"/>
      <c r="E4" s="92"/>
      <c r="F4" s="93"/>
      <c r="G4" s="103"/>
      <c r="H4" s="103"/>
      <c r="I4" s="103"/>
      <c r="J4" s="103"/>
      <c r="K4" s="103"/>
      <c r="L4" s="103"/>
      <c r="M4" s="103"/>
      <c r="N4" s="104" t="s">
        <v>11</v>
      </c>
      <c r="O4" s="104"/>
      <c r="P4" s="104"/>
      <c r="Q4" s="104"/>
      <c r="R4" s="104"/>
      <c r="S4" s="104"/>
      <c r="T4" s="104"/>
      <c r="U4" s="81" t="s">
        <v>64</v>
      </c>
      <c r="V4" s="82"/>
      <c r="W4" s="82"/>
      <c r="X4" s="82"/>
      <c r="Y4" s="82"/>
      <c r="Z4" s="82"/>
      <c r="AA4" s="82"/>
      <c r="AB4" s="83"/>
      <c r="AC4" s="3"/>
    </row>
    <row r="5" spans="1:29" ht="24" customHeight="1" x14ac:dyDescent="0.2">
      <c r="A5" s="92" t="s">
        <v>5</v>
      </c>
      <c r="B5" s="92"/>
      <c r="C5" s="92"/>
      <c r="D5" s="92"/>
      <c r="E5" s="92"/>
      <c r="F5" s="93"/>
      <c r="G5" s="71" t="s">
        <v>61</v>
      </c>
      <c r="H5" s="71"/>
      <c r="I5" s="71"/>
      <c r="J5" s="71"/>
      <c r="K5" s="71"/>
      <c r="L5" s="71"/>
      <c r="M5" s="71"/>
      <c r="N5" s="92" t="s">
        <v>9</v>
      </c>
      <c r="O5" s="92"/>
      <c r="P5" s="92"/>
      <c r="Q5" s="92"/>
      <c r="R5" s="92"/>
      <c r="S5" s="92"/>
      <c r="T5" s="92"/>
      <c r="U5" s="94">
        <v>44389</v>
      </c>
      <c r="V5" s="94"/>
      <c r="W5" s="94"/>
      <c r="X5" s="24" t="s">
        <v>30</v>
      </c>
      <c r="Y5" s="95">
        <v>0.35416666666666669</v>
      </c>
      <c r="Z5" s="96"/>
      <c r="AA5" s="96"/>
      <c r="AB5" s="96"/>
    </row>
    <row r="6" spans="1:29" ht="24" customHeight="1" x14ac:dyDescent="0.2">
      <c r="A6" s="84" t="s">
        <v>7</v>
      </c>
      <c r="B6" s="84"/>
      <c r="C6" s="84"/>
      <c r="D6" s="84"/>
      <c r="E6" s="84"/>
      <c r="F6" s="85"/>
      <c r="G6" s="71" t="s">
        <v>62</v>
      </c>
      <c r="H6" s="71"/>
      <c r="I6" s="71"/>
      <c r="J6" s="71"/>
      <c r="K6" s="71"/>
      <c r="L6" s="71"/>
      <c r="M6" s="71"/>
      <c r="N6" s="97" t="s">
        <v>0</v>
      </c>
      <c r="O6" s="97"/>
      <c r="P6" s="97"/>
      <c r="Q6" s="97"/>
      <c r="R6" s="97"/>
      <c r="S6" s="97"/>
      <c r="T6" s="97"/>
      <c r="U6" s="94">
        <v>44389</v>
      </c>
      <c r="V6" s="94"/>
      <c r="W6" s="94"/>
      <c r="X6" s="24" t="s">
        <v>30</v>
      </c>
      <c r="Y6" s="95">
        <v>0.4375</v>
      </c>
      <c r="Z6" s="96"/>
      <c r="AA6" s="96"/>
      <c r="AB6" s="96"/>
    </row>
    <row r="7" spans="1:29" ht="24" customHeight="1" x14ac:dyDescent="0.2">
      <c r="A7" s="92" t="s">
        <v>10</v>
      </c>
      <c r="B7" s="92"/>
      <c r="C7" s="92"/>
      <c r="D7" s="92"/>
      <c r="E7" s="92"/>
      <c r="F7" s="93"/>
      <c r="G7" s="71" t="s">
        <v>63</v>
      </c>
      <c r="H7" s="71"/>
      <c r="I7" s="71"/>
      <c r="J7" s="71"/>
      <c r="K7" s="71"/>
      <c r="L7" s="71"/>
      <c r="M7" s="71"/>
      <c r="N7" s="87" t="s">
        <v>35</v>
      </c>
      <c r="O7" s="87"/>
      <c r="P7" s="87"/>
      <c r="Q7" s="87"/>
      <c r="R7" s="87"/>
      <c r="S7" s="87"/>
      <c r="T7" s="87"/>
      <c r="U7" s="88" t="s">
        <v>65</v>
      </c>
      <c r="V7" s="88"/>
      <c r="W7" s="88"/>
      <c r="X7" s="88"/>
      <c r="Y7" s="88"/>
      <c r="Z7" s="88"/>
      <c r="AA7" s="88"/>
      <c r="AB7" s="88"/>
    </row>
    <row r="8" spans="1:29" ht="24" customHeight="1" x14ac:dyDescent="0.2">
      <c r="A8" s="84" t="s">
        <v>2</v>
      </c>
      <c r="B8" s="84"/>
      <c r="C8" s="84"/>
      <c r="D8" s="84"/>
      <c r="E8" s="84"/>
      <c r="F8" s="85"/>
      <c r="G8" s="90">
        <v>514059</v>
      </c>
      <c r="H8" s="90"/>
      <c r="I8" s="90"/>
      <c r="J8" s="90"/>
      <c r="K8" s="90"/>
      <c r="L8" s="90"/>
      <c r="M8" s="90"/>
      <c r="N8" s="87" t="s">
        <v>4</v>
      </c>
      <c r="O8" s="87"/>
      <c r="P8" s="87"/>
      <c r="Q8" s="87"/>
      <c r="R8" s="87"/>
      <c r="S8" s="87"/>
      <c r="T8" s="87"/>
      <c r="U8" s="91" t="s">
        <v>66</v>
      </c>
      <c r="V8" s="91"/>
      <c r="W8" s="91"/>
      <c r="X8" s="91"/>
      <c r="Y8" s="91"/>
      <c r="Z8" s="91"/>
      <c r="AA8" s="91"/>
      <c r="AB8" s="91"/>
    </row>
    <row r="9" spans="1:29" ht="24" customHeight="1" x14ac:dyDescent="0.2">
      <c r="A9" s="84" t="s">
        <v>6</v>
      </c>
      <c r="B9" s="84"/>
      <c r="C9" s="84"/>
      <c r="D9" s="84"/>
      <c r="E9" s="84"/>
      <c r="F9" s="85"/>
      <c r="G9" s="86" t="s">
        <v>72</v>
      </c>
      <c r="H9" s="86"/>
      <c r="I9" s="86"/>
      <c r="J9" s="86"/>
      <c r="K9" s="86"/>
      <c r="L9" s="86"/>
      <c r="M9" s="86"/>
      <c r="N9" s="87" t="s">
        <v>31</v>
      </c>
      <c r="O9" s="87"/>
      <c r="P9" s="87"/>
      <c r="Q9" s="87"/>
      <c r="R9" s="87"/>
      <c r="S9" s="87"/>
      <c r="T9" s="87"/>
      <c r="U9" s="88" t="s">
        <v>81</v>
      </c>
      <c r="V9" s="88"/>
      <c r="W9" s="88"/>
      <c r="X9" s="88"/>
      <c r="Y9" s="88"/>
      <c r="Z9" s="88"/>
      <c r="AA9" s="88"/>
      <c r="AB9" s="88"/>
    </row>
    <row r="10" spans="1:29" ht="6" customHeight="1" x14ac:dyDescent="0.2">
      <c r="U10" s="7"/>
      <c r="V10" s="7"/>
      <c r="W10" s="7"/>
    </row>
    <row r="11" spans="1:29" ht="23.25" customHeight="1" x14ac:dyDescent="0.2">
      <c r="A11" s="89" t="s">
        <v>8</v>
      </c>
      <c r="B11" s="89"/>
      <c r="C11" s="89"/>
      <c r="D11" s="89"/>
      <c r="E11" s="89"/>
      <c r="F11" s="89"/>
      <c r="G11" s="89"/>
      <c r="H11" s="89"/>
      <c r="I11" s="89"/>
      <c r="J11" s="89"/>
      <c r="K11" s="89"/>
      <c r="L11" s="89"/>
      <c r="M11" s="18"/>
      <c r="N11" s="87" t="s">
        <v>12</v>
      </c>
      <c r="O11" s="87"/>
      <c r="P11" s="87"/>
      <c r="Q11" s="87"/>
      <c r="R11" s="87"/>
      <c r="S11" s="71"/>
      <c r="T11" s="71"/>
      <c r="U11" s="87" t="s">
        <v>13</v>
      </c>
      <c r="V11" s="87"/>
      <c r="W11" s="87"/>
      <c r="X11" s="87"/>
      <c r="Y11" s="87"/>
      <c r="Z11" s="87"/>
      <c r="AA11" s="81"/>
      <c r="AB11" s="83"/>
    </row>
    <row r="12" spans="1:29" ht="6" customHeight="1" x14ac:dyDescent="0.2">
      <c r="I12" s="78"/>
      <c r="J12" s="78"/>
      <c r="K12" s="78"/>
      <c r="L12" s="78"/>
      <c r="M12" s="78"/>
      <c r="N12" s="78"/>
      <c r="O12" s="78"/>
      <c r="P12" s="78"/>
      <c r="Q12" s="78"/>
      <c r="R12" s="78"/>
      <c r="S12" s="78"/>
      <c r="T12" s="78"/>
    </row>
    <row r="13" spans="1:29" ht="36" customHeight="1" x14ac:dyDescent="0.2">
      <c r="A13" s="53" t="s">
        <v>60</v>
      </c>
      <c r="B13" s="73"/>
      <c r="C13" s="73"/>
      <c r="D13" s="73"/>
      <c r="E13" s="73"/>
      <c r="F13" s="37" t="s">
        <v>37</v>
      </c>
      <c r="G13" s="72" t="s">
        <v>14</v>
      </c>
      <c r="H13" s="72"/>
      <c r="I13" s="72"/>
      <c r="J13" s="79" t="s">
        <v>70</v>
      </c>
      <c r="K13" s="80"/>
      <c r="L13" s="72" t="s">
        <v>15</v>
      </c>
      <c r="M13" s="72"/>
      <c r="N13" s="72"/>
      <c r="O13" s="81">
        <v>0</v>
      </c>
      <c r="P13" s="82"/>
      <c r="Q13" s="83"/>
      <c r="R13" s="72" t="s">
        <v>16</v>
      </c>
      <c r="S13" s="72"/>
      <c r="T13" s="72"/>
      <c r="U13" s="71">
        <v>1</v>
      </c>
      <c r="V13" s="71"/>
      <c r="W13" s="72" t="s">
        <v>17</v>
      </c>
      <c r="X13" s="72"/>
      <c r="Y13" s="72"/>
      <c r="Z13" s="72"/>
      <c r="AA13" s="71">
        <v>1</v>
      </c>
      <c r="AB13" s="71"/>
    </row>
    <row r="14" spans="1:29" ht="27" customHeight="1" x14ac:dyDescent="0.2">
      <c r="A14" s="73" t="s">
        <v>3</v>
      </c>
      <c r="B14" s="73"/>
      <c r="C14" s="73"/>
      <c r="D14" s="73"/>
      <c r="E14" s="73"/>
      <c r="F14" s="37"/>
      <c r="G14" s="72" t="s">
        <v>18</v>
      </c>
      <c r="H14" s="72"/>
      <c r="I14" s="72"/>
      <c r="J14" s="72"/>
      <c r="K14" s="72"/>
      <c r="L14" s="72"/>
      <c r="M14" s="74"/>
      <c r="N14" s="75"/>
      <c r="O14" s="75"/>
      <c r="P14" s="75"/>
      <c r="Q14" s="76"/>
      <c r="R14" s="72" t="s">
        <v>19</v>
      </c>
      <c r="S14" s="72"/>
      <c r="T14" s="72"/>
      <c r="U14" s="72"/>
      <c r="V14" s="72"/>
      <c r="W14" s="77"/>
      <c r="X14" s="77"/>
      <c r="Y14" s="77"/>
      <c r="Z14" s="77"/>
      <c r="AA14" s="77"/>
      <c r="AB14" s="77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8" t="s">
        <v>20</v>
      </c>
      <c r="B17" s="69"/>
      <c r="C17" s="69"/>
      <c r="D17" s="69"/>
      <c r="E17" s="69"/>
      <c r="F17" s="70"/>
      <c r="G17" s="67" t="s">
        <v>21</v>
      </c>
      <c r="H17" s="67"/>
      <c r="I17" s="67"/>
      <c r="J17" s="67" t="s">
        <v>23</v>
      </c>
      <c r="K17" s="67"/>
      <c r="L17" s="67"/>
      <c r="M17" s="67" t="s">
        <v>24</v>
      </c>
      <c r="N17" s="67"/>
      <c r="O17" s="67"/>
      <c r="P17" s="67" t="s">
        <v>22</v>
      </c>
      <c r="Q17" s="67"/>
      <c r="R17" s="67"/>
      <c r="S17" s="67"/>
      <c r="T17" s="67" t="s">
        <v>25</v>
      </c>
      <c r="U17" s="67"/>
      <c r="V17" s="67"/>
      <c r="W17" s="67" t="s">
        <v>26</v>
      </c>
      <c r="X17" s="67"/>
      <c r="Y17" s="67"/>
      <c r="Z17" s="67" t="s">
        <v>27</v>
      </c>
      <c r="AA17" s="67"/>
      <c r="AB17" s="67"/>
    </row>
    <row r="18" spans="1:28" ht="15" customHeight="1" x14ac:dyDescent="0.2">
      <c r="A18" s="64" t="s">
        <v>82</v>
      </c>
      <c r="B18" s="64"/>
      <c r="C18" s="64"/>
      <c r="D18" s="64"/>
      <c r="E18" s="64"/>
      <c r="F18" s="64"/>
      <c r="G18" s="15"/>
      <c r="H18" s="15">
        <v>3</v>
      </c>
      <c r="I18" s="15"/>
      <c r="J18" s="65" t="s">
        <v>73</v>
      </c>
      <c r="K18" s="65"/>
      <c r="L18" s="65"/>
      <c r="M18" s="15"/>
      <c r="N18" s="15">
        <v>16</v>
      </c>
      <c r="O18" s="15"/>
      <c r="P18" s="66"/>
      <c r="Q18" s="66"/>
      <c r="R18" s="66"/>
      <c r="S18" s="66"/>
      <c r="T18" s="16"/>
      <c r="U18" s="15">
        <v>0</v>
      </c>
      <c r="V18" s="16"/>
      <c r="W18" s="62"/>
      <c r="X18" s="62"/>
      <c r="Y18" s="62"/>
      <c r="Z18" s="16"/>
      <c r="AA18" s="15">
        <v>0</v>
      </c>
      <c r="AB18" s="16"/>
    </row>
    <row r="19" spans="1:28" ht="15" customHeight="1" x14ac:dyDescent="0.2">
      <c r="A19" s="64" t="s">
        <v>68</v>
      </c>
      <c r="B19" s="64"/>
      <c r="C19" s="64"/>
      <c r="D19" s="64"/>
      <c r="E19" s="64"/>
      <c r="F19" s="64"/>
      <c r="G19" s="15"/>
      <c r="H19" s="15">
        <v>8</v>
      </c>
      <c r="I19" s="15"/>
      <c r="J19" s="65" t="s">
        <v>93</v>
      </c>
      <c r="K19" s="65"/>
      <c r="L19" s="65"/>
      <c r="M19" s="15"/>
      <c r="N19" s="15">
        <v>1</v>
      </c>
      <c r="O19" s="15"/>
      <c r="P19" s="62"/>
      <c r="Q19" s="62"/>
      <c r="R19" s="62"/>
      <c r="S19" s="62"/>
      <c r="T19" s="16"/>
      <c r="U19" s="15">
        <v>0</v>
      </c>
      <c r="V19" s="16"/>
      <c r="W19" s="62"/>
      <c r="X19" s="62"/>
      <c r="Y19" s="62"/>
      <c r="Z19" s="16"/>
      <c r="AA19" s="15">
        <v>0</v>
      </c>
      <c r="AB19" s="16"/>
    </row>
    <row r="20" spans="1:28" ht="15" customHeight="1" x14ac:dyDescent="0.2">
      <c r="A20" s="64" t="s">
        <v>80</v>
      </c>
      <c r="B20" s="64"/>
      <c r="C20" s="64"/>
      <c r="D20" s="64"/>
      <c r="E20" s="64"/>
      <c r="F20" s="64"/>
      <c r="G20" s="15"/>
      <c r="H20" s="15">
        <v>3</v>
      </c>
      <c r="I20" s="15"/>
      <c r="J20" s="65" t="s">
        <v>78</v>
      </c>
      <c r="K20" s="65"/>
      <c r="L20" s="65"/>
      <c r="M20" s="15"/>
      <c r="N20" s="15">
        <v>1</v>
      </c>
      <c r="O20" s="15"/>
      <c r="P20" s="66"/>
      <c r="Q20" s="66"/>
      <c r="R20" s="66"/>
      <c r="S20" s="66"/>
      <c r="T20" s="16"/>
      <c r="U20" s="15">
        <v>0</v>
      </c>
      <c r="V20" s="16"/>
      <c r="W20" s="62"/>
      <c r="X20" s="62"/>
      <c r="Y20" s="62"/>
      <c r="Z20" s="17"/>
      <c r="AA20" s="15">
        <v>0</v>
      </c>
      <c r="AB20" s="16"/>
    </row>
    <row r="21" spans="1:28" ht="15" customHeight="1" x14ac:dyDescent="0.2">
      <c r="A21" s="64" t="s">
        <v>74</v>
      </c>
      <c r="B21" s="64"/>
      <c r="C21" s="64"/>
      <c r="D21" s="64"/>
      <c r="E21" s="64"/>
      <c r="F21" s="64"/>
      <c r="G21" s="15"/>
      <c r="H21" s="15">
        <v>11</v>
      </c>
      <c r="I21" s="15"/>
      <c r="J21" s="65" t="s">
        <v>94</v>
      </c>
      <c r="K21" s="65"/>
      <c r="L21" s="65"/>
      <c r="M21" s="15"/>
      <c r="N21" s="15">
        <v>1</v>
      </c>
      <c r="O21" s="15"/>
      <c r="P21" s="62"/>
      <c r="Q21" s="62"/>
      <c r="R21" s="62"/>
      <c r="S21" s="62"/>
      <c r="T21" s="16"/>
      <c r="U21" s="15">
        <v>0</v>
      </c>
      <c r="V21" s="16"/>
      <c r="W21" s="61"/>
      <c r="X21" s="61"/>
      <c r="Y21" s="61"/>
      <c r="Z21" s="16"/>
      <c r="AA21" s="15">
        <v>0</v>
      </c>
      <c r="AB21" s="16"/>
    </row>
    <row r="22" spans="1:28" ht="15" customHeight="1" x14ac:dyDescent="0.2">
      <c r="A22" s="57" t="s">
        <v>83</v>
      </c>
      <c r="B22" s="58"/>
      <c r="C22" s="58"/>
      <c r="D22" s="58"/>
      <c r="E22" s="58"/>
      <c r="F22" s="59"/>
      <c r="G22" s="15"/>
      <c r="H22" s="15">
        <v>1</v>
      </c>
      <c r="I22" s="15"/>
      <c r="J22" s="65" t="s">
        <v>75</v>
      </c>
      <c r="K22" s="65"/>
      <c r="L22" s="65"/>
      <c r="M22" s="15"/>
      <c r="N22" s="15">
        <v>1</v>
      </c>
      <c r="O22" s="15"/>
      <c r="P22" s="62"/>
      <c r="Q22" s="62"/>
      <c r="R22" s="62"/>
      <c r="S22" s="62"/>
      <c r="T22" s="16"/>
      <c r="U22" s="15">
        <v>0</v>
      </c>
      <c r="V22" s="16"/>
      <c r="W22" s="61"/>
      <c r="X22" s="61"/>
      <c r="Y22" s="61"/>
      <c r="Z22" s="16"/>
      <c r="AA22" s="15">
        <v>0</v>
      </c>
      <c r="AB22" s="16"/>
    </row>
    <row r="23" spans="1:28" ht="15" customHeight="1" x14ac:dyDescent="0.2">
      <c r="A23" s="64" t="s">
        <v>84</v>
      </c>
      <c r="B23" s="64"/>
      <c r="C23" s="64"/>
      <c r="D23" s="64"/>
      <c r="E23" s="64"/>
      <c r="F23" s="64"/>
      <c r="G23" s="15"/>
      <c r="H23" s="15">
        <v>1</v>
      </c>
      <c r="I23" s="15"/>
      <c r="J23" s="65" t="s">
        <v>77</v>
      </c>
      <c r="K23" s="65"/>
      <c r="L23" s="65"/>
      <c r="M23" s="15"/>
      <c r="N23" s="15">
        <v>1</v>
      </c>
      <c r="O23" s="15"/>
      <c r="P23" s="62"/>
      <c r="Q23" s="62"/>
      <c r="R23" s="62"/>
      <c r="S23" s="62"/>
      <c r="T23" s="16"/>
      <c r="U23" s="15">
        <v>0</v>
      </c>
      <c r="V23" s="16"/>
      <c r="W23" s="61"/>
      <c r="X23" s="61"/>
      <c r="Y23" s="61"/>
      <c r="Z23" s="16"/>
      <c r="AA23" s="15">
        <v>0</v>
      </c>
      <c r="AB23" s="16"/>
    </row>
    <row r="24" spans="1:28" ht="15" customHeight="1" x14ac:dyDescent="0.2">
      <c r="A24" s="64" t="s">
        <v>85</v>
      </c>
      <c r="B24" s="64"/>
      <c r="C24" s="64"/>
      <c r="D24" s="64"/>
      <c r="E24" s="64"/>
      <c r="F24" s="64"/>
      <c r="G24" s="15"/>
      <c r="H24" s="15">
        <v>1</v>
      </c>
      <c r="I24" s="15"/>
      <c r="J24" s="65"/>
      <c r="K24" s="65"/>
      <c r="L24" s="65"/>
      <c r="M24" s="15"/>
      <c r="N24" s="15">
        <v>0</v>
      </c>
      <c r="O24" s="15"/>
      <c r="P24" s="62"/>
      <c r="Q24" s="62"/>
      <c r="R24" s="62"/>
      <c r="S24" s="62"/>
      <c r="T24" s="16"/>
      <c r="U24" s="15">
        <v>0</v>
      </c>
      <c r="V24" s="16"/>
      <c r="W24" s="61"/>
      <c r="X24" s="61"/>
      <c r="Y24" s="61"/>
      <c r="Z24" s="16"/>
      <c r="AA24" s="15">
        <v>0</v>
      </c>
      <c r="AB24" s="16"/>
    </row>
    <row r="25" spans="1:28" ht="15" customHeight="1" x14ac:dyDescent="0.2">
      <c r="A25" s="64" t="s">
        <v>78</v>
      </c>
      <c r="B25" s="64"/>
      <c r="C25" s="64"/>
      <c r="D25" s="64"/>
      <c r="E25" s="64"/>
      <c r="F25" s="64"/>
      <c r="G25" s="15"/>
      <c r="H25" s="15">
        <v>2</v>
      </c>
      <c r="I25" s="15"/>
      <c r="J25" s="65"/>
      <c r="K25" s="65"/>
      <c r="L25" s="65"/>
      <c r="M25" s="15"/>
      <c r="N25" s="35">
        <v>0</v>
      </c>
      <c r="O25" s="15"/>
      <c r="P25" s="62"/>
      <c r="Q25" s="62"/>
      <c r="R25" s="62"/>
      <c r="S25" s="62"/>
      <c r="T25" s="16"/>
      <c r="U25" s="15">
        <v>0</v>
      </c>
      <c r="V25" s="16"/>
      <c r="W25" s="61"/>
      <c r="X25" s="61"/>
      <c r="Y25" s="61"/>
      <c r="Z25" s="16"/>
      <c r="AA25" s="15">
        <v>0</v>
      </c>
      <c r="AB25" s="16"/>
    </row>
    <row r="26" spans="1:28" ht="15" customHeight="1" x14ac:dyDescent="0.2">
      <c r="A26" s="64" t="s">
        <v>86</v>
      </c>
      <c r="B26" s="64"/>
      <c r="C26" s="64"/>
      <c r="D26" s="64"/>
      <c r="E26" s="64"/>
      <c r="F26" s="64"/>
      <c r="G26" s="15"/>
      <c r="H26" s="15">
        <v>1</v>
      </c>
      <c r="I26" s="15"/>
      <c r="J26" s="65"/>
      <c r="K26" s="65"/>
      <c r="L26" s="65"/>
      <c r="M26" s="15"/>
      <c r="N26" s="15">
        <v>0</v>
      </c>
      <c r="O26" s="15"/>
      <c r="P26" s="62"/>
      <c r="Q26" s="62"/>
      <c r="R26" s="62"/>
      <c r="S26" s="62"/>
      <c r="T26" s="16"/>
      <c r="U26" s="15">
        <v>0</v>
      </c>
      <c r="V26" s="16"/>
      <c r="W26" s="61"/>
      <c r="X26" s="61"/>
      <c r="Y26" s="61"/>
      <c r="Z26" s="16"/>
      <c r="AA26" s="15">
        <v>0</v>
      </c>
      <c r="AB26" s="16"/>
    </row>
    <row r="27" spans="1:28" ht="15" customHeight="1" x14ac:dyDescent="0.2">
      <c r="A27" s="64" t="s">
        <v>76</v>
      </c>
      <c r="B27" s="64"/>
      <c r="C27" s="64"/>
      <c r="D27" s="64"/>
      <c r="E27" s="64"/>
      <c r="F27" s="64"/>
      <c r="G27" s="15"/>
      <c r="H27" s="15">
        <v>1</v>
      </c>
      <c r="I27" s="15"/>
      <c r="J27" s="65"/>
      <c r="K27" s="65"/>
      <c r="L27" s="65"/>
      <c r="M27" s="15"/>
      <c r="N27" s="15">
        <v>0</v>
      </c>
      <c r="O27" s="15"/>
      <c r="P27" s="62"/>
      <c r="Q27" s="62"/>
      <c r="R27" s="62"/>
      <c r="S27" s="62"/>
      <c r="T27" s="16"/>
      <c r="U27" s="15">
        <v>0</v>
      </c>
      <c r="V27" s="16"/>
      <c r="W27" s="61"/>
      <c r="X27" s="61"/>
      <c r="Y27" s="61"/>
      <c r="Z27" s="16"/>
      <c r="AA27" s="15">
        <v>0</v>
      </c>
      <c r="AB27" s="16"/>
    </row>
    <row r="28" spans="1:28" ht="15" customHeight="1" x14ac:dyDescent="0.2">
      <c r="A28" s="64" t="s">
        <v>87</v>
      </c>
      <c r="B28" s="64"/>
      <c r="C28" s="64"/>
      <c r="D28" s="64"/>
      <c r="E28" s="64"/>
      <c r="F28" s="64"/>
      <c r="G28" s="15"/>
      <c r="H28" s="15">
        <v>2</v>
      </c>
      <c r="I28" s="15"/>
      <c r="J28" s="65"/>
      <c r="K28" s="65"/>
      <c r="L28" s="65"/>
      <c r="M28" s="15"/>
      <c r="N28" s="15">
        <v>0</v>
      </c>
      <c r="O28" s="15"/>
      <c r="P28" s="62"/>
      <c r="Q28" s="62"/>
      <c r="R28" s="62"/>
      <c r="S28" s="62"/>
      <c r="T28" s="16"/>
      <c r="U28" s="15">
        <v>0</v>
      </c>
      <c r="V28" s="16"/>
      <c r="W28" s="61"/>
      <c r="X28" s="61"/>
      <c r="Y28" s="61"/>
      <c r="Z28" s="16"/>
      <c r="AA28" s="15">
        <v>0</v>
      </c>
      <c r="AB28" s="16"/>
    </row>
    <row r="29" spans="1:28" ht="15" customHeight="1" x14ac:dyDescent="0.2">
      <c r="A29" s="64" t="s">
        <v>79</v>
      </c>
      <c r="B29" s="64"/>
      <c r="C29" s="64"/>
      <c r="D29" s="64"/>
      <c r="E29" s="64"/>
      <c r="F29" s="64"/>
      <c r="G29" s="15"/>
      <c r="H29" s="15">
        <v>4</v>
      </c>
      <c r="I29" s="15"/>
      <c r="J29" s="65"/>
      <c r="K29" s="65"/>
      <c r="L29" s="65"/>
      <c r="M29" s="15"/>
      <c r="N29" s="15">
        <v>0</v>
      </c>
      <c r="O29" s="15"/>
      <c r="P29" s="62"/>
      <c r="Q29" s="62"/>
      <c r="R29" s="62"/>
      <c r="S29" s="62"/>
      <c r="T29" s="16"/>
      <c r="U29" s="15">
        <v>0</v>
      </c>
      <c r="V29" s="16"/>
      <c r="W29" s="61"/>
      <c r="X29" s="61"/>
      <c r="Y29" s="61"/>
      <c r="Z29" s="16"/>
      <c r="AA29" s="15">
        <v>0</v>
      </c>
      <c r="AB29" s="16"/>
    </row>
    <row r="30" spans="1:28" ht="15" customHeight="1" x14ac:dyDescent="0.2">
      <c r="A30" s="64" t="s">
        <v>88</v>
      </c>
      <c r="B30" s="64"/>
      <c r="C30" s="64"/>
      <c r="D30" s="64"/>
      <c r="E30" s="64"/>
      <c r="F30" s="64"/>
      <c r="G30" s="15"/>
      <c r="H30" s="15">
        <v>24</v>
      </c>
      <c r="I30" s="15"/>
      <c r="J30" s="65"/>
      <c r="K30" s="65"/>
      <c r="L30" s="65"/>
      <c r="M30" s="15"/>
      <c r="N30" s="15">
        <v>0</v>
      </c>
      <c r="O30" s="15"/>
      <c r="P30" s="66"/>
      <c r="Q30" s="66"/>
      <c r="R30" s="66"/>
      <c r="S30" s="66"/>
      <c r="T30" s="16"/>
      <c r="U30" s="15">
        <v>0</v>
      </c>
      <c r="V30" s="16"/>
      <c r="W30" s="61"/>
      <c r="X30" s="61"/>
      <c r="Y30" s="61"/>
      <c r="Z30" s="16"/>
      <c r="AA30" s="15">
        <v>0</v>
      </c>
      <c r="AB30" s="16"/>
    </row>
    <row r="31" spans="1:28" ht="15" customHeight="1" x14ac:dyDescent="0.2">
      <c r="A31" s="64" t="s">
        <v>89</v>
      </c>
      <c r="B31" s="64"/>
      <c r="C31" s="64"/>
      <c r="D31" s="64"/>
      <c r="E31" s="64"/>
      <c r="F31" s="64"/>
      <c r="G31" s="15"/>
      <c r="H31" s="15">
        <v>1</v>
      </c>
      <c r="I31" s="15"/>
      <c r="J31" s="65"/>
      <c r="K31" s="65"/>
      <c r="L31" s="65"/>
      <c r="M31" s="15"/>
      <c r="N31" s="15">
        <v>0</v>
      </c>
      <c r="O31" s="15"/>
      <c r="P31" s="62"/>
      <c r="Q31" s="62"/>
      <c r="R31" s="62"/>
      <c r="S31" s="62"/>
      <c r="T31" s="16"/>
      <c r="U31" s="15">
        <v>0</v>
      </c>
      <c r="V31" s="16"/>
      <c r="W31" s="61"/>
      <c r="X31" s="61"/>
      <c r="Y31" s="61"/>
      <c r="Z31" s="16"/>
      <c r="AA31" s="15">
        <v>0</v>
      </c>
      <c r="AB31" s="16"/>
    </row>
    <row r="32" spans="1:28" ht="15" customHeight="1" x14ac:dyDescent="0.2">
      <c r="A32" s="64" t="s">
        <v>90</v>
      </c>
      <c r="B32" s="64"/>
      <c r="C32" s="64"/>
      <c r="D32" s="64"/>
      <c r="E32" s="64"/>
      <c r="F32" s="64"/>
      <c r="G32" s="15"/>
      <c r="H32" s="15">
        <v>1</v>
      </c>
      <c r="I32" s="15"/>
      <c r="J32" s="65"/>
      <c r="K32" s="65"/>
      <c r="L32" s="65"/>
      <c r="M32" s="15"/>
      <c r="N32" s="15">
        <v>0</v>
      </c>
      <c r="O32" s="15"/>
      <c r="P32" s="62"/>
      <c r="Q32" s="62"/>
      <c r="R32" s="62"/>
      <c r="S32" s="62"/>
      <c r="T32" s="16"/>
      <c r="U32" s="15">
        <v>0</v>
      </c>
      <c r="V32" s="16"/>
      <c r="W32" s="61"/>
      <c r="X32" s="61"/>
      <c r="Y32" s="61"/>
      <c r="Z32" s="16"/>
      <c r="AA32" s="15">
        <v>0</v>
      </c>
      <c r="AB32" s="16"/>
    </row>
    <row r="33" spans="1:28" ht="15" customHeight="1" x14ac:dyDescent="0.2">
      <c r="A33" s="64" t="s">
        <v>91</v>
      </c>
      <c r="B33" s="64"/>
      <c r="C33" s="64"/>
      <c r="D33" s="64"/>
      <c r="E33" s="64"/>
      <c r="F33" s="64"/>
      <c r="G33" s="15"/>
      <c r="H33" s="15">
        <v>1</v>
      </c>
      <c r="I33" s="15"/>
      <c r="J33" s="65"/>
      <c r="K33" s="65"/>
      <c r="L33" s="65"/>
      <c r="M33" s="15"/>
      <c r="N33" s="15">
        <v>0</v>
      </c>
      <c r="O33" s="15"/>
      <c r="P33" s="62"/>
      <c r="Q33" s="62"/>
      <c r="R33" s="62"/>
      <c r="S33" s="62"/>
      <c r="T33" s="16"/>
      <c r="U33" s="15">
        <v>0</v>
      </c>
      <c r="V33" s="16"/>
      <c r="W33" s="61"/>
      <c r="X33" s="61"/>
      <c r="Y33" s="61"/>
      <c r="Z33" s="16"/>
      <c r="AA33" s="15">
        <v>0</v>
      </c>
      <c r="AB33" s="16"/>
    </row>
    <row r="34" spans="1:28" ht="15" customHeight="1" x14ac:dyDescent="0.2">
      <c r="A34" s="57" t="s">
        <v>92</v>
      </c>
      <c r="B34" s="58"/>
      <c r="C34" s="58"/>
      <c r="D34" s="58"/>
      <c r="E34" s="58"/>
      <c r="F34" s="59"/>
      <c r="G34" s="15"/>
      <c r="H34" s="15">
        <v>1</v>
      </c>
      <c r="I34" s="15"/>
      <c r="J34" s="65"/>
      <c r="K34" s="65"/>
      <c r="L34" s="65"/>
      <c r="M34" s="15"/>
      <c r="N34" s="15">
        <v>0</v>
      </c>
      <c r="O34" s="15"/>
      <c r="P34" s="62"/>
      <c r="Q34" s="62"/>
      <c r="R34" s="62"/>
      <c r="S34" s="62"/>
      <c r="T34" s="16"/>
      <c r="U34" s="15">
        <v>0</v>
      </c>
      <c r="V34" s="16"/>
      <c r="W34" s="61"/>
      <c r="X34" s="61"/>
      <c r="Y34" s="61"/>
      <c r="Z34" s="16"/>
      <c r="AA34" s="15">
        <v>0</v>
      </c>
      <c r="AB34" s="16"/>
    </row>
    <row r="35" spans="1:28" ht="15" customHeight="1" x14ac:dyDescent="0.2">
      <c r="A35" s="64" t="s">
        <v>71</v>
      </c>
      <c r="B35" s="64"/>
      <c r="C35" s="64"/>
      <c r="D35" s="64"/>
      <c r="E35" s="64"/>
      <c r="F35" s="64"/>
      <c r="G35" s="15"/>
      <c r="H35" s="15">
        <v>3</v>
      </c>
      <c r="I35" s="15"/>
      <c r="J35" s="65"/>
      <c r="K35" s="65"/>
      <c r="L35" s="65"/>
      <c r="M35" s="15"/>
      <c r="N35" s="15">
        <v>0</v>
      </c>
      <c r="O35" s="15"/>
      <c r="P35" s="62"/>
      <c r="Q35" s="62"/>
      <c r="R35" s="62"/>
      <c r="S35" s="62"/>
      <c r="T35" s="16"/>
      <c r="U35" s="15">
        <v>0</v>
      </c>
      <c r="V35" s="16"/>
      <c r="W35" s="61"/>
      <c r="X35" s="61"/>
      <c r="Y35" s="61"/>
      <c r="Z35" s="16"/>
      <c r="AA35" s="15">
        <v>0</v>
      </c>
      <c r="AB35" s="16"/>
    </row>
    <row r="36" spans="1:28" ht="15" customHeight="1" x14ac:dyDescent="0.2">
      <c r="A36" s="57" t="s">
        <v>69</v>
      </c>
      <c r="B36" s="58"/>
      <c r="C36" s="58"/>
      <c r="D36" s="58"/>
      <c r="E36" s="58"/>
      <c r="F36" s="59"/>
      <c r="G36" s="15"/>
      <c r="H36" s="15">
        <v>1</v>
      </c>
      <c r="I36" s="15"/>
      <c r="J36" s="60"/>
      <c r="K36" s="61"/>
      <c r="L36" s="61"/>
      <c r="M36" s="15"/>
      <c r="N36" s="15">
        <v>0</v>
      </c>
      <c r="O36" s="15"/>
      <c r="P36" s="62"/>
      <c r="Q36" s="62"/>
      <c r="R36" s="62"/>
      <c r="S36" s="62"/>
      <c r="T36" s="16"/>
      <c r="U36" s="15">
        <v>0</v>
      </c>
      <c r="V36" s="16"/>
      <c r="W36" s="61"/>
      <c r="X36" s="61"/>
      <c r="Y36" s="61"/>
      <c r="Z36" s="16"/>
      <c r="AA36" s="15">
        <v>0</v>
      </c>
      <c r="AB36" s="16"/>
    </row>
    <row r="37" spans="1:28" ht="15" customHeight="1" x14ac:dyDescent="0.2">
      <c r="A37" s="57" t="s">
        <v>67</v>
      </c>
      <c r="B37" s="58"/>
      <c r="C37" s="58"/>
      <c r="D37" s="58"/>
      <c r="E37" s="58"/>
      <c r="F37" s="59"/>
      <c r="G37" s="15"/>
      <c r="H37" s="15">
        <v>31</v>
      </c>
      <c r="I37" s="15"/>
      <c r="J37" s="60"/>
      <c r="K37" s="61"/>
      <c r="L37" s="61"/>
      <c r="M37" s="15"/>
      <c r="N37" s="15">
        <v>0</v>
      </c>
      <c r="O37" s="15"/>
      <c r="P37" s="62"/>
      <c r="Q37" s="62"/>
      <c r="R37" s="62"/>
      <c r="S37" s="62"/>
      <c r="T37" s="16"/>
      <c r="U37" s="15">
        <v>0</v>
      </c>
      <c r="V37" s="16"/>
      <c r="W37" s="61"/>
      <c r="X37" s="61"/>
      <c r="Y37" s="61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63" t="s">
        <v>28</v>
      </c>
      <c r="B39" s="63"/>
      <c r="C39" s="63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W39" s="53" t="s">
        <v>34</v>
      </c>
      <c r="X39" s="53"/>
      <c r="Y39" s="53"/>
      <c r="Z39" s="53"/>
      <c r="AA39" s="53"/>
      <c r="AB39" s="53"/>
    </row>
    <row r="40" spans="1:28" ht="22.5" customHeight="1" x14ac:dyDescent="0.2">
      <c r="A40" s="42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4"/>
      <c r="W40" s="48"/>
      <c r="X40" s="49"/>
      <c r="Y40" s="49"/>
      <c r="Z40" s="49"/>
      <c r="AA40" s="49"/>
      <c r="AB40" s="50"/>
    </row>
    <row r="41" spans="1:28" ht="26.25" customHeight="1" x14ac:dyDescent="0.2">
      <c r="A41" s="45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7"/>
      <c r="V41" s="51"/>
      <c r="W41" s="52" t="s">
        <v>29</v>
      </c>
      <c r="X41" s="53"/>
      <c r="Y41" s="53"/>
      <c r="Z41" s="53"/>
      <c r="AA41" s="53"/>
      <c r="AB41" s="53"/>
    </row>
    <row r="42" spans="1:28" ht="22.5" customHeight="1" x14ac:dyDescent="0.2">
      <c r="A42" s="45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7"/>
      <c r="V42" s="51"/>
      <c r="W42" s="54"/>
      <c r="X42" s="55"/>
      <c r="Y42" s="55"/>
      <c r="Z42" s="55"/>
      <c r="AA42" s="55"/>
      <c r="AB42" s="56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9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30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31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32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33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34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35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36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37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38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39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40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41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42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43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44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45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46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47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48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49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50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51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52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53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54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55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56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57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58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59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60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61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62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63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64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65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66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67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68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69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70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71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72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73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74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75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76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77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78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79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80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81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82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83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84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85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86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87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88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89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90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91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92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93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94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95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96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97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98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99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00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AC42"/>
  <sheetViews>
    <sheetView showGridLines="0" view="pageBreakPreview" zoomScaleNormal="100" zoomScaleSheetLayoutView="110" workbookViewId="0">
      <selection activeCell="Y6" sqref="Y6:AB6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8"/>
      <c r="B1" s="19"/>
      <c r="I1" s="99" t="s">
        <v>33</v>
      </c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100"/>
      <c r="Y1" s="100"/>
      <c r="Z1" s="100"/>
      <c r="AA1" s="100"/>
      <c r="AB1" s="100"/>
      <c r="AC1" s="3"/>
    </row>
    <row r="2" spans="1:29" ht="37.5" customHeight="1" x14ac:dyDescent="0.2">
      <c r="A2" s="98"/>
      <c r="B2" s="19"/>
      <c r="I2" s="101" t="s">
        <v>32</v>
      </c>
      <c r="J2" s="102"/>
      <c r="K2" s="102"/>
      <c r="L2" s="102"/>
      <c r="M2" s="102"/>
      <c r="N2" s="102"/>
      <c r="O2" s="102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92" t="s">
        <v>1</v>
      </c>
      <c r="B4" s="92"/>
      <c r="C4" s="92"/>
      <c r="D4" s="92"/>
      <c r="E4" s="92"/>
      <c r="F4" s="93"/>
      <c r="G4" s="103" t="s">
        <v>56</v>
      </c>
      <c r="H4" s="103"/>
      <c r="I4" s="103"/>
      <c r="J4" s="103"/>
      <c r="K4" s="103"/>
      <c r="L4" s="103"/>
      <c r="M4" s="103"/>
      <c r="N4" s="104" t="s">
        <v>11</v>
      </c>
      <c r="O4" s="104"/>
      <c r="P4" s="104"/>
      <c r="Q4" s="104"/>
      <c r="R4" s="104"/>
      <c r="S4" s="104"/>
      <c r="T4" s="104"/>
      <c r="U4" s="81" t="s">
        <v>39</v>
      </c>
      <c r="V4" s="82"/>
      <c r="W4" s="82"/>
      <c r="X4" s="82"/>
      <c r="Y4" s="82"/>
      <c r="Z4" s="82"/>
      <c r="AA4" s="82"/>
      <c r="AB4" s="83"/>
      <c r="AC4" s="3"/>
    </row>
    <row r="5" spans="1:29" ht="24" customHeight="1" x14ac:dyDescent="0.2">
      <c r="A5" s="92" t="s">
        <v>5</v>
      </c>
      <c r="B5" s="92"/>
      <c r="C5" s="92"/>
      <c r="D5" s="92"/>
      <c r="E5" s="92"/>
      <c r="F5" s="93"/>
      <c r="G5" s="71" t="s">
        <v>40</v>
      </c>
      <c r="H5" s="71"/>
      <c r="I5" s="71"/>
      <c r="J5" s="71"/>
      <c r="K5" s="71"/>
      <c r="L5" s="71"/>
      <c r="M5" s="71"/>
      <c r="N5" s="92" t="s">
        <v>9</v>
      </c>
      <c r="O5" s="92"/>
      <c r="P5" s="92"/>
      <c r="Q5" s="92"/>
      <c r="R5" s="92"/>
      <c r="S5" s="92"/>
      <c r="T5" s="92"/>
      <c r="U5" s="94">
        <v>44256</v>
      </c>
      <c r="V5" s="94"/>
      <c r="W5" s="94"/>
      <c r="X5" s="24" t="s">
        <v>30</v>
      </c>
      <c r="Y5" s="95">
        <v>0.58333333333333337</v>
      </c>
      <c r="Z5" s="96"/>
      <c r="AA5" s="96"/>
      <c r="AB5" s="96"/>
    </row>
    <row r="6" spans="1:29" ht="24" customHeight="1" x14ac:dyDescent="0.2">
      <c r="A6" s="84" t="s">
        <v>7</v>
      </c>
      <c r="B6" s="84"/>
      <c r="C6" s="84"/>
      <c r="D6" s="84"/>
      <c r="E6" s="84"/>
      <c r="F6" s="85"/>
      <c r="G6" s="71" t="s">
        <v>41</v>
      </c>
      <c r="H6" s="71"/>
      <c r="I6" s="71"/>
      <c r="J6" s="71"/>
      <c r="K6" s="71"/>
      <c r="L6" s="71"/>
      <c r="M6" s="71"/>
      <c r="N6" s="97" t="s">
        <v>0</v>
      </c>
      <c r="O6" s="97"/>
      <c r="P6" s="97"/>
      <c r="Q6" s="97"/>
      <c r="R6" s="97"/>
      <c r="S6" s="97"/>
      <c r="T6" s="97"/>
      <c r="U6" s="94">
        <v>44258</v>
      </c>
      <c r="V6" s="94"/>
      <c r="W6" s="94"/>
      <c r="X6" s="24" t="s">
        <v>30</v>
      </c>
      <c r="Y6" s="95">
        <v>0.66666666666666663</v>
      </c>
      <c r="Z6" s="96"/>
      <c r="AA6" s="96"/>
      <c r="AB6" s="96"/>
    </row>
    <row r="7" spans="1:29" ht="24" customHeight="1" x14ac:dyDescent="0.2">
      <c r="A7" s="92" t="s">
        <v>10</v>
      </c>
      <c r="B7" s="92"/>
      <c r="C7" s="92"/>
      <c r="D7" s="92"/>
      <c r="E7" s="92"/>
      <c r="F7" s="93"/>
      <c r="G7" s="71"/>
      <c r="H7" s="71"/>
      <c r="I7" s="71"/>
      <c r="J7" s="71"/>
      <c r="K7" s="71"/>
      <c r="L7" s="71"/>
      <c r="M7" s="71"/>
      <c r="N7" s="87" t="s">
        <v>35</v>
      </c>
      <c r="O7" s="87"/>
      <c r="P7" s="87"/>
      <c r="Q7" s="87"/>
      <c r="R7" s="87"/>
      <c r="S7" s="87"/>
      <c r="T7" s="87"/>
      <c r="U7" s="88" t="s">
        <v>43</v>
      </c>
      <c r="V7" s="88"/>
      <c r="W7" s="88"/>
      <c r="X7" s="88"/>
      <c r="Y7" s="88"/>
      <c r="Z7" s="88"/>
      <c r="AA7" s="88"/>
      <c r="AB7" s="88"/>
    </row>
    <row r="8" spans="1:29" ht="24" customHeight="1" x14ac:dyDescent="0.2">
      <c r="A8" s="84" t="s">
        <v>2</v>
      </c>
      <c r="B8" s="84"/>
      <c r="C8" s="84"/>
      <c r="D8" s="84"/>
      <c r="E8" s="84"/>
      <c r="F8" s="85"/>
      <c r="G8" s="105" t="s">
        <v>58</v>
      </c>
      <c r="H8" s="71"/>
      <c r="I8" s="71"/>
      <c r="J8" s="71"/>
      <c r="K8" s="71"/>
      <c r="L8" s="71"/>
      <c r="M8" s="71"/>
      <c r="N8" s="87" t="s">
        <v>4</v>
      </c>
      <c r="O8" s="87"/>
      <c r="P8" s="87"/>
      <c r="Q8" s="87"/>
      <c r="R8" s="87"/>
      <c r="S8" s="87"/>
      <c r="T8" s="87"/>
      <c r="U8" s="91" t="s">
        <v>42</v>
      </c>
      <c r="V8" s="91"/>
      <c r="W8" s="91"/>
      <c r="X8" s="91"/>
      <c r="Y8" s="91"/>
      <c r="Z8" s="91"/>
      <c r="AA8" s="91"/>
      <c r="AB8" s="91"/>
    </row>
    <row r="9" spans="1:29" ht="24" customHeight="1" x14ac:dyDescent="0.2">
      <c r="A9" s="84" t="s">
        <v>6</v>
      </c>
      <c r="B9" s="84"/>
      <c r="C9" s="84"/>
      <c r="D9" s="84"/>
      <c r="E9" s="84"/>
      <c r="F9" s="85"/>
      <c r="G9" s="106" t="s">
        <v>57</v>
      </c>
      <c r="H9" s="106"/>
      <c r="I9" s="106"/>
      <c r="J9" s="106"/>
      <c r="K9" s="106"/>
      <c r="L9" s="106"/>
      <c r="M9" s="106"/>
      <c r="N9" s="87" t="s">
        <v>31</v>
      </c>
      <c r="O9" s="87"/>
      <c r="P9" s="87"/>
      <c r="Q9" s="87"/>
      <c r="R9" s="87"/>
      <c r="S9" s="87"/>
      <c r="T9" s="87"/>
      <c r="U9" s="88" t="s">
        <v>44</v>
      </c>
      <c r="V9" s="88"/>
      <c r="W9" s="88"/>
      <c r="X9" s="88"/>
      <c r="Y9" s="88"/>
      <c r="Z9" s="88"/>
      <c r="AA9" s="88"/>
      <c r="AB9" s="88"/>
    </row>
    <row r="10" spans="1:29" ht="6" customHeight="1" x14ac:dyDescent="0.2">
      <c r="U10" s="7"/>
      <c r="V10" s="7"/>
      <c r="W10" s="7"/>
    </row>
    <row r="11" spans="1:29" ht="23.25" customHeight="1" x14ac:dyDescent="0.2">
      <c r="A11" s="89" t="s">
        <v>8</v>
      </c>
      <c r="B11" s="89"/>
      <c r="C11" s="89"/>
      <c r="D11" s="89"/>
      <c r="E11" s="89"/>
      <c r="F11" s="89"/>
      <c r="G11" s="89"/>
      <c r="H11" s="89"/>
      <c r="I11" s="89"/>
      <c r="J11" s="89"/>
      <c r="K11" s="89"/>
      <c r="L11" s="89"/>
      <c r="M11" s="18"/>
      <c r="N11" s="87" t="s">
        <v>12</v>
      </c>
      <c r="O11" s="87"/>
      <c r="P11" s="87"/>
      <c r="Q11" s="87"/>
      <c r="R11" s="87"/>
      <c r="S11" s="71"/>
      <c r="T11" s="71"/>
      <c r="U11" s="87" t="s">
        <v>13</v>
      </c>
      <c r="V11" s="87"/>
      <c r="W11" s="87"/>
      <c r="X11" s="87"/>
      <c r="Y11" s="87"/>
      <c r="Z11" s="87"/>
      <c r="AA11" s="81"/>
      <c r="AB11" s="83"/>
    </row>
    <row r="12" spans="1:29" ht="6" customHeight="1" x14ac:dyDescent="0.2">
      <c r="I12" s="78"/>
      <c r="J12" s="78"/>
      <c r="K12" s="78"/>
      <c r="L12" s="78"/>
      <c r="M12" s="78"/>
      <c r="N12" s="78"/>
      <c r="O12" s="78"/>
      <c r="P12" s="78"/>
      <c r="Q12" s="78"/>
      <c r="R12" s="78"/>
      <c r="S12" s="78"/>
      <c r="T12" s="78"/>
    </row>
    <row r="13" spans="1:29" ht="36" customHeight="1" x14ac:dyDescent="0.2">
      <c r="A13" s="53" t="s">
        <v>36</v>
      </c>
      <c r="B13" s="73"/>
      <c r="C13" s="73"/>
      <c r="D13" s="73"/>
      <c r="E13" s="73"/>
      <c r="F13" s="25" t="s">
        <v>37</v>
      </c>
      <c r="G13" s="72" t="s">
        <v>14</v>
      </c>
      <c r="H13" s="72"/>
      <c r="I13" s="72"/>
      <c r="J13" s="79">
        <v>82.99436462231462</v>
      </c>
      <c r="K13" s="80"/>
      <c r="L13" s="72" t="s">
        <v>15</v>
      </c>
      <c r="M13" s="72"/>
      <c r="N13" s="72"/>
      <c r="O13" s="81" t="s">
        <v>45</v>
      </c>
      <c r="P13" s="82"/>
      <c r="Q13" s="83"/>
      <c r="R13" s="72" t="s">
        <v>16</v>
      </c>
      <c r="S13" s="72"/>
      <c r="T13" s="72"/>
      <c r="U13" s="71" t="s">
        <v>45</v>
      </c>
      <c r="V13" s="71"/>
      <c r="W13" s="72" t="s">
        <v>17</v>
      </c>
      <c r="X13" s="72"/>
      <c r="Y13" s="72"/>
      <c r="Z13" s="72"/>
      <c r="AA13" s="71" t="s">
        <v>45</v>
      </c>
      <c r="AB13" s="71"/>
    </row>
    <row r="14" spans="1:29" ht="27" customHeight="1" x14ac:dyDescent="0.2">
      <c r="A14" s="73" t="s">
        <v>3</v>
      </c>
      <c r="B14" s="73"/>
      <c r="C14" s="73"/>
      <c r="D14" s="73"/>
      <c r="E14" s="73"/>
      <c r="F14" s="25"/>
      <c r="G14" s="72" t="s">
        <v>18</v>
      </c>
      <c r="H14" s="72"/>
      <c r="I14" s="72"/>
      <c r="J14" s="72"/>
      <c r="K14" s="72"/>
      <c r="L14" s="72"/>
      <c r="M14" s="74"/>
      <c r="N14" s="75"/>
      <c r="O14" s="75"/>
      <c r="P14" s="75"/>
      <c r="Q14" s="76"/>
      <c r="R14" s="72" t="s">
        <v>19</v>
      </c>
      <c r="S14" s="72"/>
      <c r="T14" s="72"/>
      <c r="U14" s="72"/>
      <c r="V14" s="72"/>
      <c r="W14" s="77"/>
      <c r="X14" s="77"/>
      <c r="Y14" s="77"/>
      <c r="Z14" s="77"/>
      <c r="AA14" s="77"/>
      <c r="AB14" s="77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8" t="s">
        <v>20</v>
      </c>
      <c r="B17" s="69"/>
      <c r="C17" s="69"/>
      <c r="D17" s="69"/>
      <c r="E17" s="69"/>
      <c r="F17" s="70"/>
      <c r="G17" s="67" t="s">
        <v>21</v>
      </c>
      <c r="H17" s="67"/>
      <c r="I17" s="67"/>
      <c r="J17" s="67" t="s">
        <v>23</v>
      </c>
      <c r="K17" s="67"/>
      <c r="L17" s="67"/>
      <c r="M17" s="67" t="s">
        <v>24</v>
      </c>
      <c r="N17" s="67"/>
      <c r="O17" s="67"/>
      <c r="P17" s="67" t="s">
        <v>22</v>
      </c>
      <c r="Q17" s="67"/>
      <c r="R17" s="67"/>
      <c r="S17" s="67"/>
      <c r="T17" s="67" t="s">
        <v>25</v>
      </c>
      <c r="U17" s="67"/>
      <c r="V17" s="67"/>
      <c r="W17" s="67" t="s">
        <v>26</v>
      </c>
      <c r="X17" s="67"/>
      <c r="Y17" s="67"/>
      <c r="Z17" s="67" t="s">
        <v>27</v>
      </c>
      <c r="AA17" s="67"/>
      <c r="AB17" s="67"/>
    </row>
    <row r="18" spans="1:28" ht="15" customHeight="1" x14ac:dyDescent="0.2">
      <c r="A18" s="64" t="s">
        <v>38</v>
      </c>
      <c r="B18" s="64"/>
      <c r="C18" s="64"/>
      <c r="D18" s="64"/>
      <c r="E18" s="64"/>
      <c r="F18" s="64"/>
      <c r="G18" s="15">
        <v>-5</v>
      </c>
      <c r="H18" s="15">
        <v>18</v>
      </c>
      <c r="I18" s="15"/>
      <c r="J18" s="61"/>
      <c r="K18" s="61"/>
      <c r="L18" s="61"/>
      <c r="M18" s="15"/>
      <c r="N18" s="15">
        <v>0</v>
      </c>
      <c r="O18" s="15"/>
      <c r="P18" s="62"/>
      <c r="Q18" s="62"/>
      <c r="R18" s="62"/>
      <c r="S18" s="62"/>
      <c r="T18" s="16"/>
      <c r="U18" s="15">
        <v>0</v>
      </c>
      <c r="V18" s="16"/>
      <c r="W18" s="62"/>
      <c r="X18" s="62"/>
      <c r="Y18" s="62"/>
      <c r="Z18" s="16"/>
      <c r="AA18" s="15">
        <v>0</v>
      </c>
      <c r="AB18" s="16"/>
    </row>
    <row r="19" spans="1:28" ht="15" customHeight="1" x14ac:dyDescent="0.2">
      <c r="A19" s="64"/>
      <c r="B19" s="64"/>
      <c r="C19" s="64"/>
      <c r="D19" s="64"/>
      <c r="E19" s="64"/>
      <c r="F19" s="64"/>
      <c r="G19" s="15"/>
      <c r="H19" s="15"/>
      <c r="I19" s="15"/>
      <c r="J19" s="61"/>
      <c r="K19" s="61"/>
      <c r="L19" s="61"/>
      <c r="M19" s="15"/>
      <c r="N19" s="15">
        <v>0</v>
      </c>
      <c r="O19" s="15"/>
      <c r="P19" s="62"/>
      <c r="Q19" s="62"/>
      <c r="R19" s="62"/>
      <c r="S19" s="62"/>
      <c r="T19" s="16"/>
      <c r="U19" s="15">
        <v>0</v>
      </c>
      <c r="V19" s="16"/>
      <c r="W19" s="62"/>
      <c r="X19" s="62"/>
      <c r="Y19" s="62"/>
      <c r="Z19" s="16"/>
      <c r="AA19" s="15">
        <v>0</v>
      </c>
      <c r="AB19" s="16"/>
    </row>
    <row r="20" spans="1:28" ht="15" customHeight="1" x14ac:dyDescent="0.2">
      <c r="A20" s="64"/>
      <c r="B20" s="64"/>
      <c r="C20" s="64"/>
      <c r="D20" s="64"/>
      <c r="E20" s="64"/>
      <c r="F20" s="64"/>
      <c r="G20" s="15"/>
      <c r="H20" s="15"/>
      <c r="I20" s="15"/>
      <c r="J20" s="61"/>
      <c r="K20" s="61"/>
      <c r="L20" s="61"/>
      <c r="M20" s="15"/>
      <c r="N20" s="15">
        <v>0</v>
      </c>
      <c r="O20" s="15"/>
      <c r="P20" s="62"/>
      <c r="Q20" s="62"/>
      <c r="R20" s="62"/>
      <c r="S20" s="62"/>
      <c r="T20" s="16"/>
      <c r="U20" s="15">
        <v>0</v>
      </c>
      <c r="V20" s="16"/>
      <c r="W20" s="62"/>
      <c r="X20" s="62"/>
      <c r="Y20" s="62"/>
      <c r="Z20" s="17"/>
      <c r="AA20" s="15">
        <v>0</v>
      </c>
      <c r="AB20" s="16"/>
    </row>
    <row r="21" spans="1:28" ht="15" customHeight="1" x14ac:dyDescent="0.2">
      <c r="A21" s="64"/>
      <c r="B21" s="64"/>
      <c r="C21" s="64"/>
      <c r="D21" s="64"/>
      <c r="E21" s="64"/>
      <c r="F21" s="64"/>
      <c r="G21" s="15"/>
      <c r="H21" s="15"/>
      <c r="I21" s="15"/>
      <c r="J21" s="61"/>
      <c r="K21" s="61"/>
      <c r="L21" s="61"/>
      <c r="M21" s="15"/>
      <c r="N21" s="15">
        <v>0</v>
      </c>
      <c r="O21" s="15"/>
      <c r="P21" s="62"/>
      <c r="Q21" s="62"/>
      <c r="R21" s="62"/>
      <c r="S21" s="62"/>
      <c r="T21" s="16"/>
      <c r="U21" s="15">
        <v>0</v>
      </c>
      <c r="V21" s="16"/>
      <c r="W21" s="61"/>
      <c r="X21" s="61"/>
      <c r="Y21" s="61"/>
      <c r="Z21" s="16"/>
      <c r="AA21" s="15">
        <v>0</v>
      </c>
      <c r="AB21" s="16"/>
    </row>
    <row r="22" spans="1:28" ht="15" customHeight="1" x14ac:dyDescent="0.2">
      <c r="A22" s="64"/>
      <c r="B22" s="64"/>
      <c r="C22" s="64"/>
      <c r="D22" s="64"/>
      <c r="E22" s="64"/>
      <c r="F22" s="64"/>
      <c r="G22" s="15"/>
      <c r="H22" s="15"/>
      <c r="I22" s="15"/>
      <c r="J22" s="61"/>
      <c r="K22" s="61"/>
      <c r="L22" s="61"/>
      <c r="M22" s="15"/>
      <c r="N22" s="15">
        <v>0</v>
      </c>
      <c r="O22" s="15"/>
      <c r="P22" s="62"/>
      <c r="Q22" s="62"/>
      <c r="R22" s="62"/>
      <c r="S22" s="62"/>
      <c r="T22" s="16"/>
      <c r="U22" s="15">
        <v>0</v>
      </c>
      <c r="V22" s="16"/>
      <c r="W22" s="61"/>
      <c r="X22" s="61"/>
      <c r="Y22" s="61"/>
      <c r="Z22" s="16"/>
      <c r="AA22" s="15">
        <v>0</v>
      </c>
      <c r="AB22" s="16"/>
    </row>
    <row r="23" spans="1:28" ht="15" customHeight="1" x14ac:dyDescent="0.2">
      <c r="A23" s="64"/>
      <c r="B23" s="64"/>
      <c r="C23" s="64"/>
      <c r="D23" s="64"/>
      <c r="E23" s="64"/>
      <c r="F23" s="64"/>
      <c r="G23" s="15"/>
      <c r="H23" s="15"/>
      <c r="I23" s="15"/>
      <c r="J23" s="61"/>
      <c r="K23" s="61"/>
      <c r="L23" s="61"/>
      <c r="M23" s="15"/>
      <c r="N23" s="15">
        <v>0</v>
      </c>
      <c r="O23" s="15"/>
      <c r="P23" s="62"/>
      <c r="Q23" s="62"/>
      <c r="R23" s="62"/>
      <c r="S23" s="62"/>
      <c r="T23" s="16"/>
      <c r="U23" s="15">
        <v>0</v>
      </c>
      <c r="V23" s="16"/>
      <c r="W23" s="61"/>
      <c r="X23" s="61"/>
      <c r="Y23" s="61"/>
      <c r="Z23" s="16"/>
      <c r="AA23" s="15">
        <v>0</v>
      </c>
      <c r="AB23" s="16"/>
    </row>
    <row r="24" spans="1:28" ht="15" customHeight="1" x14ac:dyDescent="0.2">
      <c r="A24" s="64"/>
      <c r="B24" s="64"/>
      <c r="C24" s="64"/>
      <c r="D24" s="64"/>
      <c r="E24" s="64"/>
      <c r="F24" s="64"/>
      <c r="G24" s="15"/>
      <c r="H24" s="15"/>
      <c r="I24" s="15"/>
      <c r="J24" s="61"/>
      <c r="K24" s="61"/>
      <c r="L24" s="61"/>
      <c r="M24" s="15"/>
      <c r="N24" s="15">
        <v>0</v>
      </c>
      <c r="O24" s="15"/>
      <c r="P24" s="62"/>
      <c r="Q24" s="62"/>
      <c r="R24" s="62"/>
      <c r="S24" s="62"/>
      <c r="T24" s="16"/>
      <c r="U24" s="15">
        <v>0</v>
      </c>
      <c r="V24" s="16"/>
      <c r="W24" s="61"/>
      <c r="X24" s="61"/>
      <c r="Y24" s="61"/>
      <c r="Z24" s="16"/>
      <c r="AA24" s="15">
        <v>0</v>
      </c>
      <c r="AB24" s="16"/>
    </row>
    <row r="25" spans="1:28" ht="15" customHeight="1" x14ac:dyDescent="0.2">
      <c r="A25" s="64"/>
      <c r="B25" s="64"/>
      <c r="C25" s="64"/>
      <c r="D25" s="64"/>
      <c r="E25" s="64"/>
      <c r="F25" s="64"/>
      <c r="G25" s="15"/>
      <c r="H25" s="15"/>
      <c r="I25" s="15"/>
      <c r="J25" s="61"/>
      <c r="K25" s="61"/>
      <c r="L25" s="61"/>
      <c r="M25" s="15"/>
      <c r="N25" s="15">
        <v>0</v>
      </c>
      <c r="O25" s="15"/>
      <c r="P25" s="62"/>
      <c r="Q25" s="62"/>
      <c r="R25" s="62"/>
      <c r="S25" s="62"/>
      <c r="T25" s="16"/>
      <c r="U25" s="15">
        <v>0</v>
      </c>
      <c r="V25" s="16"/>
      <c r="W25" s="61"/>
      <c r="X25" s="61"/>
      <c r="Y25" s="61"/>
      <c r="Z25" s="16"/>
      <c r="AA25" s="15">
        <v>0</v>
      </c>
      <c r="AB25" s="16"/>
    </row>
    <row r="26" spans="1:28" ht="15" customHeight="1" x14ac:dyDescent="0.2">
      <c r="A26" s="64"/>
      <c r="B26" s="64"/>
      <c r="C26" s="64"/>
      <c r="D26" s="64"/>
      <c r="E26" s="64"/>
      <c r="F26" s="64"/>
      <c r="G26" s="15"/>
      <c r="H26" s="15"/>
      <c r="I26" s="15"/>
      <c r="J26" s="61"/>
      <c r="K26" s="61"/>
      <c r="L26" s="61"/>
      <c r="M26" s="15"/>
      <c r="N26" s="15">
        <v>0</v>
      </c>
      <c r="O26" s="15"/>
      <c r="P26" s="62"/>
      <c r="Q26" s="62"/>
      <c r="R26" s="62"/>
      <c r="S26" s="62"/>
      <c r="T26" s="16"/>
      <c r="U26" s="15">
        <v>0</v>
      </c>
      <c r="V26" s="16"/>
      <c r="W26" s="61"/>
      <c r="X26" s="61"/>
      <c r="Y26" s="61"/>
      <c r="Z26" s="16"/>
      <c r="AA26" s="15">
        <v>0</v>
      </c>
      <c r="AB26" s="16"/>
    </row>
    <row r="27" spans="1:28" ht="15" customHeight="1" x14ac:dyDescent="0.2">
      <c r="A27" s="64"/>
      <c r="B27" s="64"/>
      <c r="C27" s="64"/>
      <c r="D27" s="64"/>
      <c r="E27" s="64"/>
      <c r="F27" s="64"/>
      <c r="G27" s="15"/>
      <c r="H27" s="15">
        <v>0</v>
      </c>
      <c r="I27" s="15"/>
      <c r="J27" s="61"/>
      <c r="K27" s="61"/>
      <c r="L27" s="61"/>
      <c r="M27" s="15"/>
      <c r="N27" s="15">
        <v>0</v>
      </c>
      <c r="O27" s="15"/>
      <c r="P27" s="62"/>
      <c r="Q27" s="62"/>
      <c r="R27" s="62"/>
      <c r="S27" s="62"/>
      <c r="T27" s="16"/>
      <c r="U27" s="15">
        <v>0</v>
      </c>
      <c r="V27" s="16"/>
      <c r="W27" s="61"/>
      <c r="X27" s="61"/>
      <c r="Y27" s="61"/>
      <c r="Z27" s="16"/>
      <c r="AA27" s="15">
        <v>0</v>
      </c>
      <c r="AB27" s="16"/>
    </row>
    <row r="28" spans="1:28" ht="15" customHeight="1" x14ac:dyDescent="0.2">
      <c r="A28" s="64"/>
      <c r="B28" s="64"/>
      <c r="C28" s="64"/>
      <c r="D28" s="64"/>
      <c r="E28" s="64"/>
      <c r="F28" s="64"/>
      <c r="G28" s="15"/>
      <c r="H28" s="15">
        <v>0</v>
      </c>
      <c r="I28" s="15"/>
      <c r="J28" s="61"/>
      <c r="K28" s="61"/>
      <c r="L28" s="61"/>
      <c r="M28" s="15"/>
      <c r="N28" s="15">
        <v>0</v>
      </c>
      <c r="O28" s="15"/>
      <c r="P28" s="62"/>
      <c r="Q28" s="62"/>
      <c r="R28" s="62"/>
      <c r="S28" s="62"/>
      <c r="T28" s="16"/>
      <c r="U28" s="15">
        <v>0</v>
      </c>
      <c r="V28" s="16"/>
      <c r="W28" s="61"/>
      <c r="X28" s="61"/>
      <c r="Y28" s="61"/>
      <c r="Z28" s="16"/>
      <c r="AA28" s="15">
        <v>0</v>
      </c>
      <c r="AB28" s="16"/>
    </row>
    <row r="29" spans="1:28" ht="15" customHeight="1" x14ac:dyDescent="0.2">
      <c r="A29" s="64"/>
      <c r="B29" s="64"/>
      <c r="C29" s="64"/>
      <c r="D29" s="64"/>
      <c r="E29" s="64"/>
      <c r="F29" s="64"/>
      <c r="G29" s="15"/>
      <c r="H29" s="15">
        <v>0</v>
      </c>
      <c r="I29" s="15"/>
      <c r="J29" s="61"/>
      <c r="K29" s="61"/>
      <c r="L29" s="61"/>
      <c r="M29" s="15"/>
      <c r="N29" s="15">
        <v>0</v>
      </c>
      <c r="O29" s="15"/>
      <c r="P29" s="62"/>
      <c r="Q29" s="62"/>
      <c r="R29" s="62"/>
      <c r="S29" s="62"/>
      <c r="T29" s="16"/>
      <c r="U29" s="15">
        <v>0</v>
      </c>
      <c r="V29" s="16"/>
      <c r="W29" s="61"/>
      <c r="X29" s="61"/>
      <c r="Y29" s="61"/>
      <c r="Z29" s="16"/>
      <c r="AA29" s="15">
        <v>0</v>
      </c>
      <c r="AB29" s="16"/>
    </row>
    <row r="30" spans="1:28" ht="15" customHeight="1" x14ac:dyDescent="0.2">
      <c r="A30" s="64"/>
      <c r="B30" s="64"/>
      <c r="C30" s="64"/>
      <c r="D30" s="64"/>
      <c r="E30" s="64"/>
      <c r="F30" s="64"/>
      <c r="G30" s="15"/>
      <c r="H30" s="15">
        <v>0</v>
      </c>
      <c r="I30" s="15"/>
      <c r="J30" s="61"/>
      <c r="K30" s="61"/>
      <c r="L30" s="61"/>
      <c r="M30" s="15"/>
      <c r="N30" s="15">
        <v>0</v>
      </c>
      <c r="O30" s="15"/>
      <c r="P30" s="62"/>
      <c r="Q30" s="62"/>
      <c r="R30" s="62"/>
      <c r="S30" s="62"/>
      <c r="T30" s="16"/>
      <c r="U30" s="15">
        <v>0</v>
      </c>
      <c r="V30" s="16"/>
      <c r="W30" s="61"/>
      <c r="X30" s="61"/>
      <c r="Y30" s="61"/>
      <c r="Z30" s="16"/>
      <c r="AA30" s="15">
        <v>0</v>
      </c>
      <c r="AB30" s="16"/>
    </row>
    <row r="31" spans="1:28" ht="15" customHeight="1" x14ac:dyDescent="0.2">
      <c r="A31" s="64"/>
      <c r="B31" s="64"/>
      <c r="C31" s="64"/>
      <c r="D31" s="64"/>
      <c r="E31" s="64"/>
      <c r="F31" s="64"/>
      <c r="G31" s="15"/>
      <c r="H31" s="15">
        <v>0</v>
      </c>
      <c r="I31" s="15"/>
      <c r="J31" s="61"/>
      <c r="K31" s="61"/>
      <c r="L31" s="61"/>
      <c r="M31" s="15"/>
      <c r="N31" s="15">
        <v>0</v>
      </c>
      <c r="O31" s="15"/>
      <c r="P31" s="62"/>
      <c r="Q31" s="62"/>
      <c r="R31" s="62"/>
      <c r="S31" s="62"/>
      <c r="T31" s="16"/>
      <c r="U31" s="15">
        <v>0</v>
      </c>
      <c r="V31" s="16"/>
      <c r="W31" s="61"/>
      <c r="X31" s="61"/>
      <c r="Y31" s="61"/>
      <c r="Z31" s="16"/>
      <c r="AA31" s="15">
        <v>0</v>
      </c>
      <c r="AB31" s="16"/>
    </row>
    <row r="32" spans="1:28" ht="15" customHeight="1" x14ac:dyDescent="0.2">
      <c r="A32" s="64"/>
      <c r="B32" s="64"/>
      <c r="C32" s="64"/>
      <c r="D32" s="64"/>
      <c r="E32" s="64"/>
      <c r="F32" s="64"/>
      <c r="G32" s="15"/>
      <c r="H32" s="15">
        <v>0</v>
      </c>
      <c r="I32" s="15"/>
      <c r="J32" s="61"/>
      <c r="K32" s="61"/>
      <c r="L32" s="61"/>
      <c r="M32" s="15"/>
      <c r="N32" s="15">
        <v>0</v>
      </c>
      <c r="O32" s="15"/>
      <c r="P32" s="62"/>
      <c r="Q32" s="62"/>
      <c r="R32" s="62"/>
      <c r="S32" s="62"/>
      <c r="T32" s="16"/>
      <c r="U32" s="15">
        <v>0</v>
      </c>
      <c r="V32" s="16"/>
      <c r="W32" s="61"/>
      <c r="X32" s="61"/>
      <c r="Y32" s="61"/>
      <c r="Z32" s="16"/>
      <c r="AA32" s="15">
        <v>0</v>
      </c>
      <c r="AB32" s="16"/>
    </row>
    <row r="33" spans="1:28" ht="15" customHeight="1" x14ac:dyDescent="0.2">
      <c r="A33" s="64"/>
      <c r="B33" s="64"/>
      <c r="C33" s="64"/>
      <c r="D33" s="64"/>
      <c r="E33" s="64"/>
      <c r="F33" s="64"/>
      <c r="G33" s="15"/>
      <c r="H33" s="15">
        <v>0</v>
      </c>
      <c r="I33" s="15"/>
      <c r="J33" s="61"/>
      <c r="K33" s="61"/>
      <c r="L33" s="61"/>
      <c r="M33" s="15"/>
      <c r="N33" s="15">
        <v>0</v>
      </c>
      <c r="O33" s="15"/>
      <c r="P33" s="62"/>
      <c r="Q33" s="62"/>
      <c r="R33" s="62"/>
      <c r="S33" s="62"/>
      <c r="T33" s="16"/>
      <c r="U33" s="15">
        <v>0</v>
      </c>
      <c r="V33" s="16"/>
      <c r="W33" s="61"/>
      <c r="X33" s="61"/>
      <c r="Y33" s="61"/>
      <c r="Z33" s="16"/>
      <c r="AA33" s="15">
        <v>0</v>
      </c>
      <c r="AB33" s="16"/>
    </row>
    <row r="34" spans="1:28" ht="15" customHeight="1" x14ac:dyDescent="0.2">
      <c r="A34" s="64"/>
      <c r="B34" s="64"/>
      <c r="C34" s="64"/>
      <c r="D34" s="64"/>
      <c r="E34" s="64"/>
      <c r="F34" s="64"/>
      <c r="G34" s="15"/>
      <c r="H34" s="15">
        <v>0</v>
      </c>
      <c r="I34" s="15"/>
      <c r="J34" s="61"/>
      <c r="K34" s="61"/>
      <c r="L34" s="61"/>
      <c r="M34" s="15"/>
      <c r="N34" s="15">
        <v>0</v>
      </c>
      <c r="O34" s="15"/>
      <c r="P34" s="62"/>
      <c r="Q34" s="62"/>
      <c r="R34" s="62"/>
      <c r="S34" s="62"/>
      <c r="T34" s="16"/>
      <c r="U34" s="15">
        <v>0</v>
      </c>
      <c r="V34" s="16"/>
      <c r="W34" s="61"/>
      <c r="X34" s="61"/>
      <c r="Y34" s="61"/>
      <c r="Z34" s="16"/>
      <c r="AA34" s="15">
        <v>0</v>
      </c>
      <c r="AB34" s="16"/>
    </row>
    <row r="35" spans="1:28" ht="15" customHeight="1" x14ac:dyDescent="0.2">
      <c r="A35" s="64"/>
      <c r="B35" s="64"/>
      <c r="C35" s="64"/>
      <c r="D35" s="64"/>
      <c r="E35" s="64"/>
      <c r="F35" s="64"/>
      <c r="G35" s="15"/>
      <c r="H35" s="15">
        <v>0</v>
      </c>
      <c r="I35" s="15"/>
      <c r="J35" s="61"/>
      <c r="K35" s="61"/>
      <c r="L35" s="61"/>
      <c r="M35" s="15"/>
      <c r="N35" s="15">
        <v>0</v>
      </c>
      <c r="O35" s="15"/>
      <c r="P35" s="62"/>
      <c r="Q35" s="62"/>
      <c r="R35" s="62"/>
      <c r="S35" s="62"/>
      <c r="T35" s="16"/>
      <c r="U35" s="15">
        <v>0</v>
      </c>
      <c r="V35" s="16"/>
      <c r="W35" s="61"/>
      <c r="X35" s="61"/>
      <c r="Y35" s="61"/>
      <c r="Z35" s="16"/>
      <c r="AA35" s="15">
        <v>0</v>
      </c>
      <c r="AB35" s="16"/>
    </row>
    <row r="36" spans="1:28" ht="15" customHeight="1" x14ac:dyDescent="0.2">
      <c r="A36" s="64"/>
      <c r="B36" s="64"/>
      <c r="C36" s="64"/>
      <c r="D36" s="64"/>
      <c r="E36" s="64"/>
      <c r="F36" s="64"/>
      <c r="G36" s="15"/>
      <c r="H36" s="15">
        <v>0</v>
      </c>
      <c r="I36" s="15"/>
      <c r="J36" s="61"/>
      <c r="K36" s="61"/>
      <c r="L36" s="61"/>
      <c r="M36" s="15"/>
      <c r="N36" s="15">
        <v>0</v>
      </c>
      <c r="O36" s="15"/>
      <c r="P36" s="62"/>
      <c r="Q36" s="62"/>
      <c r="R36" s="62"/>
      <c r="S36" s="62"/>
      <c r="T36" s="16"/>
      <c r="U36" s="15">
        <v>0</v>
      </c>
      <c r="V36" s="16"/>
      <c r="W36" s="61"/>
      <c r="X36" s="61"/>
      <c r="Y36" s="61"/>
      <c r="Z36" s="16"/>
      <c r="AA36" s="15">
        <v>0</v>
      </c>
      <c r="AB36" s="16"/>
    </row>
    <row r="37" spans="1:28" ht="15" customHeight="1" x14ac:dyDescent="0.2">
      <c r="A37" s="64"/>
      <c r="B37" s="64"/>
      <c r="C37" s="64"/>
      <c r="D37" s="64"/>
      <c r="E37" s="64"/>
      <c r="F37" s="64"/>
      <c r="G37" s="15"/>
      <c r="H37" s="15">
        <v>0</v>
      </c>
      <c r="I37" s="15"/>
      <c r="J37" s="61"/>
      <c r="K37" s="61"/>
      <c r="L37" s="61"/>
      <c r="M37" s="15"/>
      <c r="N37" s="15">
        <v>0</v>
      </c>
      <c r="O37" s="15"/>
      <c r="P37" s="62"/>
      <c r="Q37" s="62"/>
      <c r="R37" s="62"/>
      <c r="S37" s="62"/>
      <c r="T37" s="16"/>
      <c r="U37" s="15">
        <v>0</v>
      </c>
      <c r="V37" s="16"/>
      <c r="W37" s="61"/>
      <c r="X37" s="61"/>
      <c r="Y37" s="61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63" t="s">
        <v>28</v>
      </c>
      <c r="B39" s="63"/>
      <c r="C39" s="63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W39" s="53" t="s">
        <v>34</v>
      </c>
      <c r="X39" s="53"/>
      <c r="Y39" s="53"/>
      <c r="Z39" s="53"/>
      <c r="AA39" s="53"/>
      <c r="AB39" s="53"/>
    </row>
    <row r="40" spans="1:28" ht="22.5" customHeight="1" x14ac:dyDescent="0.2">
      <c r="A40" s="42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4"/>
      <c r="W40" s="48"/>
      <c r="X40" s="49"/>
      <c r="Y40" s="49"/>
      <c r="Z40" s="49"/>
      <c r="AA40" s="49"/>
      <c r="AB40" s="50"/>
    </row>
    <row r="41" spans="1:28" ht="26.25" customHeight="1" x14ac:dyDescent="0.2">
      <c r="A41" s="45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7"/>
      <c r="V41" s="51"/>
      <c r="W41" s="52" t="s">
        <v>29</v>
      </c>
      <c r="X41" s="53"/>
      <c r="Y41" s="53"/>
      <c r="Z41" s="53"/>
      <c r="AA41" s="53"/>
      <c r="AB41" s="53"/>
    </row>
    <row r="42" spans="1:28" ht="22.5" customHeight="1" x14ac:dyDescent="0.2">
      <c r="A42" s="45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7"/>
      <c r="V42" s="51"/>
      <c r="W42" s="54"/>
      <c r="X42" s="55"/>
      <c r="Y42" s="55"/>
      <c r="Z42" s="55"/>
      <c r="AA42" s="55"/>
      <c r="AB42" s="56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2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3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4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5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6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7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8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9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0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1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2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3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4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5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6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7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8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9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0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1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2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3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4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5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6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7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8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9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0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1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2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3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4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5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6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7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8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9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1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2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3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4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5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6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7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8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9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0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1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2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3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4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5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6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7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8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9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0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81"/>
  <sheetViews>
    <sheetView workbookViewId="0">
      <selection activeCell="H2" sqref="H2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85546875" style="26" bestFit="1" customWidth="1"/>
    <col min="8" max="8" width="21.7109375" style="26" bestFit="1" customWidth="1"/>
    <col min="9" max="9" width="8.57031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47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27" t="e">
        <f>#REF!</f>
        <v>#REF!</v>
      </c>
      <c r="B2" s="28" t="e">
        <f>#REF!</f>
        <v>#REF!</v>
      </c>
      <c r="C2" s="28" t="e">
        <f>#REF!</f>
        <v>#REF!</v>
      </c>
      <c r="D2" s="28" t="e">
        <f>#REF!</f>
        <v>#REF!</v>
      </c>
      <c r="E2" s="28" t="e">
        <f>#REF!</f>
        <v>#REF!</v>
      </c>
      <c r="F2" s="28" t="e">
        <f>E2*D2</f>
        <v>#REF!</v>
      </c>
      <c r="G2" s="26" t="e">
        <f>#REF!</f>
        <v>#REF!</v>
      </c>
      <c r="H2" s="26" t="e">
        <f>#REF!</f>
        <v>#REF!</v>
      </c>
      <c r="I2" s="29" t="e">
        <f>((H2*C2)/(F2*B2))*2</f>
        <v>#REF!</v>
      </c>
      <c r="J2" s="29" t="e">
        <f>I2*1000</f>
        <v>#REF!</v>
      </c>
    </row>
    <row r="3" spans="1:10" x14ac:dyDescent="0.2">
      <c r="A3" s="27" t="e">
        <f>$A$2</f>
        <v>#REF!</v>
      </c>
      <c r="B3" s="28" t="e">
        <f>$B$2</f>
        <v>#REF!</v>
      </c>
      <c r="C3" s="28" t="e">
        <f>$C$2</f>
        <v>#REF!</v>
      </c>
      <c r="D3" s="28" t="e">
        <f>$D$2</f>
        <v>#REF!</v>
      </c>
      <c r="E3" s="28" t="e">
        <f>$E$2</f>
        <v>#REF!</v>
      </c>
      <c r="F3" s="28" t="e">
        <f>$F$2</f>
        <v>#REF!</v>
      </c>
      <c r="G3" s="26" t="e">
        <f>#REF!</f>
        <v>#REF!</v>
      </c>
      <c r="H3" s="26" t="e">
        <f>#REF!</f>
        <v>#REF!</v>
      </c>
      <c r="I3" s="29" t="e">
        <f t="shared" ref="I3:I66" si="0">((H3*C3)/(F3*B3))*2</f>
        <v>#REF!</v>
      </c>
      <c r="J3" s="29" t="e">
        <f t="shared" ref="J3:J66" si="1">I3*1000</f>
        <v>#REF!</v>
      </c>
    </row>
    <row r="4" spans="1:10" x14ac:dyDescent="0.2">
      <c r="A4" s="27" t="e">
        <f t="shared" ref="A4:A67" si="2">$A$2</f>
        <v>#REF!</v>
      </c>
      <c r="B4" s="28" t="e">
        <f t="shared" ref="B4:B67" si="3">$B$2</f>
        <v>#REF!</v>
      </c>
      <c r="C4" s="28" t="e">
        <f t="shared" ref="C4:C67" si="4">$C$2</f>
        <v>#REF!</v>
      </c>
      <c r="D4" s="28" t="e">
        <f t="shared" ref="D4:D67" si="5">$D$2</f>
        <v>#REF!</v>
      </c>
      <c r="E4" s="28" t="e">
        <f t="shared" ref="E4:E67" si="6">$E$2</f>
        <v>#REF!</v>
      </c>
      <c r="F4" s="28" t="e">
        <f t="shared" ref="F4:F67" si="7">$F$2</f>
        <v>#REF!</v>
      </c>
      <c r="G4" s="26" t="e">
        <f>#REF!</f>
        <v>#REF!</v>
      </c>
      <c r="H4" s="26" t="e">
        <f>#REF!</f>
        <v>#REF!</v>
      </c>
      <c r="I4" s="29" t="e">
        <f t="shared" si="0"/>
        <v>#REF!</v>
      </c>
      <c r="J4" s="29" t="e">
        <f t="shared" si="1"/>
        <v>#REF!</v>
      </c>
    </row>
    <row r="5" spans="1:10" x14ac:dyDescent="0.2">
      <c r="A5" s="27" t="e">
        <f t="shared" si="2"/>
        <v>#REF!</v>
      </c>
      <c r="B5" s="28" t="e">
        <f t="shared" si="3"/>
        <v>#REF!</v>
      </c>
      <c r="C5" s="28" t="e">
        <f t="shared" si="4"/>
        <v>#REF!</v>
      </c>
      <c r="D5" s="28" t="e">
        <f t="shared" si="5"/>
        <v>#REF!</v>
      </c>
      <c r="E5" s="28" t="e">
        <f t="shared" si="6"/>
        <v>#REF!</v>
      </c>
      <c r="F5" s="28" t="e">
        <f t="shared" si="7"/>
        <v>#REF!</v>
      </c>
      <c r="G5" s="26" t="e">
        <f>#REF!</f>
        <v>#REF!</v>
      </c>
      <c r="H5" s="26" t="e">
        <f>#REF!</f>
        <v>#REF!</v>
      </c>
      <c r="I5" s="29" t="e">
        <f t="shared" si="0"/>
        <v>#REF!</v>
      </c>
      <c r="J5" s="29" t="e">
        <f t="shared" si="1"/>
        <v>#REF!</v>
      </c>
    </row>
    <row r="6" spans="1:10" x14ac:dyDescent="0.2">
      <c r="A6" s="27" t="e">
        <f t="shared" si="2"/>
        <v>#REF!</v>
      </c>
      <c r="B6" s="28" t="e">
        <f t="shared" si="3"/>
        <v>#REF!</v>
      </c>
      <c r="C6" s="28" t="e">
        <f t="shared" si="4"/>
        <v>#REF!</v>
      </c>
      <c r="D6" s="28" t="e">
        <f t="shared" si="5"/>
        <v>#REF!</v>
      </c>
      <c r="E6" s="28" t="e">
        <f t="shared" si="6"/>
        <v>#REF!</v>
      </c>
      <c r="F6" s="28" t="e">
        <f t="shared" si="7"/>
        <v>#REF!</v>
      </c>
      <c r="G6" s="26" t="e">
        <f>#REF!</f>
        <v>#REF!</v>
      </c>
      <c r="H6" s="26" t="e">
        <f>#REF!</f>
        <v>#REF!</v>
      </c>
      <c r="I6" s="29" t="e">
        <f t="shared" si="0"/>
        <v>#REF!</v>
      </c>
      <c r="J6" s="29" t="e">
        <f t="shared" si="1"/>
        <v>#REF!</v>
      </c>
    </row>
    <row r="7" spans="1:10" x14ac:dyDescent="0.2">
      <c r="A7" s="27" t="e">
        <f t="shared" si="2"/>
        <v>#REF!</v>
      </c>
      <c r="B7" s="28" t="e">
        <f t="shared" si="3"/>
        <v>#REF!</v>
      </c>
      <c r="C7" s="28" t="e">
        <f t="shared" si="4"/>
        <v>#REF!</v>
      </c>
      <c r="D7" s="28" t="e">
        <f t="shared" si="5"/>
        <v>#REF!</v>
      </c>
      <c r="E7" s="28" t="e">
        <f t="shared" si="6"/>
        <v>#REF!</v>
      </c>
      <c r="F7" s="28" t="e">
        <f t="shared" si="7"/>
        <v>#REF!</v>
      </c>
      <c r="G7" s="26" t="e">
        <f>#REF!</f>
        <v>#REF!</v>
      </c>
      <c r="H7" s="26" t="e">
        <f>#REF!</f>
        <v>#REF!</v>
      </c>
      <c r="I7" s="29" t="e">
        <f t="shared" si="0"/>
        <v>#REF!</v>
      </c>
      <c r="J7" s="29" t="e">
        <f t="shared" si="1"/>
        <v>#REF!</v>
      </c>
    </row>
    <row r="8" spans="1:10" x14ac:dyDescent="0.2">
      <c r="A8" s="27" t="e">
        <f t="shared" si="2"/>
        <v>#REF!</v>
      </c>
      <c r="B8" s="28" t="e">
        <f t="shared" si="3"/>
        <v>#REF!</v>
      </c>
      <c r="C8" s="28" t="e">
        <f t="shared" si="4"/>
        <v>#REF!</v>
      </c>
      <c r="D8" s="28" t="e">
        <f t="shared" si="5"/>
        <v>#REF!</v>
      </c>
      <c r="E8" s="28" t="e">
        <f t="shared" si="6"/>
        <v>#REF!</v>
      </c>
      <c r="F8" s="28" t="e">
        <f t="shared" si="7"/>
        <v>#REF!</v>
      </c>
      <c r="G8" s="26" t="e">
        <f>#REF!</f>
        <v>#REF!</v>
      </c>
      <c r="H8" s="26" t="e">
        <f>#REF!</f>
        <v>#REF!</v>
      </c>
      <c r="I8" s="29" t="e">
        <f t="shared" si="0"/>
        <v>#REF!</v>
      </c>
      <c r="J8" s="29" t="e">
        <f t="shared" si="1"/>
        <v>#REF!</v>
      </c>
    </row>
    <row r="9" spans="1:10" x14ac:dyDescent="0.2">
      <c r="A9" s="27" t="e">
        <f t="shared" si="2"/>
        <v>#REF!</v>
      </c>
      <c r="B9" s="28" t="e">
        <f t="shared" si="3"/>
        <v>#REF!</v>
      </c>
      <c r="C9" s="28" t="e">
        <f t="shared" si="4"/>
        <v>#REF!</v>
      </c>
      <c r="D9" s="28" t="e">
        <f t="shared" si="5"/>
        <v>#REF!</v>
      </c>
      <c r="E9" s="28" t="e">
        <f t="shared" si="6"/>
        <v>#REF!</v>
      </c>
      <c r="F9" s="28" t="e">
        <f t="shared" si="7"/>
        <v>#REF!</v>
      </c>
      <c r="G9" s="26" t="e">
        <f>#REF!</f>
        <v>#REF!</v>
      </c>
      <c r="H9" s="26" t="e">
        <f>#REF!</f>
        <v>#REF!</v>
      </c>
      <c r="I9" s="29" t="e">
        <f t="shared" si="0"/>
        <v>#REF!</v>
      </c>
      <c r="J9" s="29" t="e">
        <f t="shared" si="1"/>
        <v>#REF!</v>
      </c>
    </row>
    <row r="10" spans="1:10" x14ac:dyDescent="0.2">
      <c r="A10" s="27" t="e">
        <f t="shared" si="2"/>
        <v>#REF!</v>
      </c>
      <c r="B10" s="28" t="e">
        <f t="shared" si="3"/>
        <v>#REF!</v>
      </c>
      <c r="C10" s="28" t="e">
        <f t="shared" si="4"/>
        <v>#REF!</v>
      </c>
      <c r="D10" s="28" t="e">
        <f t="shared" si="5"/>
        <v>#REF!</v>
      </c>
      <c r="E10" s="28" t="e">
        <f t="shared" si="6"/>
        <v>#REF!</v>
      </c>
      <c r="F10" s="28" t="e">
        <f t="shared" si="7"/>
        <v>#REF!</v>
      </c>
      <c r="G10" s="26" t="e">
        <f>#REF!</f>
        <v>#REF!</v>
      </c>
      <c r="H10" s="26" t="e">
        <f>#REF!</f>
        <v>#REF!</v>
      </c>
      <c r="I10" s="29" t="e">
        <f t="shared" si="0"/>
        <v>#REF!</v>
      </c>
      <c r="J10" s="29" t="e">
        <f t="shared" si="1"/>
        <v>#REF!</v>
      </c>
    </row>
    <row r="11" spans="1:10" x14ac:dyDescent="0.2">
      <c r="A11" s="27" t="e">
        <f t="shared" si="2"/>
        <v>#REF!</v>
      </c>
      <c r="B11" s="28" t="e">
        <f t="shared" si="3"/>
        <v>#REF!</v>
      </c>
      <c r="C11" s="28" t="e">
        <f t="shared" si="4"/>
        <v>#REF!</v>
      </c>
      <c r="D11" s="28" t="e">
        <f t="shared" si="5"/>
        <v>#REF!</v>
      </c>
      <c r="E11" s="28" t="e">
        <f t="shared" si="6"/>
        <v>#REF!</v>
      </c>
      <c r="F11" s="28" t="e">
        <f t="shared" si="7"/>
        <v>#REF!</v>
      </c>
      <c r="G11" s="26" t="e">
        <f>#REF!</f>
        <v>#REF!</v>
      </c>
      <c r="H11" s="26" t="e">
        <f>#REF!</f>
        <v>#REF!</v>
      </c>
      <c r="I11" s="29" t="e">
        <f t="shared" si="0"/>
        <v>#REF!</v>
      </c>
      <c r="J11" s="29" t="e">
        <f t="shared" si="1"/>
        <v>#REF!</v>
      </c>
    </row>
    <row r="12" spans="1:10" x14ac:dyDescent="0.2">
      <c r="A12" s="27" t="e">
        <f t="shared" si="2"/>
        <v>#REF!</v>
      </c>
      <c r="B12" s="28" t="e">
        <f t="shared" si="3"/>
        <v>#REF!</v>
      </c>
      <c r="C12" s="28" t="e">
        <f t="shared" si="4"/>
        <v>#REF!</v>
      </c>
      <c r="D12" s="28" t="e">
        <f t="shared" si="5"/>
        <v>#REF!</v>
      </c>
      <c r="E12" s="28" t="e">
        <f t="shared" si="6"/>
        <v>#REF!</v>
      </c>
      <c r="F12" s="28" t="e">
        <f t="shared" si="7"/>
        <v>#REF!</v>
      </c>
      <c r="G12" s="26" t="e">
        <f>#REF!</f>
        <v>#REF!</v>
      </c>
      <c r="H12" s="26" t="e">
        <f>#REF!</f>
        <v>#REF!</v>
      </c>
      <c r="I12" s="29" t="e">
        <f t="shared" si="0"/>
        <v>#REF!</v>
      </c>
      <c r="J12" s="29" t="e">
        <f t="shared" si="1"/>
        <v>#REF!</v>
      </c>
    </row>
    <row r="13" spans="1:10" x14ac:dyDescent="0.2">
      <c r="A13" s="27" t="e">
        <f t="shared" si="2"/>
        <v>#REF!</v>
      </c>
      <c r="B13" s="28" t="e">
        <f t="shared" si="3"/>
        <v>#REF!</v>
      </c>
      <c r="C13" s="28" t="e">
        <f t="shared" si="4"/>
        <v>#REF!</v>
      </c>
      <c r="D13" s="28" t="e">
        <f t="shared" si="5"/>
        <v>#REF!</v>
      </c>
      <c r="E13" s="28" t="e">
        <f t="shared" si="6"/>
        <v>#REF!</v>
      </c>
      <c r="F13" s="28" t="e">
        <f t="shared" si="7"/>
        <v>#REF!</v>
      </c>
      <c r="G13" s="26" t="e">
        <f>#REF!</f>
        <v>#REF!</v>
      </c>
      <c r="H13" s="26" t="e">
        <f>#REF!</f>
        <v>#REF!</v>
      </c>
      <c r="I13" s="29" t="e">
        <f t="shared" si="0"/>
        <v>#REF!</v>
      </c>
      <c r="J13" s="29" t="e">
        <f t="shared" si="1"/>
        <v>#REF!</v>
      </c>
    </row>
    <row r="14" spans="1:10" x14ac:dyDescent="0.2">
      <c r="A14" s="27" t="e">
        <f t="shared" si="2"/>
        <v>#REF!</v>
      </c>
      <c r="B14" s="28" t="e">
        <f t="shared" si="3"/>
        <v>#REF!</v>
      </c>
      <c r="C14" s="28" t="e">
        <f t="shared" si="4"/>
        <v>#REF!</v>
      </c>
      <c r="D14" s="28" t="e">
        <f t="shared" si="5"/>
        <v>#REF!</v>
      </c>
      <c r="E14" s="28" t="e">
        <f t="shared" si="6"/>
        <v>#REF!</v>
      </c>
      <c r="F14" s="28" t="e">
        <f t="shared" si="7"/>
        <v>#REF!</v>
      </c>
      <c r="G14" s="26" t="e">
        <f>#REF!</f>
        <v>#REF!</v>
      </c>
      <c r="H14" s="26" t="e">
        <f>#REF!</f>
        <v>#REF!</v>
      </c>
      <c r="I14" s="29" t="e">
        <f t="shared" si="0"/>
        <v>#REF!</v>
      </c>
      <c r="J14" s="29" t="e">
        <f t="shared" si="1"/>
        <v>#REF!</v>
      </c>
    </row>
    <row r="15" spans="1:10" x14ac:dyDescent="0.2">
      <c r="A15" s="27" t="e">
        <f t="shared" si="2"/>
        <v>#REF!</v>
      </c>
      <c r="B15" s="28" t="e">
        <f t="shared" si="3"/>
        <v>#REF!</v>
      </c>
      <c r="C15" s="28" t="e">
        <f t="shared" si="4"/>
        <v>#REF!</v>
      </c>
      <c r="D15" s="28" t="e">
        <f t="shared" si="5"/>
        <v>#REF!</v>
      </c>
      <c r="E15" s="28" t="e">
        <f t="shared" si="6"/>
        <v>#REF!</v>
      </c>
      <c r="F15" s="28" t="e">
        <f t="shared" si="7"/>
        <v>#REF!</v>
      </c>
      <c r="G15" s="26" t="e">
        <f>#REF!</f>
        <v>#REF!</v>
      </c>
      <c r="H15" s="26" t="e">
        <f>#REF!</f>
        <v>#REF!</v>
      </c>
      <c r="I15" s="29" t="e">
        <f t="shared" si="0"/>
        <v>#REF!</v>
      </c>
      <c r="J15" s="29" t="e">
        <f t="shared" si="1"/>
        <v>#REF!</v>
      </c>
    </row>
    <row r="16" spans="1:10" x14ac:dyDescent="0.2">
      <c r="A16" s="27" t="e">
        <f t="shared" si="2"/>
        <v>#REF!</v>
      </c>
      <c r="B16" s="28" t="e">
        <f t="shared" si="3"/>
        <v>#REF!</v>
      </c>
      <c r="C16" s="28" t="e">
        <f t="shared" si="4"/>
        <v>#REF!</v>
      </c>
      <c r="D16" s="28" t="e">
        <f t="shared" si="5"/>
        <v>#REF!</v>
      </c>
      <c r="E16" s="28" t="e">
        <f t="shared" si="6"/>
        <v>#REF!</v>
      </c>
      <c r="F16" s="28" t="e">
        <f t="shared" si="7"/>
        <v>#REF!</v>
      </c>
      <c r="G16" s="26" t="e">
        <f>#REF!</f>
        <v>#REF!</v>
      </c>
      <c r="H16" s="26" t="e">
        <f>#REF!</f>
        <v>#REF!</v>
      </c>
      <c r="I16" s="29" t="e">
        <f t="shared" si="0"/>
        <v>#REF!</v>
      </c>
      <c r="J16" s="29" t="e">
        <f t="shared" si="1"/>
        <v>#REF!</v>
      </c>
    </row>
    <row r="17" spans="1:10" x14ac:dyDescent="0.2">
      <c r="A17" s="27" t="e">
        <f t="shared" si="2"/>
        <v>#REF!</v>
      </c>
      <c r="B17" s="28" t="e">
        <f t="shared" si="3"/>
        <v>#REF!</v>
      </c>
      <c r="C17" s="28" t="e">
        <f t="shared" si="4"/>
        <v>#REF!</v>
      </c>
      <c r="D17" s="28" t="e">
        <f t="shared" si="5"/>
        <v>#REF!</v>
      </c>
      <c r="E17" s="28" t="e">
        <f t="shared" si="6"/>
        <v>#REF!</v>
      </c>
      <c r="F17" s="28" t="e">
        <f t="shared" si="7"/>
        <v>#REF!</v>
      </c>
      <c r="G17" s="26" t="e">
        <f>#REF!</f>
        <v>#REF!</v>
      </c>
      <c r="H17" s="26" t="e">
        <f>#REF!</f>
        <v>#REF!</v>
      </c>
      <c r="I17" s="29" t="e">
        <f t="shared" si="0"/>
        <v>#REF!</v>
      </c>
      <c r="J17" s="29" t="e">
        <f t="shared" si="1"/>
        <v>#REF!</v>
      </c>
    </row>
    <row r="18" spans="1:10" x14ac:dyDescent="0.2">
      <c r="A18" s="27" t="e">
        <f t="shared" si="2"/>
        <v>#REF!</v>
      </c>
      <c r="B18" s="28" t="e">
        <f t="shared" si="3"/>
        <v>#REF!</v>
      </c>
      <c r="C18" s="28" t="e">
        <f t="shared" si="4"/>
        <v>#REF!</v>
      </c>
      <c r="D18" s="28" t="e">
        <f t="shared" si="5"/>
        <v>#REF!</v>
      </c>
      <c r="E18" s="28" t="e">
        <f t="shared" si="6"/>
        <v>#REF!</v>
      </c>
      <c r="F18" s="28" t="e">
        <f t="shared" si="7"/>
        <v>#REF!</v>
      </c>
      <c r="G18" s="26" t="e">
        <f>#REF!</f>
        <v>#REF!</v>
      </c>
      <c r="H18" s="26" t="e">
        <f>#REF!</f>
        <v>#REF!</v>
      </c>
      <c r="I18" s="29" t="e">
        <f t="shared" si="0"/>
        <v>#REF!</v>
      </c>
      <c r="J18" s="29" t="e">
        <f t="shared" si="1"/>
        <v>#REF!</v>
      </c>
    </row>
    <row r="19" spans="1:10" x14ac:dyDescent="0.2">
      <c r="A19" s="27" t="e">
        <f t="shared" si="2"/>
        <v>#REF!</v>
      </c>
      <c r="B19" s="28" t="e">
        <f t="shared" si="3"/>
        <v>#REF!</v>
      </c>
      <c r="C19" s="28" t="e">
        <f t="shared" si="4"/>
        <v>#REF!</v>
      </c>
      <c r="D19" s="28" t="e">
        <f t="shared" si="5"/>
        <v>#REF!</v>
      </c>
      <c r="E19" s="28" t="e">
        <f t="shared" si="6"/>
        <v>#REF!</v>
      </c>
      <c r="F19" s="28" t="e">
        <f t="shared" si="7"/>
        <v>#REF!</v>
      </c>
      <c r="G19" s="26">
        <f>'[1]Densidad de Grupos'!A35</f>
        <v>0</v>
      </c>
      <c r="H19" s="26" t="e">
        <f>#REF!</f>
        <v>#REF!</v>
      </c>
      <c r="I19" s="29" t="e">
        <f t="shared" si="0"/>
        <v>#REF!</v>
      </c>
      <c r="J19" s="29" t="e">
        <f t="shared" si="1"/>
        <v>#REF!</v>
      </c>
    </row>
    <row r="20" spans="1:10" x14ac:dyDescent="0.2">
      <c r="A20" s="27" t="e">
        <f t="shared" si="2"/>
        <v>#REF!</v>
      </c>
      <c r="B20" s="28" t="e">
        <f t="shared" si="3"/>
        <v>#REF!</v>
      </c>
      <c r="C20" s="28" t="e">
        <f t="shared" si="4"/>
        <v>#REF!</v>
      </c>
      <c r="D20" s="28" t="e">
        <f t="shared" si="5"/>
        <v>#REF!</v>
      </c>
      <c r="E20" s="28" t="e">
        <f t="shared" si="6"/>
        <v>#REF!</v>
      </c>
      <c r="F20" s="28" t="e">
        <f t="shared" si="7"/>
        <v>#REF!</v>
      </c>
      <c r="G20" s="26">
        <f>'[2]Densidad de Grupos'!A36</f>
        <v>0</v>
      </c>
      <c r="H20" s="26" t="e">
        <f>#REF!</f>
        <v>#REF!</v>
      </c>
      <c r="I20" s="29" t="e">
        <f t="shared" si="0"/>
        <v>#REF!</v>
      </c>
      <c r="J20" s="29" t="e">
        <f t="shared" si="1"/>
        <v>#REF!</v>
      </c>
    </row>
    <row r="21" spans="1:10" x14ac:dyDescent="0.2">
      <c r="A21" s="27" t="e">
        <f t="shared" si="2"/>
        <v>#REF!</v>
      </c>
      <c r="B21" s="28" t="e">
        <f t="shared" si="3"/>
        <v>#REF!</v>
      </c>
      <c r="C21" s="28" t="e">
        <f t="shared" si="4"/>
        <v>#REF!</v>
      </c>
      <c r="D21" s="28" t="e">
        <f t="shared" si="5"/>
        <v>#REF!</v>
      </c>
      <c r="E21" s="28" t="e">
        <f t="shared" si="6"/>
        <v>#REF!</v>
      </c>
      <c r="F21" s="28" t="e">
        <f t="shared" si="7"/>
        <v>#REF!</v>
      </c>
      <c r="G21" s="26">
        <f>'[2]Densidad de Grupos'!A37</f>
        <v>0</v>
      </c>
      <c r="H21" s="26" t="e">
        <f>#REF!</f>
        <v>#REF!</v>
      </c>
      <c r="I21" s="29" t="e">
        <f t="shared" si="0"/>
        <v>#REF!</v>
      </c>
      <c r="J21" s="29" t="e">
        <f t="shared" si="1"/>
        <v>#REF!</v>
      </c>
    </row>
    <row r="22" spans="1:10" x14ac:dyDescent="0.2">
      <c r="A22" s="27" t="e">
        <f t="shared" si="2"/>
        <v>#REF!</v>
      </c>
      <c r="B22" s="28" t="e">
        <f t="shared" si="3"/>
        <v>#REF!</v>
      </c>
      <c r="C22" s="28" t="e">
        <f t="shared" si="4"/>
        <v>#REF!</v>
      </c>
      <c r="D22" s="28" t="e">
        <f t="shared" si="5"/>
        <v>#REF!</v>
      </c>
      <c r="E22" s="28" t="e">
        <f t="shared" si="6"/>
        <v>#REF!</v>
      </c>
      <c r="F22" s="28" t="e">
        <f t="shared" si="7"/>
        <v>#REF!</v>
      </c>
      <c r="G22" s="26">
        <f>'[2]Densidad de Grupos'!J18</f>
        <v>0</v>
      </c>
      <c r="H22" s="26" t="e">
        <f>#REF!</f>
        <v>#REF!</v>
      </c>
      <c r="I22" s="29" t="e">
        <f t="shared" si="0"/>
        <v>#REF!</v>
      </c>
      <c r="J22" s="29" t="e">
        <f t="shared" si="1"/>
        <v>#REF!</v>
      </c>
    </row>
    <row r="23" spans="1:10" x14ac:dyDescent="0.2">
      <c r="A23" s="27" t="e">
        <f t="shared" si="2"/>
        <v>#REF!</v>
      </c>
      <c r="B23" s="28" t="e">
        <f t="shared" si="3"/>
        <v>#REF!</v>
      </c>
      <c r="C23" s="28" t="e">
        <f t="shared" si="4"/>
        <v>#REF!</v>
      </c>
      <c r="D23" s="28" t="e">
        <f t="shared" si="5"/>
        <v>#REF!</v>
      </c>
      <c r="E23" s="28" t="e">
        <f t="shared" si="6"/>
        <v>#REF!</v>
      </c>
      <c r="F23" s="28" t="e">
        <f t="shared" si="7"/>
        <v>#REF!</v>
      </c>
      <c r="G23" s="26">
        <f>'[2]Densidad de Grupos'!J19</f>
        <v>0</v>
      </c>
      <c r="H23" s="26" t="e">
        <f>#REF!</f>
        <v>#REF!</v>
      </c>
      <c r="I23" s="29" t="e">
        <f t="shared" si="0"/>
        <v>#REF!</v>
      </c>
      <c r="J23" s="29" t="e">
        <f t="shared" si="1"/>
        <v>#REF!</v>
      </c>
    </row>
    <row r="24" spans="1:10" x14ac:dyDescent="0.2">
      <c r="A24" s="27" t="e">
        <f t="shared" si="2"/>
        <v>#REF!</v>
      </c>
      <c r="B24" s="28" t="e">
        <f t="shared" si="3"/>
        <v>#REF!</v>
      </c>
      <c r="C24" s="28" t="e">
        <f t="shared" si="4"/>
        <v>#REF!</v>
      </c>
      <c r="D24" s="28" t="e">
        <f t="shared" si="5"/>
        <v>#REF!</v>
      </c>
      <c r="E24" s="28" t="e">
        <f t="shared" si="6"/>
        <v>#REF!</v>
      </c>
      <c r="F24" s="28" t="e">
        <f t="shared" si="7"/>
        <v>#REF!</v>
      </c>
      <c r="G24" s="26">
        <f>'[2]Densidad de Grupos'!J20</f>
        <v>0</v>
      </c>
      <c r="H24" s="26" t="e">
        <f>#REF!</f>
        <v>#REF!</v>
      </c>
      <c r="I24" s="29" t="e">
        <f t="shared" si="0"/>
        <v>#REF!</v>
      </c>
      <c r="J24" s="29" t="e">
        <f t="shared" si="1"/>
        <v>#REF!</v>
      </c>
    </row>
    <row r="25" spans="1:10" x14ac:dyDescent="0.2">
      <c r="A25" s="27" t="e">
        <f t="shared" si="2"/>
        <v>#REF!</v>
      </c>
      <c r="B25" s="28" t="e">
        <f t="shared" si="3"/>
        <v>#REF!</v>
      </c>
      <c r="C25" s="28" t="e">
        <f t="shared" si="4"/>
        <v>#REF!</v>
      </c>
      <c r="D25" s="28" t="e">
        <f t="shared" si="5"/>
        <v>#REF!</v>
      </c>
      <c r="E25" s="28" t="e">
        <f t="shared" si="6"/>
        <v>#REF!</v>
      </c>
      <c r="F25" s="28" t="e">
        <f t="shared" si="7"/>
        <v>#REF!</v>
      </c>
      <c r="G25" s="26">
        <f>'[2]Densidad de Grupos'!J21</f>
        <v>0</v>
      </c>
      <c r="H25" s="26" t="e">
        <f>#REF!</f>
        <v>#REF!</v>
      </c>
      <c r="I25" s="29" t="e">
        <f t="shared" si="0"/>
        <v>#REF!</v>
      </c>
      <c r="J25" s="29" t="e">
        <f t="shared" si="1"/>
        <v>#REF!</v>
      </c>
    </row>
    <row r="26" spans="1:10" x14ac:dyDescent="0.2">
      <c r="A26" s="27" t="e">
        <f t="shared" si="2"/>
        <v>#REF!</v>
      </c>
      <c r="B26" s="28" t="e">
        <f t="shared" si="3"/>
        <v>#REF!</v>
      </c>
      <c r="C26" s="28" t="e">
        <f t="shared" si="4"/>
        <v>#REF!</v>
      </c>
      <c r="D26" s="28" t="e">
        <f t="shared" si="5"/>
        <v>#REF!</v>
      </c>
      <c r="E26" s="28" t="e">
        <f t="shared" si="6"/>
        <v>#REF!</v>
      </c>
      <c r="F26" s="28" t="e">
        <f t="shared" si="7"/>
        <v>#REF!</v>
      </c>
      <c r="G26" s="26">
        <f>'[1]Densidad de Grupos'!J22</f>
        <v>0</v>
      </c>
      <c r="H26" s="26" t="e">
        <f>#REF!</f>
        <v>#REF!</v>
      </c>
      <c r="I26" s="29" t="e">
        <f t="shared" si="0"/>
        <v>#REF!</v>
      </c>
      <c r="J26" s="29" t="e">
        <f t="shared" si="1"/>
        <v>#REF!</v>
      </c>
    </row>
    <row r="27" spans="1:10" x14ac:dyDescent="0.2">
      <c r="A27" s="27" t="e">
        <f t="shared" si="2"/>
        <v>#REF!</v>
      </c>
      <c r="B27" s="28" t="e">
        <f t="shared" si="3"/>
        <v>#REF!</v>
      </c>
      <c r="C27" s="28" t="e">
        <f t="shared" si="4"/>
        <v>#REF!</v>
      </c>
      <c r="D27" s="28" t="e">
        <f t="shared" si="5"/>
        <v>#REF!</v>
      </c>
      <c r="E27" s="28" t="e">
        <f t="shared" si="6"/>
        <v>#REF!</v>
      </c>
      <c r="F27" s="28" t="e">
        <f t="shared" si="7"/>
        <v>#REF!</v>
      </c>
      <c r="G27" s="26">
        <f>'[2]Densidad de Grupos'!J23</f>
        <v>0</v>
      </c>
      <c r="H27" s="26" t="e">
        <f>#REF!</f>
        <v>#REF!</v>
      </c>
      <c r="I27" s="29" t="e">
        <f t="shared" si="0"/>
        <v>#REF!</v>
      </c>
      <c r="J27" s="29" t="e">
        <f t="shared" si="1"/>
        <v>#REF!</v>
      </c>
    </row>
    <row r="28" spans="1:10" x14ac:dyDescent="0.2">
      <c r="A28" s="27" t="e">
        <f t="shared" si="2"/>
        <v>#REF!</v>
      </c>
      <c r="B28" s="28" t="e">
        <f t="shared" si="3"/>
        <v>#REF!</v>
      </c>
      <c r="C28" s="28" t="e">
        <f t="shared" si="4"/>
        <v>#REF!</v>
      </c>
      <c r="D28" s="28" t="e">
        <f t="shared" si="5"/>
        <v>#REF!</v>
      </c>
      <c r="E28" s="28" t="e">
        <f t="shared" si="6"/>
        <v>#REF!</v>
      </c>
      <c r="F28" s="28" t="e">
        <f t="shared" si="7"/>
        <v>#REF!</v>
      </c>
      <c r="G28" s="26">
        <f>'[2]Densidad de Grupos'!J24</f>
        <v>0</v>
      </c>
      <c r="H28" s="26" t="e">
        <f>#REF!</f>
        <v>#REF!</v>
      </c>
      <c r="I28" s="29" t="e">
        <f t="shared" si="0"/>
        <v>#REF!</v>
      </c>
      <c r="J28" s="29" t="e">
        <f t="shared" si="1"/>
        <v>#REF!</v>
      </c>
    </row>
    <row r="29" spans="1:10" x14ac:dyDescent="0.2">
      <c r="A29" s="27" t="e">
        <f t="shared" si="2"/>
        <v>#REF!</v>
      </c>
      <c r="B29" s="28" t="e">
        <f t="shared" si="3"/>
        <v>#REF!</v>
      </c>
      <c r="C29" s="28" t="e">
        <f t="shared" si="4"/>
        <v>#REF!</v>
      </c>
      <c r="D29" s="28" t="e">
        <f t="shared" si="5"/>
        <v>#REF!</v>
      </c>
      <c r="E29" s="28" t="e">
        <f t="shared" si="6"/>
        <v>#REF!</v>
      </c>
      <c r="F29" s="28" t="e">
        <f t="shared" si="7"/>
        <v>#REF!</v>
      </c>
      <c r="G29" s="26">
        <f>'[2]Densidad de Grupos'!J25</f>
        <v>0</v>
      </c>
      <c r="H29" s="26" t="e">
        <f>#REF!</f>
        <v>#REF!</v>
      </c>
      <c r="I29" s="29" t="e">
        <f t="shared" si="0"/>
        <v>#REF!</v>
      </c>
      <c r="J29" s="29" t="e">
        <f t="shared" si="1"/>
        <v>#REF!</v>
      </c>
    </row>
    <row r="30" spans="1:10" x14ac:dyDescent="0.2">
      <c r="A30" s="27" t="e">
        <f t="shared" si="2"/>
        <v>#REF!</v>
      </c>
      <c r="B30" s="28" t="e">
        <f t="shared" si="3"/>
        <v>#REF!</v>
      </c>
      <c r="C30" s="28" t="e">
        <f t="shared" si="4"/>
        <v>#REF!</v>
      </c>
      <c r="D30" s="28" t="e">
        <f t="shared" si="5"/>
        <v>#REF!</v>
      </c>
      <c r="E30" s="28" t="e">
        <f t="shared" si="6"/>
        <v>#REF!</v>
      </c>
      <c r="F30" s="28" t="e">
        <f t="shared" si="7"/>
        <v>#REF!</v>
      </c>
      <c r="G30" s="26">
        <f>'[2]Densidad de Grupos'!J26</f>
        <v>0</v>
      </c>
      <c r="H30" s="26" t="e">
        <f>#REF!</f>
        <v>#REF!</v>
      </c>
      <c r="I30" s="29" t="e">
        <f t="shared" si="0"/>
        <v>#REF!</v>
      </c>
      <c r="J30" s="29" t="e">
        <f t="shared" si="1"/>
        <v>#REF!</v>
      </c>
    </row>
    <row r="31" spans="1:10" x14ac:dyDescent="0.2">
      <c r="A31" s="27" t="e">
        <f t="shared" si="2"/>
        <v>#REF!</v>
      </c>
      <c r="B31" s="28" t="e">
        <f t="shared" si="3"/>
        <v>#REF!</v>
      </c>
      <c r="C31" s="28" t="e">
        <f t="shared" si="4"/>
        <v>#REF!</v>
      </c>
      <c r="D31" s="28" t="e">
        <f t="shared" si="5"/>
        <v>#REF!</v>
      </c>
      <c r="E31" s="28" t="e">
        <f t="shared" si="6"/>
        <v>#REF!</v>
      </c>
      <c r="F31" s="28" t="e">
        <f t="shared" si="7"/>
        <v>#REF!</v>
      </c>
      <c r="G31" s="26">
        <f>'[2]Densidad de Grupos'!J27</f>
        <v>0</v>
      </c>
      <c r="H31" s="26" t="e">
        <f>#REF!</f>
        <v>#REF!</v>
      </c>
      <c r="I31" s="29" t="e">
        <f t="shared" si="0"/>
        <v>#REF!</v>
      </c>
      <c r="J31" s="29" t="e">
        <f t="shared" si="1"/>
        <v>#REF!</v>
      </c>
    </row>
    <row r="32" spans="1:10" x14ac:dyDescent="0.2">
      <c r="A32" s="27" t="e">
        <f t="shared" si="2"/>
        <v>#REF!</v>
      </c>
      <c r="B32" s="28" t="e">
        <f t="shared" si="3"/>
        <v>#REF!</v>
      </c>
      <c r="C32" s="28" t="e">
        <f t="shared" si="4"/>
        <v>#REF!</v>
      </c>
      <c r="D32" s="28" t="e">
        <f t="shared" si="5"/>
        <v>#REF!</v>
      </c>
      <c r="E32" s="28" t="e">
        <f t="shared" si="6"/>
        <v>#REF!</v>
      </c>
      <c r="F32" s="28" t="e">
        <f t="shared" si="7"/>
        <v>#REF!</v>
      </c>
      <c r="G32" s="26">
        <f>'[2]Densidad de Grupos'!J28</f>
        <v>0</v>
      </c>
      <c r="H32" s="26" t="e">
        <f>#REF!</f>
        <v>#REF!</v>
      </c>
      <c r="I32" s="29" t="e">
        <f t="shared" si="0"/>
        <v>#REF!</v>
      </c>
      <c r="J32" s="29" t="e">
        <f t="shared" si="1"/>
        <v>#REF!</v>
      </c>
    </row>
    <row r="33" spans="1:10" x14ac:dyDescent="0.2">
      <c r="A33" s="27" t="e">
        <f t="shared" si="2"/>
        <v>#REF!</v>
      </c>
      <c r="B33" s="28" t="e">
        <f t="shared" si="3"/>
        <v>#REF!</v>
      </c>
      <c r="C33" s="28" t="e">
        <f t="shared" si="4"/>
        <v>#REF!</v>
      </c>
      <c r="D33" s="28" t="e">
        <f t="shared" si="5"/>
        <v>#REF!</v>
      </c>
      <c r="E33" s="28" t="e">
        <f t="shared" si="6"/>
        <v>#REF!</v>
      </c>
      <c r="F33" s="28" t="e">
        <f t="shared" si="7"/>
        <v>#REF!</v>
      </c>
      <c r="G33" s="26">
        <f>'[2]Densidad de Grupos'!J29</f>
        <v>0</v>
      </c>
      <c r="H33" s="26" t="e">
        <f>#REF!</f>
        <v>#REF!</v>
      </c>
      <c r="I33" s="29" t="e">
        <f t="shared" si="0"/>
        <v>#REF!</v>
      </c>
      <c r="J33" s="29" t="e">
        <f t="shared" si="1"/>
        <v>#REF!</v>
      </c>
    </row>
    <row r="34" spans="1:10" x14ac:dyDescent="0.2">
      <c r="A34" s="27" t="e">
        <f t="shared" si="2"/>
        <v>#REF!</v>
      </c>
      <c r="B34" s="28" t="e">
        <f t="shared" si="3"/>
        <v>#REF!</v>
      </c>
      <c r="C34" s="28" t="e">
        <f t="shared" si="4"/>
        <v>#REF!</v>
      </c>
      <c r="D34" s="28" t="e">
        <f t="shared" si="5"/>
        <v>#REF!</v>
      </c>
      <c r="E34" s="28" t="e">
        <f t="shared" si="6"/>
        <v>#REF!</v>
      </c>
      <c r="F34" s="28" t="e">
        <f t="shared" si="7"/>
        <v>#REF!</v>
      </c>
      <c r="G34" s="26">
        <f>'[2]Densidad de Grupos'!J30</f>
        <v>0</v>
      </c>
      <c r="H34" s="26" t="e">
        <f>#REF!</f>
        <v>#REF!</v>
      </c>
      <c r="I34" s="29" t="e">
        <f t="shared" si="0"/>
        <v>#REF!</v>
      </c>
      <c r="J34" s="29" t="e">
        <f t="shared" si="1"/>
        <v>#REF!</v>
      </c>
    </row>
    <row r="35" spans="1:10" x14ac:dyDescent="0.2">
      <c r="A35" s="27" t="e">
        <f t="shared" si="2"/>
        <v>#REF!</v>
      </c>
      <c r="B35" s="28" t="e">
        <f t="shared" si="3"/>
        <v>#REF!</v>
      </c>
      <c r="C35" s="28" t="e">
        <f t="shared" si="4"/>
        <v>#REF!</v>
      </c>
      <c r="D35" s="28" t="e">
        <f t="shared" si="5"/>
        <v>#REF!</v>
      </c>
      <c r="E35" s="28" t="e">
        <f t="shared" si="6"/>
        <v>#REF!</v>
      </c>
      <c r="F35" s="28" t="e">
        <f t="shared" si="7"/>
        <v>#REF!</v>
      </c>
      <c r="G35" s="26">
        <f>'[2]Densidad de Grupos'!J31</f>
        <v>0</v>
      </c>
      <c r="H35" s="26" t="e">
        <f>#REF!</f>
        <v>#REF!</v>
      </c>
      <c r="I35" s="29" t="e">
        <f t="shared" si="0"/>
        <v>#REF!</v>
      </c>
      <c r="J35" s="29" t="e">
        <f t="shared" si="1"/>
        <v>#REF!</v>
      </c>
    </row>
    <row r="36" spans="1:10" x14ac:dyDescent="0.2">
      <c r="A36" s="27" t="e">
        <f t="shared" si="2"/>
        <v>#REF!</v>
      </c>
      <c r="B36" s="28" t="e">
        <f t="shared" si="3"/>
        <v>#REF!</v>
      </c>
      <c r="C36" s="28" t="e">
        <f t="shared" si="4"/>
        <v>#REF!</v>
      </c>
      <c r="D36" s="28" t="e">
        <f t="shared" si="5"/>
        <v>#REF!</v>
      </c>
      <c r="E36" s="28" t="e">
        <f t="shared" si="6"/>
        <v>#REF!</v>
      </c>
      <c r="F36" s="28" t="e">
        <f t="shared" si="7"/>
        <v>#REF!</v>
      </c>
      <c r="G36" s="26">
        <f>'[2]Densidad de Grupos'!J32</f>
        <v>0</v>
      </c>
      <c r="H36" s="26" t="e">
        <f>#REF!</f>
        <v>#REF!</v>
      </c>
      <c r="I36" s="29" t="e">
        <f t="shared" si="0"/>
        <v>#REF!</v>
      </c>
      <c r="J36" s="29" t="e">
        <f t="shared" si="1"/>
        <v>#REF!</v>
      </c>
    </row>
    <row r="37" spans="1:10" x14ac:dyDescent="0.2">
      <c r="A37" s="27" t="e">
        <f t="shared" si="2"/>
        <v>#REF!</v>
      </c>
      <c r="B37" s="28" t="e">
        <f t="shared" si="3"/>
        <v>#REF!</v>
      </c>
      <c r="C37" s="28" t="e">
        <f t="shared" si="4"/>
        <v>#REF!</v>
      </c>
      <c r="D37" s="28" t="e">
        <f t="shared" si="5"/>
        <v>#REF!</v>
      </c>
      <c r="E37" s="28" t="e">
        <f t="shared" si="6"/>
        <v>#REF!</v>
      </c>
      <c r="F37" s="28" t="e">
        <f t="shared" si="7"/>
        <v>#REF!</v>
      </c>
      <c r="G37" s="26">
        <f>'[2]Densidad de Grupos'!J33</f>
        <v>0</v>
      </c>
      <c r="H37" s="26" t="e">
        <f>#REF!</f>
        <v>#REF!</v>
      </c>
      <c r="I37" s="29" t="e">
        <f t="shared" si="0"/>
        <v>#REF!</v>
      </c>
      <c r="J37" s="29" t="e">
        <f t="shared" si="1"/>
        <v>#REF!</v>
      </c>
    </row>
    <row r="38" spans="1:10" x14ac:dyDescent="0.2">
      <c r="A38" s="27" t="e">
        <f t="shared" si="2"/>
        <v>#REF!</v>
      </c>
      <c r="B38" s="28" t="e">
        <f t="shared" si="3"/>
        <v>#REF!</v>
      </c>
      <c r="C38" s="28" t="e">
        <f t="shared" si="4"/>
        <v>#REF!</v>
      </c>
      <c r="D38" s="28" t="e">
        <f t="shared" si="5"/>
        <v>#REF!</v>
      </c>
      <c r="E38" s="28" t="e">
        <f t="shared" si="6"/>
        <v>#REF!</v>
      </c>
      <c r="F38" s="28" t="e">
        <f t="shared" si="7"/>
        <v>#REF!</v>
      </c>
      <c r="G38" s="26">
        <f>'[2]Densidad de Grupos'!J34</f>
        <v>0</v>
      </c>
      <c r="H38" s="26" t="e">
        <f>#REF!</f>
        <v>#REF!</v>
      </c>
      <c r="I38" s="29" t="e">
        <f t="shared" si="0"/>
        <v>#REF!</v>
      </c>
      <c r="J38" s="29" t="e">
        <f t="shared" si="1"/>
        <v>#REF!</v>
      </c>
    </row>
    <row r="39" spans="1:10" x14ac:dyDescent="0.2">
      <c r="A39" s="27" t="e">
        <f t="shared" si="2"/>
        <v>#REF!</v>
      </c>
      <c r="B39" s="28" t="e">
        <f t="shared" si="3"/>
        <v>#REF!</v>
      </c>
      <c r="C39" s="28" t="e">
        <f t="shared" si="4"/>
        <v>#REF!</v>
      </c>
      <c r="D39" s="28" t="e">
        <f t="shared" si="5"/>
        <v>#REF!</v>
      </c>
      <c r="E39" s="28" t="e">
        <f t="shared" si="6"/>
        <v>#REF!</v>
      </c>
      <c r="F39" s="28" t="e">
        <f t="shared" si="7"/>
        <v>#REF!</v>
      </c>
      <c r="G39" s="26">
        <f>'[2]Densidad de Grupos'!J35</f>
        <v>0</v>
      </c>
      <c r="H39" s="26" t="e">
        <f>#REF!</f>
        <v>#REF!</v>
      </c>
      <c r="I39" s="29" t="e">
        <f t="shared" si="0"/>
        <v>#REF!</v>
      </c>
      <c r="J39" s="29" t="e">
        <f t="shared" si="1"/>
        <v>#REF!</v>
      </c>
    </row>
    <row r="40" spans="1:10" x14ac:dyDescent="0.2">
      <c r="A40" s="27" t="e">
        <f t="shared" si="2"/>
        <v>#REF!</v>
      </c>
      <c r="B40" s="28" t="e">
        <f t="shared" si="3"/>
        <v>#REF!</v>
      </c>
      <c r="C40" s="28" t="e">
        <f t="shared" si="4"/>
        <v>#REF!</v>
      </c>
      <c r="D40" s="28" t="e">
        <f t="shared" si="5"/>
        <v>#REF!</v>
      </c>
      <c r="E40" s="28" t="e">
        <f t="shared" si="6"/>
        <v>#REF!</v>
      </c>
      <c r="F40" s="28" t="e">
        <f t="shared" si="7"/>
        <v>#REF!</v>
      </c>
      <c r="G40" s="26">
        <f>'[2]Densidad de Grupos'!J36</f>
        <v>0</v>
      </c>
      <c r="H40" s="26" t="e">
        <f>#REF!</f>
        <v>#REF!</v>
      </c>
      <c r="I40" s="29" t="e">
        <f t="shared" si="0"/>
        <v>#REF!</v>
      </c>
      <c r="J40" s="29" t="e">
        <f t="shared" si="1"/>
        <v>#REF!</v>
      </c>
    </row>
    <row r="41" spans="1:10" x14ac:dyDescent="0.2">
      <c r="A41" s="27" t="e">
        <f t="shared" si="2"/>
        <v>#REF!</v>
      </c>
      <c r="B41" s="28" t="e">
        <f t="shared" si="3"/>
        <v>#REF!</v>
      </c>
      <c r="C41" s="28" t="e">
        <f t="shared" si="4"/>
        <v>#REF!</v>
      </c>
      <c r="D41" s="28" t="e">
        <f t="shared" si="5"/>
        <v>#REF!</v>
      </c>
      <c r="E41" s="28" t="e">
        <f t="shared" si="6"/>
        <v>#REF!</v>
      </c>
      <c r="F41" s="28" t="e">
        <f t="shared" si="7"/>
        <v>#REF!</v>
      </c>
      <c r="G41" s="26">
        <f>'[2]Densidad de Grupos'!J37</f>
        <v>0</v>
      </c>
      <c r="H41" s="26" t="e">
        <f>#REF!</f>
        <v>#REF!</v>
      </c>
      <c r="I41" s="29" t="e">
        <f t="shared" si="0"/>
        <v>#REF!</v>
      </c>
      <c r="J41" s="29" t="e">
        <f t="shared" si="1"/>
        <v>#REF!</v>
      </c>
    </row>
    <row r="42" spans="1:10" x14ac:dyDescent="0.2">
      <c r="A42" s="27" t="e">
        <f t="shared" si="2"/>
        <v>#REF!</v>
      </c>
      <c r="B42" s="28" t="e">
        <f t="shared" si="3"/>
        <v>#REF!</v>
      </c>
      <c r="C42" s="28" t="e">
        <f t="shared" si="4"/>
        <v>#REF!</v>
      </c>
      <c r="D42" s="28" t="e">
        <f t="shared" si="5"/>
        <v>#REF!</v>
      </c>
      <c r="E42" s="28" t="e">
        <f t="shared" si="6"/>
        <v>#REF!</v>
      </c>
      <c r="F42" s="28" t="e">
        <f t="shared" si="7"/>
        <v>#REF!</v>
      </c>
      <c r="G42" s="26">
        <f>'[2]Densidad de Grupos'!P18</f>
        <v>0</v>
      </c>
      <c r="H42" s="26" t="e">
        <f>#REF!</f>
        <v>#REF!</v>
      </c>
      <c r="I42" s="29" t="e">
        <f t="shared" si="0"/>
        <v>#REF!</v>
      </c>
      <c r="J42" s="29" t="e">
        <f t="shared" si="1"/>
        <v>#REF!</v>
      </c>
    </row>
    <row r="43" spans="1:10" x14ac:dyDescent="0.2">
      <c r="A43" s="27" t="e">
        <f t="shared" si="2"/>
        <v>#REF!</v>
      </c>
      <c r="B43" s="28" t="e">
        <f t="shared" si="3"/>
        <v>#REF!</v>
      </c>
      <c r="C43" s="28" t="e">
        <f t="shared" si="4"/>
        <v>#REF!</v>
      </c>
      <c r="D43" s="28" t="e">
        <f t="shared" si="5"/>
        <v>#REF!</v>
      </c>
      <c r="E43" s="28" t="e">
        <f t="shared" si="6"/>
        <v>#REF!</v>
      </c>
      <c r="F43" s="28" t="e">
        <f t="shared" si="7"/>
        <v>#REF!</v>
      </c>
      <c r="G43" s="26">
        <f>'[2]Densidad de Grupos'!P19</f>
        <v>0</v>
      </c>
      <c r="H43" s="26" t="e">
        <f>#REF!</f>
        <v>#REF!</v>
      </c>
      <c r="I43" s="29" t="e">
        <f t="shared" si="0"/>
        <v>#REF!</v>
      </c>
      <c r="J43" s="29" t="e">
        <f t="shared" si="1"/>
        <v>#REF!</v>
      </c>
    </row>
    <row r="44" spans="1:10" x14ac:dyDescent="0.2">
      <c r="A44" s="27" t="e">
        <f t="shared" si="2"/>
        <v>#REF!</v>
      </c>
      <c r="B44" s="28" t="e">
        <f t="shared" si="3"/>
        <v>#REF!</v>
      </c>
      <c r="C44" s="28" t="e">
        <f t="shared" si="4"/>
        <v>#REF!</v>
      </c>
      <c r="D44" s="28" t="e">
        <f t="shared" si="5"/>
        <v>#REF!</v>
      </c>
      <c r="E44" s="28" t="e">
        <f t="shared" si="6"/>
        <v>#REF!</v>
      </c>
      <c r="F44" s="28" t="e">
        <f t="shared" si="7"/>
        <v>#REF!</v>
      </c>
      <c r="G44" s="26">
        <f>'[2]Densidad de Grupos'!P20</f>
        <v>0</v>
      </c>
      <c r="H44" s="26" t="e">
        <f>#REF!</f>
        <v>#REF!</v>
      </c>
      <c r="I44" s="29" t="e">
        <f t="shared" si="0"/>
        <v>#REF!</v>
      </c>
      <c r="J44" s="29" t="e">
        <f t="shared" si="1"/>
        <v>#REF!</v>
      </c>
    </row>
    <row r="45" spans="1:10" x14ac:dyDescent="0.2">
      <c r="A45" s="27" t="e">
        <f t="shared" si="2"/>
        <v>#REF!</v>
      </c>
      <c r="B45" s="28" t="e">
        <f t="shared" si="3"/>
        <v>#REF!</v>
      </c>
      <c r="C45" s="28" t="e">
        <f t="shared" si="4"/>
        <v>#REF!</v>
      </c>
      <c r="D45" s="28" t="e">
        <f t="shared" si="5"/>
        <v>#REF!</v>
      </c>
      <c r="E45" s="28" t="e">
        <f t="shared" si="6"/>
        <v>#REF!</v>
      </c>
      <c r="F45" s="28" t="e">
        <f t="shared" si="7"/>
        <v>#REF!</v>
      </c>
      <c r="G45" s="26">
        <f>'[2]Densidad de Grupos'!P21</f>
        <v>0</v>
      </c>
      <c r="H45" s="26" t="e">
        <f>#REF!</f>
        <v>#REF!</v>
      </c>
      <c r="I45" s="29" t="e">
        <f t="shared" si="0"/>
        <v>#REF!</v>
      </c>
      <c r="J45" s="29" t="e">
        <f t="shared" si="1"/>
        <v>#REF!</v>
      </c>
    </row>
    <row r="46" spans="1:10" x14ac:dyDescent="0.2">
      <c r="A46" s="27" t="e">
        <f t="shared" si="2"/>
        <v>#REF!</v>
      </c>
      <c r="B46" s="28" t="e">
        <f t="shared" si="3"/>
        <v>#REF!</v>
      </c>
      <c r="C46" s="28" t="e">
        <f t="shared" si="4"/>
        <v>#REF!</v>
      </c>
      <c r="D46" s="28" t="e">
        <f t="shared" si="5"/>
        <v>#REF!</v>
      </c>
      <c r="E46" s="28" t="e">
        <f t="shared" si="6"/>
        <v>#REF!</v>
      </c>
      <c r="F46" s="28" t="e">
        <f t="shared" si="7"/>
        <v>#REF!</v>
      </c>
      <c r="G46" s="26">
        <f>'[2]Densidad de Grupos'!P22</f>
        <v>0</v>
      </c>
      <c r="H46" s="26" t="e">
        <f>#REF!</f>
        <v>#REF!</v>
      </c>
      <c r="I46" s="29" t="e">
        <f t="shared" si="0"/>
        <v>#REF!</v>
      </c>
      <c r="J46" s="29" t="e">
        <f t="shared" si="1"/>
        <v>#REF!</v>
      </c>
    </row>
    <row r="47" spans="1:10" x14ac:dyDescent="0.2">
      <c r="A47" s="27" t="e">
        <f t="shared" si="2"/>
        <v>#REF!</v>
      </c>
      <c r="B47" s="28" t="e">
        <f t="shared" si="3"/>
        <v>#REF!</v>
      </c>
      <c r="C47" s="28" t="e">
        <f t="shared" si="4"/>
        <v>#REF!</v>
      </c>
      <c r="D47" s="28" t="e">
        <f t="shared" si="5"/>
        <v>#REF!</v>
      </c>
      <c r="E47" s="28" t="e">
        <f t="shared" si="6"/>
        <v>#REF!</v>
      </c>
      <c r="F47" s="28" t="e">
        <f t="shared" si="7"/>
        <v>#REF!</v>
      </c>
      <c r="G47" s="26">
        <f>'[2]Densidad de Grupos'!P23</f>
        <v>0</v>
      </c>
      <c r="H47" s="26" t="e">
        <f>#REF!</f>
        <v>#REF!</v>
      </c>
      <c r="I47" s="29" t="e">
        <f t="shared" si="0"/>
        <v>#REF!</v>
      </c>
      <c r="J47" s="29" t="e">
        <f t="shared" si="1"/>
        <v>#REF!</v>
      </c>
    </row>
    <row r="48" spans="1:10" x14ac:dyDescent="0.2">
      <c r="A48" s="27" t="e">
        <f t="shared" si="2"/>
        <v>#REF!</v>
      </c>
      <c r="B48" s="28" t="e">
        <f t="shared" si="3"/>
        <v>#REF!</v>
      </c>
      <c r="C48" s="28" t="e">
        <f t="shared" si="4"/>
        <v>#REF!</v>
      </c>
      <c r="D48" s="28" t="e">
        <f t="shared" si="5"/>
        <v>#REF!</v>
      </c>
      <c r="E48" s="28" t="e">
        <f t="shared" si="6"/>
        <v>#REF!</v>
      </c>
      <c r="F48" s="28" t="e">
        <f t="shared" si="7"/>
        <v>#REF!</v>
      </c>
      <c r="G48" s="26">
        <f>'[2]Densidad de Grupos'!P24</f>
        <v>0</v>
      </c>
      <c r="H48" s="26" t="e">
        <f>#REF!</f>
        <v>#REF!</v>
      </c>
      <c r="I48" s="29" t="e">
        <f t="shared" si="0"/>
        <v>#REF!</v>
      </c>
      <c r="J48" s="29" t="e">
        <f t="shared" si="1"/>
        <v>#REF!</v>
      </c>
    </row>
    <row r="49" spans="1:10" x14ac:dyDescent="0.2">
      <c r="A49" s="27" t="e">
        <f t="shared" si="2"/>
        <v>#REF!</v>
      </c>
      <c r="B49" s="28" t="e">
        <f t="shared" si="3"/>
        <v>#REF!</v>
      </c>
      <c r="C49" s="28" t="e">
        <f t="shared" si="4"/>
        <v>#REF!</v>
      </c>
      <c r="D49" s="28" t="e">
        <f t="shared" si="5"/>
        <v>#REF!</v>
      </c>
      <c r="E49" s="28" t="e">
        <f t="shared" si="6"/>
        <v>#REF!</v>
      </c>
      <c r="F49" s="28" t="e">
        <f t="shared" si="7"/>
        <v>#REF!</v>
      </c>
      <c r="G49" s="26">
        <f>'[2]Densidad de Grupos'!P25</f>
        <v>0</v>
      </c>
      <c r="H49" s="26" t="e">
        <f>#REF!</f>
        <v>#REF!</v>
      </c>
      <c r="I49" s="29" t="e">
        <f t="shared" si="0"/>
        <v>#REF!</v>
      </c>
      <c r="J49" s="29" t="e">
        <f t="shared" si="1"/>
        <v>#REF!</v>
      </c>
    </row>
    <row r="50" spans="1:10" x14ac:dyDescent="0.2">
      <c r="A50" s="27" t="e">
        <f t="shared" si="2"/>
        <v>#REF!</v>
      </c>
      <c r="B50" s="28" t="e">
        <f t="shared" si="3"/>
        <v>#REF!</v>
      </c>
      <c r="C50" s="28" t="e">
        <f t="shared" si="4"/>
        <v>#REF!</v>
      </c>
      <c r="D50" s="28" t="e">
        <f t="shared" si="5"/>
        <v>#REF!</v>
      </c>
      <c r="E50" s="28" t="e">
        <f t="shared" si="6"/>
        <v>#REF!</v>
      </c>
      <c r="F50" s="28" t="e">
        <f t="shared" si="7"/>
        <v>#REF!</v>
      </c>
      <c r="G50" s="26">
        <f>'[2]Densidad de Grupos'!P26</f>
        <v>0</v>
      </c>
      <c r="H50" s="26" t="e">
        <f>#REF!</f>
        <v>#REF!</v>
      </c>
      <c r="I50" s="29" t="e">
        <f t="shared" si="0"/>
        <v>#REF!</v>
      </c>
      <c r="J50" s="29" t="e">
        <f t="shared" si="1"/>
        <v>#REF!</v>
      </c>
    </row>
    <row r="51" spans="1:10" x14ac:dyDescent="0.2">
      <c r="A51" s="27" t="e">
        <f t="shared" si="2"/>
        <v>#REF!</v>
      </c>
      <c r="B51" s="28" t="e">
        <f t="shared" si="3"/>
        <v>#REF!</v>
      </c>
      <c r="C51" s="28" t="e">
        <f t="shared" si="4"/>
        <v>#REF!</v>
      </c>
      <c r="D51" s="28" t="e">
        <f t="shared" si="5"/>
        <v>#REF!</v>
      </c>
      <c r="E51" s="28" t="e">
        <f t="shared" si="6"/>
        <v>#REF!</v>
      </c>
      <c r="F51" s="28" t="e">
        <f t="shared" si="7"/>
        <v>#REF!</v>
      </c>
      <c r="G51" s="26">
        <f>'[2]Densidad de Grupos'!P27</f>
        <v>0</v>
      </c>
      <c r="H51" s="26" t="e">
        <f>#REF!</f>
        <v>#REF!</v>
      </c>
      <c r="I51" s="29" t="e">
        <f t="shared" si="0"/>
        <v>#REF!</v>
      </c>
      <c r="J51" s="29" t="e">
        <f t="shared" si="1"/>
        <v>#REF!</v>
      </c>
    </row>
    <row r="52" spans="1:10" x14ac:dyDescent="0.2">
      <c r="A52" s="27" t="e">
        <f t="shared" si="2"/>
        <v>#REF!</v>
      </c>
      <c r="B52" s="28" t="e">
        <f t="shared" si="3"/>
        <v>#REF!</v>
      </c>
      <c r="C52" s="28" t="e">
        <f t="shared" si="4"/>
        <v>#REF!</v>
      </c>
      <c r="D52" s="28" t="e">
        <f t="shared" si="5"/>
        <v>#REF!</v>
      </c>
      <c r="E52" s="28" t="e">
        <f t="shared" si="6"/>
        <v>#REF!</v>
      </c>
      <c r="F52" s="28" t="e">
        <f t="shared" si="7"/>
        <v>#REF!</v>
      </c>
      <c r="G52" s="26">
        <f>'[2]Densidad de Grupos'!P28</f>
        <v>0</v>
      </c>
      <c r="H52" s="26" t="e">
        <f>#REF!</f>
        <v>#REF!</v>
      </c>
      <c r="I52" s="29" t="e">
        <f t="shared" si="0"/>
        <v>#REF!</v>
      </c>
      <c r="J52" s="29" t="e">
        <f t="shared" si="1"/>
        <v>#REF!</v>
      </c>
    </row>
    <row r="53" spans="1:10" x14ac:dyDescent="0.2">
      <c r="A53" s="27" t="e">
        <f t="shared" si="2"/>
        <v>#REF!</v>
      </c>
      <c r="B53" s="28" t="e">
        <f t="shared" si="3"/>
        <v>#REF!</v>
      </c>
      <c r="C53" s="28" t="e">
        <f t="shared" si="4"/>
        <v>#REF!</v>
      </c>
      <c r="D53" s="28" t="e">
        <f t="shared" si="5"/>
        <v>#REF!</v>
      </c>
      <c r="E53" s="28" t="e">
        <f t="shared" si="6"/>
        <v>#REF!</v>
      </c>
      <c r="F53" s="28" t="e">
        <f t="shared" si="7"/>
        <v>#REF!</v>
      </c>
      <c r="G53" s="26">
        <f>'[2]Densidad de Grupos'!P29</f>
        <v>0</v>
      </c>
      <c r="H53" s="26" t="e">
        <f>#REF!</f>
        <v>#REF!</v>
      </c>
      <c r="I53" s="29" t="e">
        <f t="shared" si="0"/>
        <v>#REF!</v>
      </c>
      <c r="J53" s="29" t="e">
        <f t="shared" si="1"/>
        <v>#REF!</v>
      </c>
    </row>
    <row r="54" spans="1:10" x14ac:dyDescent="0.2">
      <c r="A54" s="27" t="e">
        <f t="shared" si="2"/>
        <v>#REF!</v>
      </c>
      <c r="B54" s="28" t="e">
        <f t="shared" si="3"/>
        <v>#REF!</v>
      </c>
      <c r="C54" s="28" t="e">
        <f t="shared" si="4"/>
        <v>#REF!</v>
      </c>
      <c r="D54" s="28" t="e">
        <f t="shared" si="5"/>
        <v>#REF!</v>
      </c>
      <c r="E54" s="28" t="e">
        <f t="shared" si="6"/>
        <v>#REF!</v>
      </c>
      <c r="F54" s="28" t="e">
        <f t="shared" si="7"/>
        <v>#REF!</v>
      </c>
      <c r="G54" s="26">
        <f>'[2]Densidad de Grupos'!P30</f>
        <v>0</v>
      </c>
      <c r="H54" s="26" t="e">
        <f>#REF!</f>
        <v>#REF!</v>
      </c>
      <c r="I54" s="29" t="e">
        <f t="shared" si="0"/>
        <v>#REF!</v>
      </c>
      <c r="J54" s="29" t="e">
        <f t="shared" si="1"/>
        <v>#REF!</v>
      </c>
    </row>
    <row r="55" spans="1:10" x14ac:dyDescent="0.2">
      <c r="A55" s="27" t="e">
        <f t="shared" si="2"/>
        <v>#REF!</v>
      </c>
      <c r="B55" s="28" t="e">
        <f t="shared" si="3"/>
        <v>#REF!</v>
      </c>
      <c r="C55" s="28" t="e">
        <f t="shared" si="4"/>
        <v>#REF!</v>
      </c>
      <c r="D55" s="28" t="e">
        <f t="shared" si="5"/>
        <v>#REF!</v>
      </c>
      <c r="E55" s="28" t="e">
        <f t="shared" si="6"/>
        <v>#REF!</v>
      </c>
      <c r="F55" s="28" t="e">
        <f t="shared" si="7"/>
        <v>#REF!</v>
      </c>
      <c r="G55" s="26">
        <f>'[2]Densidad de Grupos'!P31</f>
        <v>0</v>
      </c>
      <c r="H55" s="26" t="e">
        <f>#REF!</f>
        <v>#REF!</v>
      </c>
      <c r="I55" s="29" t="e">
        <f t="shared" si="0"/>
        <v>#REF!</v>
      </c>
      <c r="J55" s="29" t="e">
        <f t="shared" si="1"/>
        <v>#REF!</v>
      </c>
    </row>
    <row r="56" spans="1:10" x14ac:dyDescent="0.2">
      <c r="A56" s="27" t="e">
        <f t="shared" si="2"/>
        <v>#REF!</v>
      </c>
      <c r="B56" s="28" t="e">
        <f t="shared" si="3"/>
        <v>#REF!</v>
      </c>
      <c r="C56" s="28" t="e">
        <f t="shared" si="4"/>
        <v>#REF!</v>
      </c>
      <c r="D56" s="28" t="e">
        <f t="shared" si="5"/>
        <v>#REF!</v>
      </c>
      <c r="E56" s="28" t="e">
        <f t="shared" si="6"/>
        <v>#REF!</v>
      </c>
      <c r="F56" s="28" t="e">
        <f t="shared" si="7"/>
        <v>#REF!</v>
      </c>
      <c r="G56" s="26">
        <f>'[2]Densidad de Grupos'!P32</f>
        <v>0</v>
      </c>
      <c r="H56" s="26" t="e">
        <f>#REF!</f>
        <v>#REF!</v>
      </c>
      <c r="I56" s="29" t="e">
        <f t="shared" si="0"/>
        <v>#REF!</v>
      </c>
      <c r="J56" s="29" t="e">
        <f t="shared" si="1"/>
        <v>#REF!</v>
      </c>
    </row>
    <row r="57" spans="1:10" x14ac:dyDescent="0.2">
      <c r="A57" s="27" t="e">
        <f t="shared" si="2"/>
        <v>#REF!</v>
      </c>
      <c r="B57" s="28" t="e">
        <f t="shared" si="3"/>
        <v>#REF!</v>
      </c>
      <c r="C57" s="28" t="e">
        <f t="shared" si="4"/>
        <v>#REF!</v>
      </c>
      <c r="D57" s="28" t="e">
        <f t="shared" si="5"/>
        <v>#REF!</v>
      </c>
      <c r="E57" s="28" t="e">
        <f t="shared" si="6"/>
        <v>#REF!</v>
      </c>
      <c r="F57" s="28" t="e">
        <f t="shared" si="7"/>
        <v>#REF!</v>
      </c>
      <c r="G57" s="26">
        <f>'[2]Densidad de Grupos'!P33</f>
        <v>0</v>
      </c>
      <c r="H57" s="26" t="e">
        <f>#REF!</f>
        <v>#REF!</v>
      </c>
      <c r="I57" s="29" t="e">
        <f t="shared" si="0"/>
        <v>#REF!</v>
      </c>
      <c r="J57" s="29" t="e">
        <f t="shared" si="1"/>
        <v>#REF!</v>
      </c>
    </row>
    <row r="58" spans="1:10" x14ac:dyDescent="0.2">
      <c r="A58" s="27" t="e">
        <f t="shared" si="2"/>
        <v>#REF!</v>
      </c>
      <c r="B58" s="28" t="e">
        <f t="shared" si="3"/>
        <v>#REF!</v>
      </c>
      <c r="C58" s="28" t="e">
        <f t="shared" si="4"/>
        <v>#REF!</v>
      </c>
      <c r="D58" s="28" t="e">
        <f t="shared" si="5"/>
        <v>#REF!</v>
      </c>
      <c r="E58" s="28" t="e">
        <f t="shared" si="6"/>
        <v>#REF!</v>
      </c>
      <c r="F58" s="28" t="e">
        <f t="shared" si="7"/>
        <v>#REF!</v>
      </c>
      <c r="G58" s="26">
        <f>'[2]Densidad de Grupos'!P34</f>
        <v>0</v>
      </c>
      <c r="H58" s="26" t="e">
        <f>#REF!</f>
        <v>#REF!</v>
      </c>
      <c r="I58" s="29" t="e">
        <f t="shared" si="0"/>
        <v>#REF!</v>
      </c>
      <c r="J58" s="29" t="e">
        <f t="shared" si="1"/>
        <v>#REF!</v>
      </c>
    </row>
    <row r="59" spans="1:10" x14ac:dyDescent="0.2">
      <c r="A59" s="27" t="e">
        <f t="shared" si="2"/>
        <v>#REF!</v>
      </c>
      <c r="B59" s="28" t="e">
        <f t="shared" si="3"/>
        <v>#REF!</v>
      </c>
      <c r="C59" s="28" t="e">
        <f t="shared" si="4"/>
        <v>#REF!</v>
      </c>
      <c r="D59" s="28" t="e">
        <f t="shared" si="5"/>
        <v>#REF!</v>
      </c>
      <c r="E59" s="28" t="e">
        <f t="shared" si="6"/>
        <v>#REF!</v>
      </c>
      <c r="F59" s="28" t="e">
        <f t="shared" si="7"/>
        <v>#REF!</v>
      </c>
      <c r="G59" s="26">
        <f>'[2]Densidad de Grupos'!P35</f>
        <v>0</v>
      </c>
      <c r="H59" s="26" t="e">
        <f>#REF!</f>
        <v>#REF!</v>
      </c>
      <c r="I59" s="29" t="e">
        <f t="shared" si="0"/>
        <v>#REF!</v>
      </c>
      <c r="J59" s="29" t="e">
        <f t="shared" si="1"/>
        <v>#REF!</v>
      </c>
    </row>
    <row r="60" spans="1:10" x14ac:dyDescent="0.2">
      <c r="A60" s="27" t="e">
        <f t="shared" si="2"/>
        <v>#REF!</v>
      </c>
      <c r="B60" s="28" t="e">
        <f t="shared" si="3"/>
        <v>#REF!</v>
      </c>
      <c r="C60" s="28" t="e">
        <f t="shared" si="4"/>
        <v>#REF!</v>
      </c>
      <c r="D60" s="28" t="e">
        <f t="shared" si="5"/>
        <v>#REF!</v>
      </c>
      <c r="E60" s="28" t="e">
        <f t="shared" si="6"/>
        <v>#REF!</v>
      </c>
      <c r="F60" s="28" t="e">
        <f t="shared" si="7"/>
        <v>#REF!</v>
      </c>
      <c r="G60" s="26">
        <f>'[2]Densidad de Grupos'!P36</f>
        <v>0</v>
      </c>
      <c r="H60" s="26" t="e">
        <f>#REF!</f>
        <v>#REF!</v>
      </c>
      <c r="I60" s="29" t="e">
        <f t="shared" si="0"/>
        <v>#REF!</v>
      </c>
      <c r="J60" s="29" t="e">
        <f t="shared" si="1"/>
        <v>#REF!</v>
      </c>
    </row>
    <row r="61" spans="1:10" x14ac:dyDescent="0.2">
      <c r="A61" s="27" t="e">
        <f t="shared" si="2"/>
        <v>#REF!</v>
      </c>
      <c r="B61" s="28" t="e">
        <f t="shared" si="3"/>
        <v>#REF!</v>
      </c>
      <c r="C61" s="28" t="e">
        <f t="shared" si="4"/>
        <v>#REF!</v>
      </c>
      <c r="D61" s="28" t="e">
        <f t="shared" si="5"/>
        <v>#REF!</v>
      </c>
      <c r="E61" s="28" t="e">
        <f t="shared" si="6"/>
        <v>#REF!</v>
      </c>
      <c r="F61" s="28" t="e">
        <f t="shared" si="7"/>
        <v>#REF!</v>
      </c>
      <c r="G61" s="26">
        <f>'[2]Densidad de Grupos'!P37</f>
        <v>0</v>
      </c>
      <c r="H61" s="26" t="e">
        <f>#REF!</f>
        <v>#REF!</v>
      </c>
      <c r="I61" s="29" t="e">
        <f t="shared" si="0"/>
        <v>#REF!</v>
      </c>
      <c r="J61" s="29" t="e">
        <f t="shared" si="1"/>
        <v>#REF!</v>
      </c>
    </row>
    <row r="62" spans="1:10" x14ac:dyDescent="0.2">
      <c r="A62" s="27" t="e">
        <f t="shared" si="2"/>
        <v>#REF!</v>
      </c>
      <c r="B62" s="28" t="e">
        <f t="shared" si="3"/>
        <v>#REF!</v>
      </c>
      <c r="C62" s="28" t="e">
        <f t="shared" si="4"/>
        <v>#REF!</v>
      </c>
      <c r="D62" s="28" t="e">
        <f t="shared" si="5"/>
        <v>#REF!</v>
      </c>
      <c r="E62" s="28" t="e">
        <f t="shared" si="6"/>
        <v>#REF!</v>
      </c>
      <c r="F62" s="28" t="e">
        <f t="shared" si="7"/>
        <v>#REF!</v>
      </c>
      <c r="G62" s="26">
        <f>'[2]Densidad de Grupos'!W18</f>
        <v>0</v>
      </c>
      <c r="H62" s="26" t="e">
        <f>#REF!</f>
        <v>#REF!</v>
      </c>
      <c r="I62" s="29" t="e">
        <f t="shared" si="0"/>
        <v>#REF!</v>
      </c>
      <c r="J62" s="29" t="e">
        <f t="shared" si="1"/>
        <v>#REF!</v>
      </c>
    </row>
    <row r="63" spans="1:10" x14ac:dyDescent="0.2">
      <c r="A63" s="27" t="e">
        <f t="shared" si="2"/>
        <v>#REF!</v>
      </c>
      <c r="B63" s="28" t="e">
        <f t="shared" si="3"/>
        <v>#REF!</v>
      </c>
      <c r="C63" s="28" t="e">
        <f t="shared" si="4"/>
        <v>#REF!</v>
      </c>
      <c r="D63" s="28" t="e">
        <f t="shared" si="5"/>
        <v>#REF!</v>
      </c>
      <c r="E63" s="28" t="e">
        <f t="shared" si="6"/>
        <v>#REF!</v>
      </c>
      <c r="F63" s="28" t="e">
        <f t="shared" si="7"/>
        <v>#REF!</v>
      </c>
      <c r="G63" s="26">
        <f>'[2]Densidad de Grupos'!W19</f>
        <v>0</v>
      </c>
      <c r="H63" s="26" t="e">
        <f>#REF!</f>
        <v>#REF!</v>
      </c>
      <c r="I63" s="29" t="e">
        <f t="shared" si="0"/>
        <v>#REF!</v>
      </c>
      <c r="J63" s="29" t="e">
        <f t="shared" si="1"/>
        <v>#REF!</v>
      </c>
    </row>
    <row r="64" spans="1:10" x14ac:dyDescent="0.2">
      <c r="A64" s="27" t="e">
        <f t="shared" si="2"/>
        <v>#REF!</v>
      </c>
      <c r="B64" s="28" t="e">
        <f t="shared" si="3"/>
        <v>#REF!</v>
      </c>
      <c r="C64" s="28" t="e">
        <f t="shared" si="4"/>
        <v>#REF!</v>
      </c>
      <c r="D64" s="28" t="e">
        <f t="shared" si="5"/>
        <v>#REF!</v>
      </c>
      <c r="E64" s="28" t="e">
        <f t="shared" si="6"/>
        <v>#REF!</v>
      </c>
      <c r="F64" s="28" t="e">
        <f t="shared" si="7"/>
        <v>#REF!</v>
      </c>
      <c r="G64" s="26">
        <f>'[2]Densidad de Grupos'!W20</f>
        <v>0</v>
      </c>
      <c r="H64" s="26" t="e">
        <f>#REF!</f>
        <v>#REF!</v>
      </c>
      <c r="I64" s="29" t="e">
        <f t="shared" si="0"/>
        <v>#REF!</v>
      </c>
      <c r="J64" s="29" t="e">
        <f t="shared" si="1"/>
        <v>#REF!</v>
      </c>
    </row>
    <row r="65" spans="1:10" x14ac:dyDescent="0.2">
      <c r="A65" s="27" t="e">
        <f t="shared" si="2"/>
        <v>#REF!</v>
      </c>
      <c r="B65" s="28" t="e">
        <f t="shared" si="3"/>
        <v>#REF!</v>
      </c>
      <c r="C65" s="28" t="e">
        <f t="shared" si="4"/>
        <v>#REF!</v>
      </c>
      <c r="D65" s="28" t="e">
        <f t="shared" si="5"/>
        <v>#REF!</v>
      </c>
      <c r="E65" s="28" t="e">
        <f t="shared" si="6"/>
        <v>#REF!</v>
      </c>
      <c r="F65" s="28" t="e">
        <f t="shared" si="7"/>
        <v>#REF!</v>
      </c>
      <c r="G65" s="26">
        <f>'[2]Densidad de Grupos'!W21</f>
        <v>0</v>
      </c>
      <c r="H65" s="26" t="e">
        <f>#REF!</f>
        <v>#REF!</v>
      </c>
      <c r="I65" s="29" t="e">
        <f t="shared" si="0"/>
        <v>#REF!</v>
      </c>
      <c r="J65" s="29" t="e">
        <f t="shared" si="1"/>
        <v>#REF!</v>
      </c>
    </row>
    <row r="66" spans="1:10" x14ac:dyDescent="0.2">
      <c r="A66" s="27" t="e">
        <f t="shared" si="2"/>
        <v>#REF!</v>
      </c>
      <c r="B66" s="28" t="e">
        <f t="shared" si="3"/>
        <v>#REF!</v>
      </c>
      <c r="C66" s="28" t="e">
        <f t="shared" si="4"/>
        <v>#REF!</v>
      </c>
      <c r="D66" s="28" t="e">
        <f t="shared" si="5"/>
        <v>#REF!</v>
      </c>
      <c r="E66" s="28" t="e">
        <f t="shared" si="6"/>
        <v>#REF!</v>
      </c>
      <c r="F66" s="28" t="e">
        <f t="shared" si="7"/>
        <v>#REF!</v>
      </c>
      <c r="G66" s="26">
        <f>'[2]Densidad de Grupos'!W22</f>
        <v>0</v>
      </c>
      <c r="H66" s="26" t="e">
        <f>#REF!</f>
        <v>#REF!</v>
      </c>
      <c r="I66" s="29" t="e">
        <f t="shared" si="0"/>
        <v>#REF!</v>
      </c>
      <c r="J66" s="29" t="e">
        <f t="shared" si="1"/>
        <v>#REF!</v>
      </c>
    </row>
    <row r="67" spans="1:10" x14ac:dyDescent="0.2">
      <c r="A67" s="27" t="e">
        <f t="shared" si="2"/>
        <v>#REF!</v>
      </c>
      <c r="B67" s="28" t="e">
        <f t="shared" si="3"/>
        <v>#REF!</v>
      </c>
      <c r="C67" s="28" t="e">
        <f t="shared" si="4"/>
        <v>#REF!</v>
      </c>
      <c r="D67" s="28" t="e">
        <f t="shared" si="5"/>
        <v>#REF!</v>
      </c>
      <c r="E67" s="28" t="e">
        <f t="shared" si="6"/>
        <v>#REF!</v>
      </c>
      <c r="F67" s="28" t="e">
        <f t="shared" si="7"/>
        <v>#REF!</v>
      </c>
      <c r="G67" s="26">
        <f>'[2]Densidad de Grupos'!W23</f>
        <v>0</v>
      </c>
      <c r="H67" s="26" t="e">
        <f>#REF!</f>
        <v>#REF!</v>
      </c>
      <c r="I67" s="29" t="e">
        <f t="shared" ref="I67:I81" si="8">((H67*C67)/(F67*B67))*2</f>
        <v>#REF!</v>
      </c>
      <c r="J67" s="29" t="e">
        <f t="shared" ref="J67:J81" si="9">I67*1000</f>
        <v>#REF!</v>
      </c>
    </row>
    <row r="68" spans="1:10" x14ac:dyDescent="0.2">
      <c r="A68" s="27" t="e">
        <f t="shared" ref="A68:A81" si="10">$A$2</f>
        <v>#REF!</v>
      </c>
      <c r="B68" s="28" t="e">
        <f t="shared" ref="B68:B81" si="11">$B$2</f>
        <v>#REF!</v>
      </c>
      <c r="C68" s="28" t="e">
        <f t="shared" ref="C68:C81" si="12">$C$2</f>
        <v>#REF!</v>
      </c>
      <c r="D68" s="28" t="e">
        <f t="shared" ref="D68:D81" si="13">$D$2</f>
        <v>#REF!</v>
      </c>
      <c r="E68" s="28" t="e">
        <f t="shared" ref="E68:E81" si="14">$E$2</f>
        <v>#REF!</v>
      </c>
      <c r="F68" s="28" t="e">
        <f t="shared" ref="F68:F81" si="15">$F$2</f>
        <v>#REF!</v>
      </c>
      <c r="G68" s="26">
        <f>'[2]Densidad de Grupos'!W24</f>
        <v>0</v>
      </c>
      <c r="H68" s="26" t="e">
        <f>#REF!</f>
        <v>#REF!</v>
      </c>
      <c r="I68" s="29" t="e">
        <f t="shared" si="8"/>
        <v>#REF!</v>
      </c>
      <c r="J68" s="29" t="e">
        <f t="shared" si="9"/>
        <v>#REF!</v>
      </c>
    </row>
    <row r="69" spans="1:10" x14ac:dyDescent="0.2">
      <c r="A69" s="27" t="e">
        <f t="shared" si="10"/>
        <v>#REF!</v>
      </c>
      <c r="B69" s="28" t="e">
        <f t="shared" si="11"/>
        <v>#REF!</v>
      </c>
      <c r="C69" s="28" t="e">
        <f t="shared" si="12"/>
        <v>#REF!</v>
      </c>
      <c r="D69" s="28" t="e">
        <f t="shared" si="13"/>
        <v>#REF!</v>
      </c>
      <c r="E69" s="28" t="e">
        <f t="shared" si="14"/>
        <v>#REF!</v>
      </c>
      <c r="F69" s="28" t="e">
        <f t="shared" si="15"/>
        <v>#REF!</v>
      </c>
      <c r="G69" s="26">
        <f>'[2]Densidad de Grupos'!W25</f>
        <v>0</v>
      </c>
      <c r="H69" s="26" t="e">
        <f>#REF!</f>
        <v>#REF!</v>
      </c>
      <c r="I69" s="29" t="e">
        <f t="shared" si="8"/>
        <v>#REF!</v>
      </c>
      <c r="J69" s="29" t="e">
        <f t="shared" si="9"/>
        <v>#REF!</v>
      </c>
    </row>
    <row r="70" spans="1:10" x14ac:dyDescent="0.2">
      <c r="A70" s="27" t="e">
        <f t="shared" si="10"/>
        <v>#REF!</v>
      </c>
      <c r="B70" s="28" t="e">
        <f t="shared" si="11"/>
        <v>#REF!</v>
      </c>
      <c r="C70" s="28" t="e">
        <f t="shared" si="12"/>
        <v>#REF!</v>
      </c>
      <c r="D70" s="28" t="e">
        <f t="shared" si="13"/>
        <v>#REF!</v>
      </c>
      <c r="E70" s="28" t="e">
        <f t="shared" si="14"/>
        <v>#REF!</v>
      </c>
      <c r="F70" s="28" t="e">
        <f t="shared" si="15"/>
        <v>#REF!</v>
      </c>
      <c r="G70" s="26">
        <f>'[2]Densidad de Grupos'!W26</f>
        <v>0</v>
      </c>
      <c r="H70" s="26" t="e">
        <f>#REF!</f>
        <v>#REF!</v>
      </c>
      <c r="I70" s="29" t="e">
        <f t="shared" si="8"/>
        <v>#REF!</v>
      </c>
      <c r="J70" s="29" t="e">
        <f t="shared" si="9"/>
        <v>#REF!</v>
      </c>
    </row>
    <row r="71" spans="1:10" x14ac:dyDescent="0.2">
      <c r="A71" s="27" t="e">
        <f t="shared" si="10"/>
        <v>#REF!</v>
      </c>
      <c r="B71" s="28" t="e">
        <f t="shared" si="11"/>
        <v>#REF!</v>
      </c>
      <c r="C71" s="28" t="e">
        <f t="shared" si="12"/>
        <v>#REF!</v>
      </c>
      <c r="D71" s="28" t="e">
        <f t="shared" si="13"/>
        <v>#REF!</v>
      </c>
      <c r="E71" s="28" t="e">
        <f t="shared" si="14"/>
        <v>#REF!</v>
      </c>
      <c r="F71" s="28" t="e">
        <f t="shared" si="15"/>
        <v>#REF!</v>
      </c>
      <c r="G71" s="26">
        <f>'[2]Densidad de Grupos'!W27</f>
        <v>0</v>
      </c>
      <c r="H71" s="26" t="e">
        <f>#REF!</f>
        <v>#REF!</v>
      </c>
      <c r="I71" s="29" t="e">
        <f t="shared" si="8"/>
        <v>#REF!</v>
      </c>
      <c r="J71" s="29" t="e">
        <f t="shared" si="9"/>
        <v>#REF!</v>
      </c>
    </row>
    <row r="72" spans="1:10" x14ac:dyDescent="0.2">
      <c r="A72" s="27" t="e">
        <f t="shared" si="10"/>
        <v>#REF!</v>
      </c>
      <c r="B72" s="28" t="e">
        <f t="shared" si="11"/>
        <v>#REF!</v>
      </c>
      <c r="C72" s="28" t="e">
        <f t="shared" si="12"/>
        <v>#REF!</v>
      </c>
      <c r="D72" s="28" t="e">
        <f t="shared" si="13"/>
        <v>#REF!</v>
      </c>
      <c r="E72" s="28" t="e">
        <f t="shared" si="14"/>
        <v>#REF!</v>
      </c>
      <c r="F72" s="28" t="e">
        <f t="shared" si="15"/>
        <v>#REF!</v>
      </c>
      <c r="G72" s="26">
        <f>'[2]Densidad de Grupos'!W28</f>
        <v>0</v>
      </c>
      <c r="H72" s="26" t="e">
        <f>#REF!</f>
        <v>#REF!</v>
      </c>
      <c r="I72" s="29" t="e">
        <f t="shared" si="8"/>
        <v>#REF!</v>
      </c>
      <c r="J72" s="29" t="e">
        <f t="shared" si="9"/>
        <v>#REF!</v>
      </c>
    </row>
    <row r="73" spans="1:10" x14ac:dyDescent="0.2">
      <c r="A73" s="27" t="e">
        <f t="shared" si="10"/>
        <v>#REF!</v>
      </c>
      <c r="B73" s="28" t="e">
        <f t="shared" si="11"/>
        <v>#REF!</v>
      </c>
      <c r="C73" s="28" t="e">
        <f t="shared" si="12"/>
        <v>#REF!</v>
      </c>
      <c r="D73" s="28" t="e">
        <f t="shared" si="13"/>
        <v>#REF!</v>
      </c>
      <c r="E73" s="28" t="e">
        <f t="shared" si="14"/>
        <v>#REF!</v>
      </c>
      <c r="F73" s="28" t="e">
        <f t="shared" si="15"/>
        <v>#REF!</v>
      </c>
      <c r="G73" s="26">
        <f>'[2]Densidad de Grupos'!W29</f>
        <v>0</v>
      </c>
      <c r="H73" s="26" t="e">
        <f>#REF!</f>
        <v>#REF!</v>
      </c>
      <c r="I73" s="29" t="e">
        <f t="shared" si="8"/>
        <v>#REF!</v>
      </c>
      <c r="J73" s="29" t="e">
        <f t="shared" si="9"/>
        <v>#REF!</v>
      </c>
    </row>
    <row r="74" spans="1:10" x14ac:dyDescent="0.2">
      <c r="A74" s="27" t="e">
        <f t="shared" si="10"/>
        <v>#REF!</v>
      </c>
      <c r="B74" s="28" t="e">
        <f t="shared" si="11"/>
        <v>#REF!</v>
      </c>
      <c r="C74" s="28" t="e">
        <f t="shared" si="12"/>
        <v>#REF!</v>
      </c>
      <c r="D74" s="28" t="e">
        <f t="shared" si="13"/>
        <v>#REF!</v>
      </c>
      <c r="E74" s="28" t="e">
        <f t="shared" si="14"/>
        <v>#REF!</v>
      </c>
      <c r="F74" s="28" t="e">
        <f t="shared" si="15"/>
        <v>#REF!</v>
      </c>
      <c r="G74" s="26">
        <f>'[2]Densidad de Grupos'!W30</f>
        <v>0</v>
      </c>
      <c r="H74" s="26" t="e">
        <f>#REF!</f>
        <v>#REF!</v>
      </c>
      <c r="I74" s="29" t="e">
        <f t="shared" si="8"/>
        <v>#REF!</v>
      </c>
      <c r="J74" s="29" t="e">
        <f t="shared" si="9"/>
        <v>#REF!</v>
      </c>
    </row>
    <row r="75" spans="1:10" x14ac:dyDescent="0.2">
      <c r="A75" s="27" t="e">
        <f t="shared" si="10"/>
        <v>#REF!</v>
      </c>
      <c r="B75" s="28" t="e">
        <f t="shared" si="11"/>
        <v>#REF!</v>
      </c>
      <c r="C75" s="28" t="e">
        <f t="shared" si="12"/>
        <v>#REF!</v>
      </c>
      <c r="D75" s="28" t="e">
        <f t="shared" si="13"/>
        <v>#REF!</v>
      </c>
      <c r="E75" s="28" t="e">
        <f t="shared" si="14"/>
        <v>#REF!</v>
      </c>
      <c r="F75" s="28" t="e">
        <f t="shared" si="15"/>
        <v>#REF!</v>
      </c>
      <c r="G75" s="26">
        <f>'[2]Densidad de Grupos'!W31</f>
        <v>0</v>
      </c>
      <c r="H75" s="26" t="e">
        <f>#REF!</f>
        <v>#REF!</v>
      </c>
      <c r="I75" s="29" t="e">
        <f t="shared" si="8"/>
        <v>#REF!</v>
      </c>
      <c r="J75" s="29" t="e">
        <f t="shared" si="9"/>
        <v>#REF!</v>
      </c>
    </row>
    <row r="76" spans="1:10" x14ac:dyDescent="0.2">
      <c r="A76" s="27" t="e">
        <f t="shared" si="10"/>
        <v>#REF!</v>
      </c>
      <c r="B76" s="28" t="e">
        <f t="shared" si="11"/>
        <v>#REF!</v>
      </c>
      <c r="C76" s="28" t="e">
        <f t="shared" si="12"/>
        <v>#REF!</v>
      </c>
      <c r="D76" s="28" t="e">
        <f t="shared" si="13"/>
        <v>#REF!</v>
      </c>
      <c r="E76" s="28" t="e">
        <f t="shared" si="14"/>
        <v>#REF!</v>
      </c>
      <c r="F76" s="28" t="e">
        <f t="shared" si="15"/>
        <v>#REF!</v>
      </c>
      <c r="G76" s="26">
        <f>'[2]Densidad de Grupos'!W32</f>
        <v>0</v>
      </c>
      <c r="H76" s="26" t="e">
        <f>#REF!</f>
        <v>#REF!</v>
      </c>
      <c r="I76" s="29" t="e">
        <f t="shared" si="8"/>
        <v>#REF!</v>
      </c>
      <c r="J76" s="29" t="e">
        <f t="shared" si="9"/>
        <v>#REF!</v>
      </c>
    </row>
    <row r="77" spans="1:10" x14ac:dyDescent="0.2">
      <c r="A77" s="27" t="e">
        <f t="shared" si="10"/>
        <v>#REF!</v>
      </c>
      <c r="B77" s="28" t="e">
        <f t="shared" si="11"/>
        <v>#REF!</v>
      </c>
      <c r="C77" s="28" t="e">
        <f t="shared" si="12"/>
        <v>#REF!</v>
      </c>
      <c r="D77" s="28" t="e">
        <f t="shared" si="13"/>
        <v>#REF!</v>
      </c>
      <c r="E77" s="28" t="e">
        <f t="shared" si="14"/>
        <v>#REF!</v>
      </c>
      <c r="F77" s="28" t="e">
        <f t="shared" si="15"/>
        <v>#REF!</v>
      </c>
      <c r="G77" s="26">
        <f>'[2]Densidad de Grupos'!W33</f>
        <v>0</v>
      </c>
      <c r="H77" s="26" t="e">
        <f>#REF!</f>
        <v>#REF!</v>
      </c>
      <c r="I77" s="29" t="e">
        <f t="shared" si="8"/>
        <v>#REF!</v>
      </c>
      <c r="J77" s="29" t="e">
        <f t="shared" si="9"/>
        <v>#REF!</v>
      </c>
    </row>
    <row r="78" spans="1:10" x14ac:dyDescent="0.2">
      <c r="A78" s="27" t="e">
        <f t="shared" si="10"/>
        <v>#REF!</v>
      </c>
      <c r="B78" s="28" t="e">
        <f t="shared" si="11"/>
        <v>#REF!</v>
      </c>
      <c r="C78" s="28" t="e">
        <f t="shared" si="12"/>
        <v>#REF!</v>
      </c>
      <c r="D78" s="28" t="e">
        <f t="shared" si="13"/>
        <v>#REF!</v>
      </c>
      <c r="E78" s="28" t="e">
        <f t="shared" si="14"/>
        <v>#REF!</v>
      </c>
      <c r="F78" s="28" t="e">
        <f t="shared" si="15"/>
        <v>#REF!</v>
      </c>
      <c r="G78" s="26">
        <f>'[2]Densidad de Grupos'!W34</f>
        <v>0</v>
      </c>
      <c r="H78" s="26" t="e">
        <f>#REF!</f>
        <v>#REF!</v>
      </c>
      <c r="I78" s="29" t="e">
        <f t="shared" si="8"/>
        <v>#REF!</v>
      </c>
      <c r="J78" s="29" t="e">
        <f t="shared" si="9"/>
        <v>#REF!</v>
      </c>
    </row>
    <row r="79" spans="1:10" x14ac:dyDescent="0.2">
      <c r="A79" s="27" t="e">
        <f t="shared" si="10"/>
        <v>#REF!</v>
      </c>
      <c r="B79" s="28" t="e">
        <f t="shared" si="11"/>
        <v>#REF!</v>
      </c>
      <c r="C79" s="28" t="e">
        <f t="shared" si="12"/>
        <v>#REF!</v>
      </c>
      <c r="D79" s="28" t="e">
        <f t="shared" si="13"/>
        <v>#REF!</v>
      </c>
      <c r="E79" s="28" t="e">
        <f t="shared" si="14"/>
        <v>#REF!</v>
      </c>
      <c r="F79" s="28" t="e">
        <f t="shared" si="15"/>
        <v>#REF!</v>
      </c>
      <c r="G79" s="26">
        <f>'[2]Densidad de Grupos'!W35</f>
        <v>0</v>
      </c>
      <c r="H79" s="26" t="e">
        <f>#REF!</f>
        <v>#REF!</v>
      </c>
      <c r="I79" s="29" t="e">
        <f t="shared" si="8"/>
        <v>#REF!</v>
      </c>
      <c r="J79" s="29" t="e">
        <f t="shared" si="9"/>
        <v>#REF!</v>
      </c>
    </row>
    <row r="80" spans="1:10" x14ac:dyDescent="0.2">
      <c r="A80" s="27" t="e">
        <f t="shared" si="10"/>
        <v>#REF!</v>
      </c>
      <c r="B80" s="28" t="e">
        <f t="shared" si="11"/>
        <v>#REF!</v>
      </c>
      <c r="C80" s="28" t="e">
        <f t="shared" si="12"/>
        <v>#REF!</v>
      </c>
      <c r="D80" s="28" t="e">
        <f t="shared" si="13"/>
        <v>#REF!</v>
      </c>
      <c r="E80" s="28" t="e">
        <f t="shared" si="14"/>
        <v>#REF!</v>
      </c>
      <c r="F80" s="28" t="e">
        <f t="shared" si="15"/>
        <v>#REF!</v>
      </c>
      <c r="G80" s="26">
        <f>'[2]Densidad de Grupos'!W36</f>
        <v>0</v>
      </c>
      <c r="H80" s="26" t="e">
        <f>#REF!</f>
        <v>#REF!</v>
      </c>
      <c r="I80" s="29" t="e">
        <f t="shared" si="8"/>
        <v>#REF!</v>
      </c>
      <c r="J80" s="29" t="e">
        <f t="shared" si="9"/>
        <v>#REF!</v>
      </c>
    </row>
    <row r="81" spans="1:10" x14ac:dyDescent="0.2">
      <c r="A81" s="27" t="e">
        <f t="shared" si="10"/>
        <v>#REF!</v>
      </c>
      <c r="B81" s="28" t="e">
        <f t="shared" si="11"/>
        <v>#REF!</v>
      </c>
      <c r="C81" s="28" t="e">
        <f t="shared" si="12"/>
        <v>#REF!</v>
      </c>
      <c r="D81" s="28" t="e">
        <f t="shared" si="13"/>
        <v>#REF!</v>
      </c>
      <c r="E81" s="28" t="e">
        <f t="shared" si="14"/>
        <v>#REF!</v>
      </c>
      <c r="F81" s="28" t="e">
        <f t="shared" si="15"/>
        <v>#REF!</v>
      </c>
      <c r="G81" s="26">
        <f>'[2]Densidad de Grupos'!W37</f>
        <v>0</v>
      </c>
      <c r="H81" s="26" t="e">
        <f>#REF!</f>
        <v>#REF!</v>
      </c>
      <c r="I81" s="29" t="e">
        <f t="shared" si="8"/>
        <v>#REF!</v>
      </c>
      <c r="J81" s="29" t="e">
        <f t="shared" si="9"/>
        <v>#REF!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J2"/>
  <sheetViews>
    <sheetView workbookViewId="0">
      <selection activeCell="J3" sqref="J3"/>
    </sheetView>
  </sheetViews>
  <sheetFormatPr baseColWidth="10" defaultRowHeight="12.75" x14ac:dyDescent="0.2"/>
  <cols>
    <col min="1" max="1" width="10.7109375" style="26" bestFit="1" customWidth="1"/>
    <col min="2" max="2" width="16.8554687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42578125" style="26" bestFit="1" customWidth="1"/>
    <col min="8" max="8" width="21.7109375" style="26" bestFit="1" customWidth="1"/>
    <col min="9" max="9" width="7.1406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59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31" t="str">
        <f>'Larvas de Peces'!U9</f>
        <v>SP-20-0719</v>
      </c>
      <c r="B2" s="32">
        <f>'Larvas de Peces'!J13</f>
        <v>82.99436462231462</v>
      </c>
      <c r="C2" s="32" t="str">
        <f>'Larvas de Peces'!O13</f>
        <v>-</v>
      </c>
      <c r="D2" s="32" t="str">
        <f>'Larvas de Peces'!U13</f>
        <v>-</v>
      </c>
      <c r="E2" s="32" t="str">
        <f>'Larvas de Peces'!AA13</f>
        <v>-</v>
      </c>
      <c r="F2" s="32" t="e">
        <f>E2*D2</f>
        <v>#VALUE!</v>
      </c>
      <c r="G2" s="32" t="str">
        <f>'Larvas de Peces'!A18</f>
        <v>Larvas de peces</v>
      </c>
      <c r="H2" s="32">
        <f>'Larvas de Peces'!H18</f>
        <v>18</v>
      </c>
      <c r="I2" s="33">
        <f>((H2/B2)*2)</f>
        <v>0.43376439067672207</v>
      </c>
      <c r="J2" s="34">
        <f>((H2/B2)*2)*1000</f>
        <v>433.76439067672209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Densidad de Grupos (3)</vt:lpstr>
      <vt:lpstr>Densidad de Grupos (2)</vt:lpstr>
      <vt:lpstr>Densidad de Grupos (1)</vt:lpstr>
      <vt:lpstr>Larvas de Peces</vt:lpstr>
      <vt:lpstr>Cálculos_Densidad_De_Grupos</vt:lpstr>
      <vt:lpstr>Cálculos_Larvas_de_Peces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Christian Bermúdez-Rivas</cp:lastModifiedBy>
  <cp:lastPrinted>2021-02-22T21:39:25Z</cp:lastPrinted>
  <dcterms:created xsi:type="dcterms:W3CDTF">2009-11-17T21:42:41Z</dcterms:created>
  <dcterms:modified xsi:type="dcterms:W3CDTF">2022-09-15T23:52:51Z</dcterms:modified>
</cp:coreProperties>
</file>