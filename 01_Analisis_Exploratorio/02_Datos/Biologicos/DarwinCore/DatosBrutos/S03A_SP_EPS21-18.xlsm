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8_{F00B0161-FD1D-4675-8BA9-2ECAAB01ED0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1" r:id="rId1"/>
    <sheet name="Densidad de grupos (2)" sheetId="2" r:id="rId2"/>
    <sheet name="Densidad de grupos (1)" sheetId="3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</externalReferenc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3" roundtripDataSignature="AMtx7mgNbDBlTLvkIyA9vmJtHBHNfZtonQ=="/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F2" i="6" s="1"/>
  <c r="D2" i="6"/>
  <c r="C2" i="6"/>
  <c r="B2" i="6"/>
  <c r="I2" i="6" s="1"/>
  <c r="A2" i="6"/>
  <c r="H81" i="5"/>
  <c r="H80" i="5"/>
  <c r="E80" i="5"/>
  <c r="C80" i="5"/>
  <c r="H79" i="5"/>
  <c r="E79" i="5"/>
  <c r="C79" i="5"/>
  <c r="B79" i="5"/>
  <c r="H78" i="5"/>
  <c r="B78" i="5"/>
  <c r="H77" i="5"/>
  <c r="H76" i="5"/>
  <c r="E76" i="5"/>
  <c r="C76" i="5"/>
  <c r="H75" i="5"/>
  <c r="E75" i="5"/>
  <c r="C75" i="5"/>
  <c r="B75" i="5"/>
  <c r="H74" i="5"/>
  <c r="B74" i="5"/>
  <c r="H73" i="5"/>
  <c r="H72" i="5"/>
  <c r="E72" i="5"/>
  <c r="C72" i="5"/>
  <c r="H71" i="5"/>
  <c r="E71" i="5"/>
  <c r="C71" i="5"/>
  <c r="B71" i="5"/>
  <c r="H70" i="5"/>
  <c r="B70" i="5"/>
  <c r="H69" i="5"/>
  <c r="H68" i="5"/>
  <c r="E68" i="5"/>
  <c r="C68" i="5"/>
  <c r="H67" i="5"/>
  <c r="E67" i="5"/>
  <c r="C67" i="5"/>
  <c r="B67" i="5"/>
  <c r="H66" i="5"/>
  <c r="B66" i="5"/>
  <c r="H65" i="5"/>
  <c r="H64" i="5"/>
  <c r="E64" i="5"/>
  <c r="C64" i="5"/>
  <c r="H63" i="5"/>
  <c r="E63" i="5"/>
  <c r="C63" i="5"/>
  <c r="B63" i="5"/>
  <c r="H62" i="5"/>
  <c r="B62" i="5"/>
  <c r="H61" i="5"/>
  <c r="H60" i="5"/>
  <c r="E60" i="5"/>
  <c r="C60" i="5"/>
  <c r="H59" i="5"/>
  <c r="E59" i="5"/>
  <c r="C59" i="5"/>
  <c r="B59" i="5"/>
  <c r="H58" i="5"/>
  <c r="B58" i="5"/>
  <c r="H57" i="5"/>
  <c r="H56" i="5"/>
  <c r="E56" i="5"/>
  <c r="C56" i="5"/>
  <c r="H55" i="5"/>
  <c r="E55" i="5"/>
  <c r="C55" i="5"/>
  <c r="B55" i="5"/>
  <c r="H54" i="5"/>
  <c r="B54" i="5"/>
  <c r="H53" i="5"/>
  <c r="H52" i="5"/>
  <c r="E52" i="5"/>
  <c r="C52" i="5"/>
  <c r="H51" i="5"/>
  <c r="E51" i="5"/>
  <c r="C51" i="5"/>
  <c r="B51" i="5"/>
  <c r="H50" i="5"/>
  <c r="B50" i="5"/>
  <c r="H49" i="5"/>
  <c r="H48" i="5"/>
  <c r="E48" i="5"/>
  <c r="C48" i="5"/>
  <c r="H47" i="5"/>
  <c r="E47" i="5"/>
  <c r="C47" i="5"/>
  <c r="B47" i="5"/>
  <c r="H46" i="5"/>
  <c r="B46" i="5"/>
  <c r="H45" i="5"/>
  <c r="H44" i="5"/>
  <c r="E44" i="5"/>
  <c r="C44" i="5"/>
  <c r="H43" i="5"/>
  <c r="E43" i="5"/>
  <c r="C43" i="5"/>
  <c r="B43" i="5"/>
  <c r="H42" i="5"/>
  <c r="B42" i="5"/>
  <c r="H41" i="5"/>
  <c r="H40" i="5"/>
  <c r="E40" i="5"/>
  <c r="C40" i="5"/>
  <c r="H39" i="5"/>
  <c r="E39" i="5"/>
  <c r="C39" i="5"/>
  <c r="B39" i="5"/>
  <c r="H38" i="5"/>
  <c r="B38" i="5"/>
  <c r="H37" i="5"/>
  <c r="H36" i="5"/>
  <c r="E36" i="5"/>
  <c r="C36" i="5"/>
  <c r="H35" i="5"/>
  <c r="E35" i="5"/>
  <c r="C35" i="5"/>
  <c r="B35" i="5"/>
  <c r="H34" i="5"/>
  <c r="B34" i="5"/>
  <c r="H33" i="5"/>
  <c r="H32" i="5"/>
  <c r="E32" i="5"/>
  <c r="C32" i="5"/>
  <c r="H31" i="5"/>
  <c r="E31" i="5"/>
  <c r="C31" i="5"/>
  <c r="B31" i="5"/>
  <c r="H30" i="5"/>
  <c r="B30" i="5"/>
  <c r="H29" i="5"/>
  <c r="H28" i="5"/>
  <c r="E28" i="5"/>
  <c r="C28" i="5"/>
  <c r="H27" i="5"/>
  <c r="E27" i="5"/>
  <c r="C27" i="5"/>
  <c r="B27" i="5"/>
  <c r="H26" i="5"/>
  <c r="G26" i="5"/>
  <c r="C26" i="5"/>
  <c r="A26" i="5"/>
  <c r="H25" i="5"/>
  <c r="H24" i="5"/>
  <c r="H23" i="5"/>
  <c r="C23" i="5"/>
  <c r="A23" i="5"/>
  <c r="H22" i="5"/>
  <c r="C22" i="5"/>
  <c r="A22" i="5"/>
  <c r="H21" i="5"/>
  <c r="H20" i="5"/>
  <c r="H19" i="5"/>
  <c r="G19" i="5"/>
  <c r="E19" i="5"/>
  <c r="D19" i="5"/>
  <c r="B19" i="5"/>
  <c r="H18" i="5"/>
  <c r="G18" i="5"/>
  <c r="E18" i="5"/>
  <c r="C18" i="5"/>
  <c r="B18" i="5"/>
  <c r="H17" i="5"/>
  <c r="G17" i="5"/>
  <c r="C17" i="5"/>
  <c r="A17" i="5"/>
  <c r="H16" i="5"/>
  <c r="G16" i="5"/>
  <c r="A16" i="5"/>
  <c r="H15" i="5"/>
  <c r="G15" i="5"/>
  <c r="H14" i="5"/>
  <c r="G14" i="5"/>
  <c r="H13" i="5"/>
  <c r="G13" i="5"/>
  <c r="E13" i="5"/>
  <c r="D13" i="5"/>
  <c r="B13" i="5"/>
  <c r="H12" i="5"/>
  <c r="G12" i="5"/>
  <c r="E12" i="5"/>
  <c r="C12" i="5"/>
  <c r="B12" i="5"/>
  <c r="H11" i="5"/>
  <c r="G11" i="5"/>
  <c r="C11" i="5"/>
  <c r="A11" i="5"/>
  <c r="H10" i="5"/>
  <c r="G10" i="5"/>
  <c r="A10" i="5"/>
  <c r="H9" i="5"/>
  <c r="G9" i="5"/>
  <c r="H8" i="5"/>
  <c r="G8" i="5"/>
  <c r="H7" i="5"/>
  <c r="G7" i="5"/>
  <c r="E7" i="5"/>
  <c r="D7" i="5"/>
  <c r="B7" i="5"/>
  <c r="H6" i="5"/>
  <c r="G6" i="5"/>
  <c r="E6" i="5"/>
  <c r="C6" i="5"/>
  <c r="B6" i="5"/>
  <c r="H5" i="5"/>
  <c r="G5" i="5"/>
  <c r="C5" i="5"/>
  <c r="A5" i="5"/>
  <c r="H4" i="5"/>
  <c r="G4" i="5"/>
  <c r="E4" i="5"/>
  <c r="A4" i="5"/>
  <c r="H3" i="5"/>
  <c r="G3" i="5"/>
  <c r="C3" i="5"/>
  <c r="H2" i="5"/>
  <c r="G2" i="5"/>
  <c r="F2" i="5"/>
  <c r="F81" i="5" s="1"/>
  <c r="E2" i="5"/>
  <c r="E24" i="5" s="1"/>
  <c r="D2" i="5"/>
  <c r="D80" i="5" s="1"/>
  <c r="C2" i="5"/>
  <c r="C19" i="5" s="1"/>
  <c r="B2" i="5"/>
  <c r="B23" i="5" s="1"/>
  <c r="A2" i="5"/>
  <c r="A79" i="5" s="1"/>
  <c r="I28" i="5" l="1"/>
  <c r="J28" i="5" s="1"/>
  <c r="I52" i="5"/>
  <c r="J52" i="5" s="1"/>
  <c r="I70" i="5"/>
  <c r="J70" i="5" s="1"/>
  <c r="I4" i="5"/>
  <c r="J4" i="5" s="1"/>
  <c r="I34" i="5"/>
  <c r="J34" i="5" s="1"/>
  <c r="I18" i="5"/>
  <c r="J18" i="5" s="1"/>
  <c r="I75" i="5"/>
  <c r="J75" i="5" s="1"/>
  <c r="I10" i="5"/>
  <c r="J10" i="5" s="1"/>
  <c r="I40" i="5"/>
  <c r="J40" i="5" s="1"/>
  <c r="I31" i="5"/>
  <c r="J31" i="5" s="1"/>
  <c r="I20" i="5"/>
  <c r="J20" i="5" s="1"/>
  <c r="F40" i="5"/>
  <c r="F44" i="5"/>
  <c r="F48" i="5"/>
  <c r="I48" i="5" s="1"/>
  <c r="J48" i="5" s="1"/>
  <c r="F56" i="5"/>
  <c r="F60" i="5"/>
  <c r="I60" i="5" s="1"/>
  <c r="J60" i="5" s="1"/>
  <c r="F64" i="5"/>
  <c r="I64" i="5" s="1"/>
  <c r="J64" i="5" s="1"/>
  <c r="F68" i="5"/>
  <c r="I68" i="5" s="1"/>
  <c r="J68" i="5" s="1"/>
  <c r="F72" i="5"/>
  <c r="I72" i="5" s="1"/>
  <c r="J72" i="5" s="1"/>
  <c r="F76" i="5"/>
  <c r="I76" i="5" s="1"/>
  <c r="J76" i="5" s="1"/>
  <c r="F80" i="5"/>
  <c r="I80" i="5" s="1"/>
  <c r="J80" i="5" s="1"/>
  <c r="B5" i="5"/>
  <c r="D6" i="5"/>
  <c r="F7" i="5"/>
  <c r="B11" i="5"/>
  <c r="D12" i="5"/>
  <c r="F13" i="5"/>
  <c r="B17" i="5"/>
  <c r="D18" i="5"/>
  <c r="F19" i="5"/>
  <c r="I19" i="5" s="1"/>
  <c r="J19" i="5" s="1"/>
  <c r="B22" i="5"/>
  <c r="E23" i="5"/>
  <c r="B26" i="5"/>
  <c r="D27" i="5"/>
  <c r="A30" i="5"/>
  <c r="D31" i="5"/>
  <c r="A34" i="5"/>
  <c r="D35" i="5"/>
  <c r="A38" i="5"/>
  <c r="D39" i="5"/>
  <c r="A42" i="5"/>
  <c r="D43" i="5"/>
  <c r="A46" i="5"/>
  <c r="D47" i="5"/>
  <c r="A50" i="5"/>
  <c r="D51" i="5"/>
  <c r="A54" i="5"/>
  <c r="D55" i="5"/>
  <c r="A58" i="5"/>
  <c r="D59" i="5"/>
  <c r="A62" i="5"/>
  <c r="D63" i="5"/>
  <c r="A66" i="5"/>
  <c r="D67" i="5"/>
  <c r="A70" i="5"/>
  <c r="D71" i="5"/>
  <c r="A74" i="5"/>
  <c r="D75" i="5"/>
  <c r="A78" i="5"/>
  <c r="D79" i="5"/>
  <c r="D23" i="5"/>
  <c r="F23" i="5"/>
  <c r="I23" i="5" s="1"/>
  <c r="J23" i="5" s="1"/>
  <c r="B4" i="5"/>
  <c r="B10" i="5"/>
  <c r="D11" i="5"/>
  <c r="F12" i="5"/>
  <c r="I12" i="5" s="1"/>
  <c r="J12" i="5" s="1"/>
  <c r="B16" i="5"/>
  <c r="I16" i="5" s="1"/>
  <c r="J16" i="5" s="1"/>
  <c r="D17" i="5"/>
  <c r="F18" i="5"/>
  <c r="A21" i="5"/>
  <c r="D22" i="5"/>
  <c r="A25" i="5"/>
  <c r="D26" i="5"/>
  <c r="F27" i="5"/>
  <c r="I27" i="5" s="1"/>
  <c r="J27" i="5" s="1"/>
  <c r="C30" i="5"/>
  <c r="I30" i="5" s="1"/>
  <c r="J30" i="5" s="1"/>
  <c r="F31" i="5"/>
  <c r="C34" i="5"/>
  <c r="F35" i="5"/>
  <c r="I35" i="5" s="1"/>
  <c r="J35" i="5" s="1"/>
  <c r="C38" i="5"/>
  <c r="I38" i="5" s="1"/>
  <c r="J38" i="5" s="1"/>
  <c r="F39" i="5"/>
  <c r="I39" i="5" s="1"/>
  <c r="J39" i="5" s="1"/>
  <c r="C42" i="5"/>
  <c r="I42" i="5" s="1"/>
  <c r="J42" i="5" s="1"/>
  <c r="F43" i="5"/>
  <c r="I43" i="5" s="1"/>
  <c r="J43" i="5" s="1"/>
  <c r="C46" i="5"/>
  <c r="I46" i="5" s="1"/>
  <c r="J46" i="5" s="1"/>
  <c r="F47" i="5"/>
  <c r="I47" i="5" s="1"/>
  <c r="J47" i="5" s="1"/>
  <c r="C50" i="5"/>
  <c r="I50" i="5" s="1"/>
  <c r="J50" i="5" s="1"/>
  <c r="F51" i="5"/>
  <c r="I51" i="5" s="1"/>
  <c r="J51" i="5" s="1"/>
  <c r="C54" i="5"/>
  <c r="I54" i="5" s="1"/>
  <c r="J54" i="5" s="1"/>
  <c r="F55" i="5"/>
  <c r="I55" i="5" s="1"/>
  <c r="J55" i="5" s="1"/>
  <c r="C58" i="5"/>
  <c r="I58" i="5" s="1"/>
  <c r="J58" i="5" s="1"/>
  <c r="F59" i="5"/>
  <c r="I59" i="5" s="1"/>
  <c r="J59" i="5" s="1"/>
  <c r="C62" i="5"/>
  <c r="I62" i="5" s="1"/>
  <c r="J62" i="5" s="1"/>
  <c r="F63" i="5"/>
  <c r="I63" i="5" s="1"/>
  <c r="J63" i="5" s="1"/>
  <c r="C66" i="5"/>
  <c r="I66" i="5" s="1"/>
  <c r="J66" i="5" s="1"/>
  <c r="F67" i="5"/>
  <c r="I67" i="5" s="1"/>
  <c r="J67" i="5" s="1"/>
  <c r="C70" i="5"/>
  <c r="F71" i="5"/>
  <c r="I71" i="5" s="1"/>
  <c r="J71" i="5" s="1"/>
  <c r="C74" i="5"/>
  <c r="I74" i="5" s="1"/>
  <c r="J74" i="5" s="1"/>
  <c r="F75" i="5"/>
  <c r="C78" i="5"/>
  <c r="I78" i="5" s="1"/>
  <c r="J78" i="5" s="1"/>
  <c r="F79" i="5"/>
  <c r="I79" i="5" s="1"/>
  <c r="J79" i="5" s="1"/>
  <c r="F32" i="5"/>
  <c r="I32" i="5" s="1"/>
  <c r="J32" i="5" s="1"/>
  <c r="D5" i="5"/>
  <c r="C4" i="5"/>
  <c r="A9" i="5"/>
  <c r="C10" i="5"/>
  <c r="E11" i="5"/>
  <c r="A15" i="5"/>
  <c r="C16" i="5"/>
  <c r="E17" i="5"/>
  <c r="B21" i="5"/>
  <c r="E22" i="5"/>
  <c r="B25" i="5"/>
  <c r="E26" i="5"/>
  <c r="A29" i="5"/>
  <c r="D30" i="5"/>
  <c r="A33" i="5"/>
  <c r="D34" i="5"/>
  <c r="A37" i="5"/>
  <c r="D38" i="5"/>
  <c r="A41" i="5"/>
  <c r="D42" i="5"/>
  <c r="A45" i="5"/>
  <c r="D46" i="5"/>
  <c r="A49" i="5"/>
  <c r="D50" i="5"/>
  <c r="A53" i="5"/>
  <c r="D54" i="5"/>
  <c r="A57" i="5"/>
  <c r="D58" i="5"/>
  <c r="A61" i="5"/>
  <c r="D62" i="5"/>
  <c r="A65" i="5"/>
  <c r="D66" i="5"/>
  <c r="A69" i="5"/>
  <c r="D70" i="5"/>
  <c r="A73" i="5"/>
  <c r="D74" i="5"/>
  <c r="A77" i="5"/>
  <c r="D78" i="5"/>
  <c r="A81" i="5"/>
  <c r="F8" i="5"/>
  <c r="F6" i="5"/>
  <c r="I6" i="5" s="1"/>
  <c r="J6" i="5" s="1"/>
  <c r="A3" i="5"/>
  <c r="E5" i="5"/>
  <c r="B3" i="5"/>
  <c r="D4" i="5"/>
  <c r="F5" i="5"/>
  <c r="I5" i="5" s="1"/>
  <c r="J5" i="5" s="1"/>
  <c r="B9" i="5"/>
  <c r="D10" i="5"/>
  <c r="F11" i="5"/>
  <c r="I11" i="5" s="1"/>
  <c r="J11" i="5" s="1"/>
  <c r="B15" i="5"/>
  <c r="D16" i="5"/>
  <c r="F17" i="5"/>
  <c r="I17" i="5" s="1"/>
  <c r="J17" i="5" s="1"/>
  <c r="C21" i="5"/>
  <c r="I21" i="5" s="1"/>
  <c r="J21" i="5" s="1"/>
  <c r="F22" i="5"/>
  <c r="I22" i="5" s="1"/>
  <c r="J22" i="5" s="1"/>
  <c r="C25" i="5"/>
  <c r="I25" i="5" s="1"/>
  <c r="J25" i="5" s="1"/>
  <c r="F26" i="5"/>
  <c r="I26" i="5" s="1"/>
  <c r="J26" i="5" s="1"/>
  <c r="B29" i="5"/>
  <c r="E30" i="5"/>
  <c r="B33" i="5"/>
  <c r="E34" i="5"/>
  <c r="B37" i="5"/>
  <c r="E38" i="5"/>
  <c r="B41" i="5"/>
  <c r="E42" i="5"/>
  <c r="B45" i="5"/>
  <c r="E46" i="5"/>
  <c r="B49" i="5"/>
  <c r="E50" i="5"/>
  <c r="B53" i="5"/>
  <c r="E54" i="5"/>
  <c r="B57" i="5"/>
  <c r="E58" i="5"/>
  <c r="B61" i="5"/>
  <c r="E62" i="5"/>
  <c r="B65" i="5"/>
  <c r="E66" i="5"/>
  <c r="B69" i="5"/>
  <c r="E70" i="5"/>
  <c r="B73" i="5"/>
  <c r="E74" i="5"/>
  <c r="B77" i="5"/>
  <c r="E78" i="5"/>
  <c r="B81" i="5"/>
  <c r="F52" i="5"/>
  <c r="A8" i="5"/>
  <c r="C9" i="5"/>
  <c r="I9" i="5" s="1"/>
  <c r="J9" i="5" s="1"/>
  <c r="E10" i="5"/>
  <c r="A14" i="5"/>
  <c r="C15" i="5"/>
  <c r="I15" i="5" s="1"/>
  <c r="J15" i="5" s="1"/>
  <c r="E16" i="5"/>
  <c r="A20" i="5"/>
  <c r="D21" i="5"/>
  <c r="A24" i="5"/>
  <c r="D25" i="5"/>
  <c r="C29" i="5"/>
  <c r="F30" i="5"/>
  <c r="C33" i="5"/>
  <c r="F34" i="5"/>
  <c r="C37" i="5"/>
  <c r="I37" i="5" s="1"/>
  <c r="J37" i="5" s="1"/>
  <c r="F38" i="5"/>
  <c r="C41" i="5"/>
  <c r="F42" i="5"/>
  <c r="C45" i="5"/>
  <c r="F46" i="5"/>
  <c r="C49" i="5"/>
  <c r="F50" i="5"/>
  <c r="C53" i="5"/>
  <c r="I53" i="5" s="1"/>
  <c r="J53" i="5" s="1"/>
  <c r="F54" i="5"/>
  <c r="C57" i="5"/>
  <c r="I57" i="5" s="1"/>
  <c r="J57" i="5" s="1"/>
  <c r="F58" i="5"/>
  <c r="C61" i="5"/>
  <c r="I61" i="5" s="1"/>
  <c r="J61" i="5" s="1"/>
  <c r="F62" i="5"/>
  <c r="C65" i="5"/>
  <c r="F66" i="5"/>
  <c r="C69" i="5"/>
  <c r="F70" i="5"/>
  <c r="C73" i="5"/>
  <c r="F74" i="5"/>
  <c r="C77" i="5"/>
  <c r="F78" i="5"/>
  <c r="C81" i="5"/>
  <c r="I81" i="5" s="1"/>
  <c r="J81" i="5" s="1"/>
  <c r="F20" i="5"/>
  <c r="D3" i="5"/>
  <c r="B8" i="5"/>
  <c r="D9" i="5"/>
  <c r="F10" i="5"/>
  <c r="B14" i="5"/>
  <c r="D15" i="5"/>
  <c r="F16" i="5"/>
  <c r="B20" i="5"/>
  <c r="E21" i="5"/>
  <c r="B24" i="5"/>
  <c r="E25" i="5"/>
  <c r="A28" i="5"/>
  <c r="D29" i="5"/>
  <c r="A32" i="5"/>
  <c r="D33" i="5"/>
  <c r="A36" i="5"/>
  <c r="D37" i="5"/>
  <c r="A40" i="5"/>
  <c r="D41" i="5"/>
  <c r="A44" i="5"/>
  <c r="D45" i="5"/>
  <c r="A48" i="5"/>
  <c r="D49" i="5"/>
  <c r="A52" i="5"/>
  <c r="D53" i="5"/>
  <c r="A56" i="5"/>
  <c r="D57" i="5"/>
  <c r="A60" i="5"/>
  <c r="D61" i="5"/>
  <c r="A64" i="5"/>
  <c r="D65" i="5"/>
  <c r="A68" i="5"/>
  <c r="D69" i="5"/>
  <c r="A72" i="5"/>
  <c r="D73" i="5"/>
  <c r="A76" i="5"/>
  <c r="D77" i="5"/>
  <c r="A80" i="5"/>
  <c r="D81" i="5"/>
  <c r="F14" i="5"/>
  <c r="F24" i="5"/>
  <c r="F28" i="5"/>
  <c r="F36" i="5"/>
  <c r="I36" i="5" s="1"/>
  <c r="J36" i="5" s="1"/>
  <c r="I2" i="5"/>
  <c r="J2" i="5" s="1"/>
  <c r="F4" i="5"/>
  <c r="E3" i="5"/>
  <c r="A7" i="5"/>
  <c r="C8" i="5"/>
  <c r="I8" i="5" s="1"/>
  <c r="J8" i="5" s="1"/>
  <c r="E9" i="5"/>
  <c r="A13" i="5"/>
  <c r="C14" i="5"/>
  <c r="E15" i="5"/>
  <c r="A19" i="5"/>
  <c r="C20" i="5"/>
  <c r="F21" i="5"/>
  <c r="C24" i="5"/>
  <c r="I24" i="5" s="1"/>
  <c r="J24" i="5" s="1"/>
  <c r="F25" i="5"/>
  <c r="B28" i="5"/>
  <c r="E29" i="5"/>
  <c r="B32" i="5"/>
  <c r="E33" i="5"/>
  <c r="B36" i="5"/>
  <c r="E37" i="5"/>
  <c r="B40" i="5"/>
  <c r="E41" i="5"/>
  <c r="B44" i="5"/>
  <c r="I44" i="5" s="1"/>
  <c r="J44" i="5" s="1"/>
  <c r="E45" i="5"/>
  <c r="B48" i="5"/>
  <c r="E49" i="5"/>
  <c r="B52" i="5"/>
  <c r="E53" i="5"/>
  <c r="B56" i="5"/>
  <c r="I56" i="5" s="1"/>
  <c r="J56" i="5" s="1"/>
  <c r="E57" i="5"/>
  <c r="B60" i="5"/>
  <c r="E61" i="5"/>
  <c r="B64" i="5"/>
  <c r="E65" i="5"/>
  <c r="B68" i="5"/>
  <c r="E69" i="5"/>
  <c r="B72" i="5"/>
  <c r="E73" i="5"/>
  <c r="B76" i="5"/>
  <c r="E77" i="5"/>
  <c r="B80" i="5"/>
  <c r="E81" i="5"/>
  <c r="F3" i="5"/>
  <c r="I3" i="5" s="1"/>
  <c r="J3" i="5" s="1"/>
  <c r="F9" i="5"/>
  <c r="F49" i="5"/>
  <c r="D8" i="5"/>
  <c r="D14" i="5"/>
  <c r="F15" i="5"/>
  <c r="D20" i="5"/>
  <c r="D24" i="5"/>
  <c r="F29" i="5"/>
  <c r="F33" i="5"/>
  <c r="F37" i="5"/>
  <c r="F41" i="5"/>
  <c r="F45" i="5"/>
  <c r="F53" i="5"/>
  <c r="F57" i="5"/>
  <c r="F61" i="5"/>
  <c r="F65" i="5"/>
  <c r="F69" i="5"/>
  <c r="F73" i="5"/>
  <c r="F77" i="5"/>
  <c r="A6" i="5"/>
  <c r="C7" i="5"/>
  <c r="I7" i="5" s="1"/>
  <c r="J7" i="5" s="1"/>
  <c r="E8" i="5"/>
  <c r="A12" i="5"/>
  <c r="C13" i="5"/>
  <c r="I13" i="5" s="1"/>
  <c r="J13" i="5" s="1"/>
  <c r="E14" i="5"/>
  <c r="A18" i="5"/>
  <c r="E20" i="5"/>
  <c r="A27" i="5"/>
  <c r="D28" i="5"/>
  <c r="A31" i="5"/>
  <c r="D32" i="5"/>
  <c r="A35" i="5"/>
  <c r="D36" i="5"/>
  <c r="A39" i="5"/>
  <c r="D40" i="5"/>
  <c r="A43" i="5"/>
  <c r="D44" i="5"/>
  <c r="A47" i="5"/>
  <c r="D48" i="5"/>
  <c r="A51" i="5"/>
  <c r="D52" i="5"/>
  <c r="A55" i="5"/>
  <c r="D56" i="5"/>
  <c r="A59" i="5"/>
  <c r="D60" i="5"/>
  <c r="A63" i="5"/>
  <c r="D64" i="5"/>
  <c r="A67" i="5"/>
  <c r="D68" i="5"/>
  <c r="A71" i="5"/>
  <c r="D72" i="5"/>
  <c r="A75" i="5"/>
  <c r="D76" i="5"/>
  <c r="I77" i="5" l="1"/>
  <c r="J77" i="5" s="1"/>
  <c r="I29" i="5"/>
  <c r="J29" i="5" s="1"/>
  <c r="I33" i="5"/>
  <c r="J33" i="5" s="1"/>
  <c r="I73" i="5"/>
  <c r="J73" i="5" s="1"/>
  <c r="I49" i="5"/>
  <c r="J49" i="5" s="1"/>
  <c r="I69" i="5"/>
  <c r="J69" i="5" s="1"/>
  <c r="I45" i="5"/>
  <c r="J45" i="5" s="1"/>
  <c r="I14" i="5"/>
  <c r="J14" i="5" s="1"/>
  <c r="I65" i="5"/>
  <c r="J65" i="5" s="1"/>
  <c r="I41" i="5"/>
  <c r="J41" i="5" s="1"/>
</calcChain>
</file>

<file path=xl/sharedStrings.xml><?xml version="1.0" encoding="utf-8"?>
<sst xmlns="http://schemas.openxmlformats.org/spreadsheetml/2006/main" count="350" uniqueCount="208">
  <si>
    <t>FORMATO
DATOS PRIMARIOS PARA EL ANÁLISIS DE DENSIDAD DE PLANCTON Y MACROINVERTEBRADOS BENTÓNICOS</t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</si>
  <si>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</si>
  <si>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</si>
  <si>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</si>
  <si>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Humberto Luis Quintana-M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</si>
  <si>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</si>
  <si>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Microscopio invertido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</si>
  <si>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</si>
  <si>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</si>
  <si>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</si>
  <si>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Leica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</si>
  <si>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</si>
  <si>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</si>
  <si>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</si>
  <si>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t>DMi1</t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</si>
  <si>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</si>
  <si>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Recuento cámara completa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</si>
  <si>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</si>
  <si>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</si>
  <si>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Serdwick-Rafter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</si>
  <si>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</si>
  <si>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84060000000000000032555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</si>
  <si>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</si>
  <si>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Expedición-pacifico S03 SP-EPS21-20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</si>
  <si>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</si>
  <si>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</si>
  <si>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</si>
  <si>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  ]   FITO [ X  ]</t>
  </si>
  <si>
    <t>X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</si>
  <si>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</si>
  <si>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t>20 L</t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</si>
  <si>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</si>
  <si>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</si>
  <si>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</si>
  <si>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t>BENTOS</t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</si>
  <si>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</si>
  <si>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</si>
  <si>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</si>
  <si>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</si>
  <si>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</si>
  <si>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</si>
  <si>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</si>
  <si>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</si>
  <si>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</si>
  <si>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</si>
  <si>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Chaetoceros affinis</t>
  </si>
  <si>
    <t>Ditylum brigthwelli</t>
  </si>
  <si>
    <t>Trieres chinenesis</t>
  </si>
  <si>
    <t>Protoperidinium pentagonal-falconiforma</t>
  </si>
  <si>
    <t>Skeletonema constatum</t>
  </si>
  <si>
    <t>Podolampas bipes</t>
  </si>
  <si>
    <t>Coscinodiscus gigas</t>
  </si>
  <si>
    <t>Tripos sp</t>
  </si>
  <si>
    <t>Probocia sp</t>
  </si>
  <si>
    <t>Guinardia flaccida</t>
  </si>
  <si>
    <t>Bacteriastrum delicatulum</t>
  </si>
  <si>
    <t>Tripos teres</t>
  </si>
  <si>
    <t>Chaetoceros diversus</t>
  </si>
  <si>
    <t>Goniodoma polyedra</t>
  </si>
  <si>
    <t>Lioloma elongatum</t>
  </si>
  <si>
    <t>Asteromphalus flabellatus</t>
  </si>
  <si>
    <t>Chaetoceros lorenzianus</t>
  </si>
  <si>
    <t>Protoperidinium pyriforme</t>
  </si>
  <si>
    <t>Tripos muelleri</t>
  </si>
  <si>
    <t>C</t>
  </si>
  <si>
    <t>Coscinodisus granii</t>
  </si>
  <si>
    <t>Chaetoceros brevis complex</t>
  </si>
  <si>
    <t>Hemiaulus sinensis</t>
  </si>
  <si>
    <t>Ceratocoris horrida</t>
  </si>
  <si>
    <t>Cianobacteria</t>
  </si>
  <si>
    <t>Chaetoceros danicus</t>
  </si>
  <si>
    <t>aff Dactiliosolen</t>
  </si>
  <si>
    <t>aff Surriliella</t>
  </si>
  <si>
    <t>Protoperidinium circular</t>
  </si>
  <si>
    <t>Lithodesmiun undulatum</t>
  </si>
  <si>
    <t>Rhizosolenia imbricata</t>
  </si>
  <si>
    <t>Phalacroma rapa</t>
  </si>
  <si>
    <t>0bservaciónes</t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</si>
  <si>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</si>
  <si>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t>Limpiar y verificar Goniodoma polyedra</t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</si>
  <si>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</si>
  <si>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</si>
  <si>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</si>
  <si>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</si>
  <si>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</si>
  <si>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</si>
  <si>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</si>
  <si>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</si>
  <si>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</si>
  <si>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</si>
  <si>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</si>
  <si>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</si>
  <si>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</si>
  <si>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</si>
  <si>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</si>
  <si>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</si>
  <si>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</si>
  <si>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</si>
  <si>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</si>
  <si>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</si>
  <si>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</si>
  <si>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</si>
  <si>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</si>
  <si>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</si>
  <si>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</si>
  <si>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</si>
  <si>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</si>
  <si>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</si>
  <si>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</si>
  <si>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</si>
  <si>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</si>
  <si>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</si>
  <si>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</si>
  <si>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</si>
  <si>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</si>
  <si>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</si>
  <si>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</si>
  <si>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</si>
  <si>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</si>
  <si>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</si>
  <si>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</si>
  <si>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</si>
  <si>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</si>
  <si>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</si>
  <si>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</si>
  <si>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</si>
  <si>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</si>
  <si>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</si>
  <si>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</si>
  <si>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</si>
  <si>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</si>
  <si>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</si>
  <si>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</si>
  <si>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</si>
  <si>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</si>
  <si>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</si>
  <si>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</si>
  <si>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</si>
  <si>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</si>
  <si>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</si>
  <si>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</si>
  <si>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</si>
  <si>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</si>
  <si>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</si>
  <si>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</si>
  <si>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</si>
  <si>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</si>
  <si>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</si>
  <si>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</si>
  <si>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</si>
  <si>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</si>
  <si>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t>004</t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</si>
  <si>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</si>
  <si>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Christian Bermúdez Rivas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</si>
  <si>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</si>
  <si>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Estereoscopio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</si>
  <si>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</si>
  <si>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</si>
  <si>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</si>
  <si>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Olympus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</si>
  <si>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</si>
  <si>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</si>
  <si>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</si>
  <si>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</si>
  <si>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Conteo Visual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</si>
  <si>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</si>
  <si>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t>4E41147</t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</si>
  <si>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</si>
  <si>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Cámara Bogorov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</si>
  <si>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</si>
  <si>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8004060000000000000021013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</si>
  <si>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</si>
  <si>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SP-20-0719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</si>
  <si>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</si>
  <si>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</si>
  <si>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</si>
  <si>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X  ]   FITO [   ]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</si>
  <si>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</si>
  <si>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</si>
  <si>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t>-</t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</si>
  <si>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</si>
  <si>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</si>
  <si>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</si>
  <si>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</si>
  <si>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</si>
  <si>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</si>
  <si>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</si>
  <si>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</si>
  <si>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</si>
  <si>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</si>
  <si>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</si>
  <si>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</si>
  <si>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Larvas de peces</t>
  </si>
  <si>
    <r>
      <rPr>
        <b/>
        <sz val="9"/>
        <color theme="1"/>
        <rFont val="Arial"/>
        <family val="2"/>
      </rPr>
      <t xml:space="preserve">OBSERVACIONES
</t>
    </r>
    <r>
      <rPr>
        <i/>
        <sz val="9"/>
        <color rgb="FF7F7F7F"/>
        <rFont val="Arial"/>
        <family val="2"/>
      </rPr>
      <t>Comments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</si>
  <si>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</si>
  <si>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</si>
  <si>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</si>
  <si>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</si>
  <si>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</si>
  <si>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</si>
  <si>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</si>
  <si>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</si>
  <si>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</si>
  <si>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</si>
  <si>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</si>
  <si>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</si>
  <si>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Volumen Filtrado</t>
  </si>
  <si>
    <t>#REF!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</si>
</sst>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0.0000"/>
    <numFmt numFmtId="166" formatCode="0.0"/>
  </numFmts>
  <fonts count="21" x14ac:knownFonts="1">
    <font>
      <sz val="10"/>
      <color rgb="FF000000"/>
      <name val="Arial"/>
    </font>
    <font>
      <b/>
      <sz val="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FF000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0"/>
      <color rgb="FF202122"/>
      <name val="Arial"/>
      <family val="2"/>
    </font>
    <font>
      <i/>
      <sz val="11"/>
      <color theme="1"/>
      <name val="Calibri"/>
      <family val="2"/>
    </font>
    <font>
      <sz val="8"/>
      <color rgb="FF808080"/>
      <name val="Times New Roman"/>
      <family val="1"/>
    </font>
    <font>
      <i/>
      <sz val="9"/>
      <color rgb="FF969696"/>
      <name val="Arial"/>
      <family val="2"/>
    </font>
    <font>
      <b/>
      <sz val="8"/>
      <color theme="1"/>
      <name val="Arial"/>
      <family val="2"/>
    </font>
    <font>
      <i/>
      <sz val="8"/>
      <color rgb="FF969696"/>
      <name val="Arial"/>
      <family val="2"/>
    </font>
    <font>
      <i/>
      <sz val="10"/>
      <color rgb="FF969696"/>
      <name val="Arial"/>
      <family val="2"/>
    </font>
    <font>
      <b/>
      <vertAlign val="superscript"/>
      <sz val="9"/>
      <color theme="1"/>
      <name val="Arial"/>
      <family val="2"/>
    </font>
    <font>
      <i/>
      <sz val="9"/>
      <color rgb="FF7F7F7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</fills>
  <borders count="16">
    <border>
      <left/>
      <right/>
      <top/>
      <bottom/>
      <diagonal/>
    </border>
    <border>
      <left style="hair">
        <color rgb="FF7F7F7F"/>
      </left>
      <right/>
      <top/>
      <bottom style="hair">
        <color rgb="FF7F7F7F"/>
      </bottom>
      <diagonal/>
    </border>
    <border>
      <left/>
      <right/>
      <top/>
      <bottom style="hair">
        <color rgb="FF7F7F7F"/>
      </bottom>
      <diagonal/>
    </border>
    <border>
      <left style="hair">
        <color rgb="FF7F7F7F"/>
      </left>
      <right/>
      <top/>
      <bottom/>
      <diagonal/>
    </border>
    <border>
      <left/>
      <right/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thin">
        <color rgb="FF000000"/>
      </left>
      <right/>
      <top/>
      <bottom/>
      <diagonal/>
    </border>
    <border>
      <left style="hair">
        <color rgb="FF7F7F7F"/>
      </left>
      <right/>
      <top style="hair">
        <color rgb="FF7F7F7F"/>
      </top>
      <bottom/>
      <diagonal/>
    </border>
    <border>
      <left/>
      <right/>
      <top style="hair">
        <color rgb="FF7F7F7F"/>
      </top>
      <bottom/>
      <diagonal/>
    </border>
    <border>
      <left/>
      <right style="hair">
        <color rgb="FF7F7F7F"/>
      </right>
      <top style="hair">
        <color rgb="FF7F7F7F"/>
      </top>
      <bottom/>
      <diagonal/>
    </border>
    <border>
      <left/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horizontal="center" vertical="top" wrapText="1"/>
    </xf>
    <xf numFmtId="0" fontId="2" fillId="0" borderId="0" xfId="0" applyFont="1"/>
    <xf numFmtId="49" fontId="2" fillId="0" borderId="0" xfId="0" applyNumberFormat="1" applyFont="1"/>
    <xf numFmtId="0" fontId="6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8" fillId="3" borderId="9" xfId="0" applyFont="1" applyFill="1" applyBorder="1" applyAlignment="1">
      <alignment horizontal="right" vertical="center" wrapText="1"/>
    </xf>
    <xf numFmtId="0" fontId="10" fillId="0" borderId="0" xfId="0" applyFont="1" applyAlignment="1">
      <alignment vertical="center"/>
    </xf>
    <xf numFmtId="0" fontId="2" fillId="0" borderId="9" xfId="0" applyFont="1" applyBorder="1"/>
    <xf numFmtId="49" fontId="2" fillId="0" borderId="9" xfId="0" applyNumberFormat="1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right" vertical="center" wrapText="1"/>
    </xf>
    <xf numFmtId="0" fontId="11" fillId="0" borderId="0" xfId="0" applyFont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2" fontId="2" fillId="0" borderId="0" xfId="0" applyNumberFormat="1" applyFont="1"/>
    <xf numFmtId="1" fontId="2" fillId="0" borderId="0" xfId="0" applyNumberFormat="1" applyFont="1"/>
    <xf numFmtId="1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1" fillId="3" borderId="5" xfId="0" applyFont="1" applyFill="1" applyBorder="1" applyAlignment="1">
      <alignment horizontal="right" vertical="center" wrapText="1"/>
    </xf>
    <xf numFmtId="0" fontId="4" fillId="0" borderId="6" xfId="0" applyFont="1" applyBorder="1"/>
    <xf numFmtId="0" fontId="4" fillId="0" borderId="8" xfId="0" applyFont="1" applyBorder="1"/>
    <xf numFmtId="0" fontId="2" fillId="0" borderId="5" xfId="0" applyFont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3" fillId="3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left" vertical="center"/>
    </xf>
    <xf numFmtId="165" fontId="2" fillId="0" borderId="5" xfId="0" applyNumberFormat="1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wrapText="1"/>
    </xf>
    <xf numFmtId="0" fontId="13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5" fillId="3" borderId="5" xfId="0" applyFont="1" applyFill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/>
    </xf>
    <xf numFmtId="0" fontId="4" fillId="0" borderId="12" xfId="0" applyFont="1" applyBorder="1"/>
    <xf numFmtId="0" fontId="4" fillId="0" borderId="13" xfId="0" applyFont="1" applyBorder="1"/>
    <xf numFmtId="0" fontId="4" fillId="0" borderId="3" xfId="0" applyFont="1" applyBorder="1"/>
    <xf numFmtId="0" fontId="4" fillId="0" borderId="14" xfId="0" applyFont="1" applyBorder="1"/>
    <xf numFmtId="0" fontId="2" fillId="0" borderId="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4" fillId="0" borderId="15" xfId="0" applyFont="1" applyBorder="1"/>
    <xf numFmtId="0" fontId="2" fillId="0" borderId="11" xfId="0" applyFont="1" applyBorder="1" applyAlignment="1">
      <alignment horizontal="center"/>
    </xf>
    <xf numFmtId="0" fontId="1" fillId="0" borderId="0" xfId="0" applyFont="1" applyAlignment="1">
      <alignment horizontal="center" vertical="top" wrapText="1"/>
    </xf>
    <xf numFmtId="0" fontId="3" fillId="0" borderId="1" xfId="0" applyFont="1" applyBorder="1" applyAlignment="1">
      <alignment horizontal="left" vertical="center" wrapText="1"/>
    </xf>
    <xf numFmtId="0" fontId="4" fillId="0" borderId="2" xfId="0" applyFont="1" applyBorder="1"/>
    <xf numFmtId="0" fontId="5" fillId="0" borderId="3" xfId="0" applyFont="1" applyBorder="1" applyAlignment="1">
      <alignment horizontal="left" vertical="center" wrapText="1"/>
    </xf>
    <xf numFmtId="0" fontId="4" fillId="0" borderId="7" xfId="0" applyFont="1" applyBorder="1"/>
    <xf numFmtId="49" fontId="2" fillId="0" borderId="5" xfId="0" applyNumberFormat="1" applyFont="1" applyBorder="1" applyAlignment="1">
      <alignment horizontal="center" vertical="center" wrapText="1"/>
    </xf>
    <xf numFmtId="0" fontId="7" fillId="3" borderId="5" xfId="0" applyFont="1" applyFill="1" applyBorder="1" applyAlignment="1">
      <alignment horizontal="right" vertical="center" wrapText="1"/>
    </xf>
    <xf numFmtId="0" fontId="3" fillId="3" borderId="5" xfId="0" applyFont="1" applyFill="1" applyBorder="1" applyAlignment="1">
      <alignment horizontal="right" vertical="center" wrapText="1"/>
    </xf>
    <xf numFmtId="164" fontId="2" fillId="0" borderId="5" xfId="0" applyNumberFormat="1" applyFont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20" fontId="2" fillId="0" borderId="5" xfId="0" applyNumberFormat="1" applyFont="1" applyBorder="1" applyAlignment="1">
      <alignment horizontal="center" vertical="center" wrapText="1"/>
    </xf>
    <xf numFmtId="49" fontId="2" fillId="3" borderId="5" xfId="0" applyNumberFormat="1" applyFont="1" applyFill="1" applyBorder="1" applyAlignment="1">
      <alignment horizontal="right" vertical="center" wrapText="1"/>
    </xf>
    <xf numFmtId="49" fontId="9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11" fontId="2" fillId="0" borderId="5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3"/>
  <dimension ref="A1:AC1000"/>
  <sheetViews>
    <sheetView showGridLines="0" tabSelected="1" topLeftCell="A5" workbookViewId="0">
      <selection activeCell="A27" sqref="A27:H37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1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2</v>
      </c>
      <c r="B4" s="28"/>
      <c r="C4" s="28"/>
      <c r="D4" s="28"/>
      <c r="E4" s="28"/>
      <c r="F4" s="57"/>
      <c r="G4" s="58"/>
      <c r="H4" s="28"/>
      <c r="I4" s="28"/>
      <c r="J4" s="28"/>
      <c r="K4" s="28"/>
      <c r="L4" s="28"/>
      <c r="M4" s="29"/>
      <c r="N4" s="59" t="s">
        <v>3</v>
      </c>
      <c r="O4" s="28"/>
      <c r="P4" s="28"/>
      <c r="Q4" s="28"/>
      <c r="R4" s="28"/>
      <c r="S4" s="28"/>
      <c r="T4" s="29"/>
      <c r="U4" s="30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5</v>
      </c>
      <c r="B5" s="28"/>
      <c r="C5" s="28"/>
      <c r="D5" s="28"/>
      <c r="E5" s="28"/>
      <c r="F5" s="57"/>
      <c r="G5" s="30" t="s">
        <v>6</v>
      </c>
      <c r="H5" s="28"/>
      <c r="I5" s="28"/>
      <c r="J5" s="28"/>
      <c r="K5" s="28"/>
      <c r="L5" s="28"/>
      <c r="M5" s="29"/>
      <c r="N5" s="32" t="s">
        <v>7</v>
      </c>
      <c r="O5" s="28"/>
      <c r="P5" s="28"/>
      <c r="Q5" s="28"/>
      <c r="R5" s="28"/>
      <c r="S5" s="28"/>
      <c r="T5" s="29"/>
      <c r="U5" s="61">
        <v>44433</v>
      </c>
      <c r="V5" s="28"/>
      <c r="W5" s="29"/>
      <c r="X5" s="6" t="s">
        <v>8</v>
      </c>
      <c r="Y5" s="64">
        <v>0.60416666666666663</v>
      </c>
      <c r="Z5" s="28"/>
      <c r="AA5" s="28"/>
      <c r="AB5" s="29"/>
      <c r="AC5" s="2"/>
    </row>
    <row r="6" spans="1:29" ht="24" customHeight="1" x14ac:dyDescent="0.2">
      <c r="A6" s="65" t="s">
        <v>9</v>
      </c>
      <c r="B6" s="28"/>
      <c r="C6" s="28"/>
      <c r="D6" s="28"/>
      <c r="E6" s="28"/>
      <c r="F6" s="57"/>
      <c r="G6" s="30" t="s">
        <v>10</v>
      </c>
      <c r="H6" s="28"/>
      <c r="I6" s="28"/>
      <c r="J6" s="28"/>
      <c r="K6" s="28"/>
      <c r="L6" s="28"/>
      <c r="M6" s="29"/>
      <c r="N6" s="60" t="s">
        <v>11</v>
      </c>
      <c r="O6" s="28"/>
      <c r="P6" s="28"/>
      <c r="Q6" s="28"/>
      <c r="R6" s="28"/>
      <c r="S6" s="28"/>
      <c r="T6" s="29"/>
      <c r="U6" s="61">
        <v>44433</v>
      </c>
      <c r="V6" s="28"/>
      <c r="W6" s="29"/>
      <c r="X6" s="6" t="s">
        <v>12</v>
      </c>
      <c r="Y6" s="64">
        <v>0.62152777777777779</v>
      </c>
      <c r="Z6" s="28"/>
      <c r="AA6" s="28"/>
      <c r="AB6" s="29"/>
      <c r="AC6" s="2"/>
    </row>
    <row r="7" spans="1:29" ht="24" customHeight="1" x14ac:dyDescent="0.2">
      <c r="A7" s="32" t="s">
        <v>13</v>
      </c>
      <c r="B7" s="28"/>
      <c r="C7" s="28"/>
      <c r="D7" s="28"/>
      <c r="E7" s="28"/>
      <c r="F7" s="57"/>
      <c r="G7" s="30" t="s">
        <v>14</v>
      </c>
      <c r="H7" s="28"/>
      <c r="I7" s="28"/>
      <c r="J7" s="28"/>
      <c r="K7" s="28"/>
      <c r="L7" s="28"/>
      <c r="M7" s="29"/>
      <c r="N7" s="32" t="s">
        <v>15</v>
      </c>
      <c r="O7" s="28"/>
      <c r="P7" s="28"/>
      <c r="Q7" s="28"/>
      <c r="R7" s="28"/>
      <c r="S7" s="28"/>
      <c r="T7" s="29"/>
      <c r="U7" s="62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17</v>
      </c>
      <c r="B8" s="28"/>
      <c r="C8" s="28"/>
      <c r="D8" s="28"/>
      <c r="E8" s="28"/>
      <c r="F8" s="57"/>
      <c r="G8" s="30">
        <v>514059</v>
      </c>
      <c r="H8" s="28"/>
      <c r="I8" s="28"/>
      <c r="J8" s="28"/>
      <c r="K8" s="28"/>
      <c r="L8" s="28"/>
      <c r="M8" s="29"/>
      <c r="N8" s="32" t="s">
        <v>18</v>
      </c>
      <c r="O8" s="28"/>
      <c r="P8" s="28"/>
      <c r="Q8" s="28"/>
      <c r="R8" s="28"/>
      <c r="S8" s="28"/>
      <c r="T8" s="29"/>
      <c r="U8" s="63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20</v>
      </c>
      <c r="B9" s="28"/>
      <c r="C9" s="28"/>
      <c r="D9" s="28"/>
      <c r="E9" s="28"/>
      <c r="F9" s="57"/>
      <c r="G9" s="66" t="s">
        <v>21</v>
      </c>
      <c r="H9" s="28"/>
      <c r="I9" s="28"/>
      <c r="J9" s="28"/>
      <c r="K9" s="28"/>
      <c r="L9" s="28"/>
      <c r="M9" s="29"/>
      <c r="N9" s="32" t="s">
        <v>22</v>
      </c>
      <c r="O9" s="28"/>
      <c r="P9" s="28"/>
      <c r="Q9" s="28"/>
      <c r="R9" s="28"/>
      <c r="S9" s="28"/>
      <c r="T9" s="29"/>
      <c r="U9" s="30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24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25</v>
      </c>
      <c r="O11" s="28"/>
      <c r="P11" s="28"/>
      <c r="Q11" s="28"/>
      <c r="R11" s="29"/>
      <c r="S11" s="30"/>
      <c r="T11" s="29"/>
      <c r="U11" s="32" t="s">
        <v>26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27</v>
      </c>
      <c r="B13" s="28"/>
      <c r="C13" s="28"/>
      <c r="D13" s="28"/>
      <c r="E13" s="29"/>
      <c r="F13" s="9" t="s">
        <v>28</v>
      </c>
      <c r="G13" s="27" t="s">
        <v>29</v>
      </c>
      <c r="H13" s="28"/>
      <c r="I13" s="29"/>
      <c r="J13" s="38" t="s">
        <v>30</v>
      </c>
      <c r="K13" s="29"/>
      <c r="L13" s="27" t="s">
        <v>31</v>
      </c>
      <c r="M13" s="28"/>
      <c r="N13" s="29"/>
      <c r="O13" s="30">
        <v>0</v>
      </c>
      <c r="P13" s="28"/>
      <c r="Q13" s="29"/>
      <c r="R13" s="27" t="s">
        <v>32</v>
      </c>
      <c r="S13" s="28"/>
      <c r="T13" s="29"/>
      <c r="U13" s="30">
        <v>1</v>
      </c>
      <c r="V13" s="29"/>
      <c r="W13" s="27" t="s">
        <v>33</v>
      </c>
      <c r="X13" s="28"/>
      <c r="Y13" s="28"/>
      <c r="Z13" s="29"/>
      <c r="AA13" s="30">
        <v>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35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36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37</v>
      </c>
      <c r="B17" s="28"/>
      <c r="C17" s="28"/>
      <c r="D17" s="28"/>
      <c r="E17" s="28"/>
      <c r="F17" s="29"/>
      <c r="G17" s="36" t="s">
        <v>38</v>
      </c>
      <c r="H17" s="28"/>
      <c r="I17" s="29"/>
      <c r="J17" s="36" t="s">
        <v>39</v>
      </c>
      <c r="K17" s="28"/>
      <c r="L17" s="29"/>
      <c r="M17" s="36" t="s">
        <v>40</v>
      </c>
      <c r="N17" s="28"/>
      <c r="O17" s="29"/>
      <c r="P17" s="36" t="s">
        <v>41</v>
      </c>
      <c r="Q17" s="28"/>
      <c r="R17" s="28"/>
      <c r="S17" s="29"/>
      <c r="T17" s="36" t="s">
        <v>42</v>
      </c>
      <c r="U17" s="28"/>
      <c r="V17" s="29"/>
      <c r="W17" s="36" t="s">
        <v>43</v>
      </c>
      <c r="X17" s="28"/>
      <c r="Y17" s="29"/>
      <c r="Z17" s="36" t="s">
        <v>44</v>
      </c>
      <c r="AA17" s="28"/>
      <c r="AB17" s="29"/>
      <c r="AC17" s="2"/>
    </row>
    <row r="18" spans="1:29" ht="15" customHeight="1" x14ac:dyDescent="0.2">
      <c r="A18" s="41" t="s">
        <v>45</v>
      </c>
      <c r="B18" s="28"/>
      <c r="C18" s="28"/>
      <c r="D18" s="28"/>
      <c r="E18" s="28"/>
      <c r="F18" s="29"/>
      <c r="G18" s="8"/>
      <c r="H18" s="8">
        <v>5</v>
      </c>
      <c r="I18" s="8"/>
      <c r="J18" s="37" t="s">
        <v>46</v>
      </c>
      <c r="K18" s="28"/>
      <c r="L18" s="29"/>
      <c r="M18" s="8"/>
      <c r="N18" s="8">
        <v>0</v>
      </c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/>
      <c r="B19" s="28"/>
      <c r="C19" s="28"/>
      <c r="D19" s="28"/>
      <c r="E19" s="28"/>
      <c r="F19" s="29"/>
      <c r="G19" s="8"/>
      <c r="H19" s="8"/>
      <c r="I19" s="8"/>
      <c r="J19" s="37" t="s">
        <v>48</v>
      </c>
      <c r="K19" s="28"/>
      <c r="L19" s="29"/>
      <c r="M19" s="8"/>
      <c r="N19" s="8">
        <v>0</v>
      </c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 t="s">
        <v>49</v>
      </c>
      <c r="B20" s="28"/>
      <c r="C20" s="28"/>
      <c r="D20" s="28"/>
      <c r="E20" s="28"/>
      <c r="F20" s="29"/>
      <c r="G20" s="8"/>
      <c r="H20" s="8">
        <v>88</v>
      </c>
      <c r="I20" s="8"/>
      <c r="J20" s="37" t="s">
        <v>50</v>
      </c>
      <c r="K20" s="28"/>
      <c r="L20" s="29"/>
      <c r="M20" s="8"/>
      <c r="N20" s="8">
        <v>0</v>
      </c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/>
      <c r="B21" s="28"/>
      <c r="C21" s="28"/>
      <c r="D21" s="28"/>
      <c r="E21" s="28"/>
      <c r="F21" s="29"/>
      <c r="G21" s="8"/>
      <c r="H21" s="8"/>
      <c r="I21" s="8"/>
      <c r="J21" s="37" t="s">
        <v>52</v>
      </c>
      <c r="K21" s="28"/>
      <c r="L21" s="29"/>
      <c r="M21" s="8"/>
      <c r="N21" s="8">
        <v>0</v>
      </c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/>
      <c r="B22" s="28"/>
      <c r="C22" s="28"/>
      <c r="D22" s="28"/>
      <c r="E22" s="28"/>
      <c r="F22" s="29"/>
      <c r="G22" s="8"/>
      <c r="H22" s="8"/>
      <c r="I22" s="8"/>
      <c r="J22" s="37" t="s">
        <v>54</v>
      </c>
      <c r="K22" s="28"/>
      <c r="L22" s="29"/>
      <c r="M22" s="8"/>
      <c r="N22" s="8">
        <v>0</v>
      </c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/>
      <c r="B23" s="28"/>
      <c r="C23" s="28"/>
      <c r="D23" s="28"/>
      <c r="E23" s="28"/>
      <c r="F23" s="29"/>
      <c r="G23" s="8"/>
      <c r="H23" s="8"/>
      <c r="I23" s="8"/>
      <c r="J23" s="37" t="s">
        <v>56</v>
      </c>
      <c r="K23" s="28"/>
      <c r="L23" s="29"/>
      <c r="M23" s="8"/>
      <c r="N23" s="8">
        <v>0</v>
      </c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 t="s">
        <v>57</v>
      </c>
      <c r="B24" s="28"/>
      <c r="C24" s="28"/>
      <c r="D24" s="28"/>
      <c r="E24" s="28"/>
      <c r="F24" s="29"/>
      <c r="G24" s="8"/>
      <c r="H24" s="8">
        <v>6</v>
      </c>
      <c r="I24" s="8"/>
      <c r="J24" s="37" t="s">
        <v>58</v>
      </c>
      <c r="K24" s="28"/>
      <c r="L24" s="29"/>
      <c r="M24" s="8"/>
      <c r="N24" s="8">
        <v>0</v>
      </c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/>
      <c r="B25" s="28"/>
      <c r="C25" s="28"/>
      <c r="D25" s="28"/>
      <c r="E25" s="28"/>
      <c r="F25" s="29"/>
      <c r="G25" s="8"/>
      <c r="H25" s="8"/>
      <c r="I25" s="8"/>
      <c r="J25" s="37" t="s">
        <v>60</v>
      </c>
      <c r="K25" s="28"/>
      <c r="L25" s="29"/>
      <c r="M25" s="8"/>
      <c r="N25" s="8">
        <v>0</v>
      </c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 t="s">
        <v>61</v>
      </c>
      <c r="B26" s="28"/>
      <c r="C26" s="28"/>
      <c r="D26" s="28"/>
      <c r="E26" s="28"/>
      <c r="F26" s="29"/>
      <c r="G26" s="8"/>
      <c r="H26" s="8">
        <v>8</v>
      </c>
      <c r="I26" s="8"/>
      <c r="J26" s="37" t="s">
        <v>62</v>
      </c>
      <c r="K26" s="28"/>
      <c r="L26" s="29"/>
      <c r="M26" s="8"/>
      <c r="N26" s="8">
        <v>0</v>
      </c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/>
      <c r="B27" s="28"/>
      <c r="C27" s="28"/>
      <c r="D27" s="28"/>
      <c r="E27" s="28"/>
      <c r="F27" s="29"/>
      <c r="G27" s="8"/>
      <c r="H27" s="8"/>
      <c r="I27" s="8"/>
      <c r="J27" s="37" t="s">
        <v>65</v>
      </c>
      <c r="K27" s="28"/>
      <c r="L27" s="29"/>
      <c r="M27" s="8"/>
      <c r="N27" s="8">
        <v>0</v>
      </c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/>
      <c r="B28" s="28"/>
      <c r="C28" s="28"/>
      <c r="D28" s="28"/>
      <c r="E28" s="28"/>
      <c r="F28" s="29"/>
      <c r="G28" s="8"/>
      <c r="H28" s="8"/>
      <c r="I28" s="8"/>
      <c r="J28" s="37" t="s">
        <v>67</v>
      </c>
      <c r="K28" s="28"/>
      <c r="L28" s="29"/>
      <c r="M28" s="8"/>
      <c r="N28" s="8">
        <v>2</v>
      </c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/>
      <c r="B29" s="28"/>
      <c r="C29" s="28"/>
      <c r="D29" s="28"/>
      <c r="E29" s="28"/>
      <c r="F29" s="29"/>
      <c r="G29" s="8"/>
      <c r="H29" s="8"/>
      <c r="I29" s="8"/>
      <c r="J29" s="37" t="s">
        <v>68</v>
      </c>
      <c r="K29" s="28"/>
      <c r="L29" s="29"/>
      <c r="M29" s="8"/>
      <c r="N29" s="8">
        <v>1</v>
      </c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/>
      <c r="B30" s="28"/>
      <c r="C30" s="28"/>
      <c r="D30" s="28"/>
      <c r="E30" s="28"/>
      <c r="F30" s="29"/>
      <c r="G30" s="8"/>
      <c r="H30" s="8"/>
      <c r="I30" s="8"/>
      <c r="J30" s="37"/>
      <c r="K30" s="28"/>
      <c r="L30" s="29"/>
      <c r="M30" s="8"/>
      <c r="N30" s="8"/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/>
      <c r="B31" s="28"/>
      <c r="C31" s="28"/>
      <c r="D31" s="28"/>
      <c r="E31" s="28"/>
      <c r="F31" s="29"/>
      <c r="G31" s="8"/>
      <c r="H31" s="8"/>
      <c r="I31" s="8"/>
      <c r="J31" s="37"/>
      <c r="K31" s="28"/>
      <c r="L31" s="29"/>
      <c r="M31" s="8"/>
      <c r="N31" s="8"/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/>
      <c r="B32" s="28"/>
      <c r="C32" s="28"/>
      <c r="D32" s="28"/>
      <c r="E32" s="28"/>
      <c r="F32" s="29"/>
      <c r="G32" s="8"/>
      <c r="H32" s="8"/>
      <c r="I32" s="8"/>
      <c r="J32" s="37"/>
      <c r="K32" s="28"/>
      <c r="L32" s="29"/>
      <c r="M32" s="8"/>
      <c r="N32" s="8"/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/>
      <c r="B33" s="28"/>
      <c r="C33" s="28"/>
      <c r="D33" s="28"/>
      <c r="E33" s="28"/>
      <c r="F33" s="29"/>
      <c r="G33" s="8"/>
      <c r="H33" s="8"/>
      <c r="I33" s="8"/>
      <c r="J33" s="42"/>
      <c r="K33" s="28"/>
      <c r="L33" s="29"/>
      <c r="M33" s="8"/>
      <c r="N33" s="8"/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/>
      <c r="B34" s="28"/>
      <c r="C34" s="28"/>
      <c r="D34" s="28"/>
      <c r="E34" s="28"/>
      <c r="F34" s="29"/>
      <c r="G34" s="8"/>
      <c r="H34" s="8"/>
      <c r="I34" s="8"/>
      <c r="J34" s="37"/>
      <c r="K34" s="28"/>
      <c r="L34" s="29"/>
      <c r="M34" s="8"/>
      <c r="N34" s="8"/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/>
      <c r="B35" s="28"/>
      <c r="C35" s="28"/>
      <c r="D35" s="28"/>
      <c r="E35" s="28"/>
      <c r="F35" s="29"/>
      <c r="G35" s="8"/>
      <c r="H35" s="8"/>
      <c r="I35" s="8"/>
      <c r="J35" s="37"/>
      <c r="K35" s="28"/>
      <c r="L35" s="29"/>
      <c r="M35" s="8"/>
      <c r="N35" s="8"/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/>
      <c r="I36" s="8"/>
      <c r="J36" s="42"/>
      <c r="K36" s="28"/>
      <c r="L36" s="29"/>
      <c r="M36" s="8"/>
      <c r="N36" s="8"/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/>
      <c r="I37" s="8"/>
      <c r="J37" s="42"/>
      <c r="K37" s="28"/>
      <c r="L37" s="29"/>
      <c r="M37" s="8"/>
      <c r="N37" s="8"/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77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78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 t="s">
        <v>79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80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2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81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82</v>
      </c>
      <c r="B4" s="28"/>
      <c r="C4" s="28"/>
      <c r="D4" s="28"/>
      <c r="E4" s="28"/>
      <c r="F4" s="57"/>
      <c r="G4" s="58"/>
      <c r="H4" s="28"/>
      <c r="I4" s="28"/>
      <c r="J4" s="28"/>
      <c r="K4" s="28"/>
      <c r="L4" s="28"/>
      <c r="M4" s="29"/>
      <c r="N4" s="59" t="s">
        <v>83</v>
      </c>
      <c r="O4" s="28"/>
      <c r="P4" s="28"/>
      <c r="Q4" s="28"/>
      <c r="R4" s="28"/>
      <c r="S4" s="28"/>
      <c r="T4" s="29"/>
      <c r="U4" s="30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84</v>
      </c>
      <c r="B5" s="28"/>
      <c r="C5" s="28"/>
      <c r="D5" s="28"/>
      <c r="E5" s="28"/>
      <c r="F5" s="57"/>
      <c r="G5" s="30" t="s">
        <v>6</v>
      </c>
      <c r="H5" s="28"/>
      <c r="I5" s="28"/>
      <c r="J5" s="28"/>
      <c r="K5" s="28"/>
      <c r="L5" s="28"/>
      <c r="M5" s="29"/>
      <c r="N5" s="32" t="s">
        <v>85</v>
      </c>
      <c r="O5" s="28"/>
      <c r="P5" s="28"/>
      <c r="Q5" s="28"/>
      <c r="R5" s="28"/>
      <c r="S5" s="28"/>
      <c r="T5" s="29"/>
      <c r="U5" s="61">
        <v>44433</v>
      </c>
      <c r="V5" s="28"/>
      <c r="W5" s="29"/>
      <c r="X5" s="6" t="s">
        <v>86</v>
      </c>
      <c r="Y5" s="64">
        <v>0.60416666666666663</v>
      </c>
      <c r="Z5" s="28"/>
      <c r="AA5" s="28"/>
      <c r="AB5" s="29"/>
      <c r="AC5" s="2"/>
    </row>
    <row r="6" spans="1:29" ht="24" customHeight="1" x14ac:dyDescent="0.2">
      <c r="A6" s="65" t="s">
        <v>87</v>
      </c>
      <c r="B6" s="28"/>
      <c r="C6" s="28"/>
      <c r="D6" s="28"/>
      <c r="E6" s="28"/>
      <c r="F6" s="57"/>
      <c r="G6" s="30" t="s">
        <v>10</v>
      </c>
      <c r="H6" s="28"/>
      <c r="I6" s="28"/>
      <c r="J6" s="28"/>
      <c r="K6" s="28"/>
      <c r="L6" s="28"/>
      <c r="M6" s="29"/>
      <c r="N6" s="60" t="s">
        <v>88</v>
      </c>
      <c r="O6" s="28"/>
      <c r="P6" s="28"/>
      <c r="Q6" s="28"/>
      <c r="R6" s="28"/>
      <c r="S6" s="28"/>
      <c r="T6" s="29"/>
      <c r="U6" s="61">
        <v>44433</v>
      </c>
      <c r="V6" s="28"/>
      <c r="W6" s="29"/>
      <c r="X6" s="6" t="s">
        <v>89</v>
      </c>
      <c r="Y6" s="64">
        <v>0.62152777777777779</v>
      </c>
      <c r="Z6" s="28"/>
      <c r="AA6" s="28"/>
      <c r="AB6" s="29"/>
      <c r="AC6" s="2"/>
    </row>
    <row r="7" spans="1:29" ht="24" customHeight="1" x14ac:dyDescent="0.2">
      <c r="A7" s="32" t="s">
        <v>90</v>
      </c>
      <c r="B7" s="28"/>
      <c r="C7" s="28"/>
      <c r="D7" s="28"/>
      <c r="E7" s="28"/>
      <c r="F7" s="57"/>
      <c r="G7" s="30" t="s">
        <v>14</v>
      </c>
      <c r="H7" s="28"/>
      <c r="I7" s="28"/>
      <c r="J7" s="28"/>
      <c r="K7" s="28"/>
      <c r="L7" s="28"/>
      <c r="M7" s="29"/>
      <c r="N7" s="32" t="s">
        <v>91</v>
      </c>
      <c r="O7" s="28"/>
      <c r="P7" s="28"/>
      <c r="Q7" s="28"/>
      <c r="R7" s="28"/>
      <c r="S7" s="28"/>
      <c r="T7" s="29"/>
      <c r="U7" s="62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92</v>
      </c>
      <c r="B8" s="28"/>
      <c r="C8" s="28"/>
      <c r="D8" s="28"/>
      <c r="E8" s="28"/>
      <c r="F8" s="57"/>
      <c r="G8" s="30">
        <v>514059</v>
      </c>
      <c r="H8" s="28"/>
      <c r="I8" s="28"/>
      <c r="J8" s="28"/>
      <c r="K8" s="28"/>
      <c r="L8" s="28"/>
      <c r="M8" s="29"/>
      <c r="N8" s="32" t="s">
        <v>93</v>
      </c>
      <c r="O8" s="28"/>
      <c r="P8" s="28"/>
      <c r="Q8" s="28"/>
      <c r="R8" s="28"/>
      <c r="S8" s="28"/>
      <c r="T8" s="29"/>
      <c r="U8" s="63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94</v>
      </c>
      <c r="B9" s="28"/>
      <c r="C9" s="28"/>
      <c r="D9" s="28"/>
      <c r="E9" s="28"/>
      <c r="F9" s="57"/>
      <c r="G9" s="66" t="s">
        <v>21</v>
      </c>
      <c r="H9" s="28"/>
      <c r="I9" s="28"/>
      <c r="J9" s="28"/>
      <c r="K9" s="28"/>
      <c r="L9" s="28"/>
      <c r="M9" s="29"/>
      <c r="N9" s="32" t="s">
        <v>95</v>
      </c>
      <c r="O9" s="28"/>
      <c r="P9" s="28"/>
      <c r="Q9" s="28"/>
      <c r="R9" s="28"/>
      <c r="S9" s="28"/>
      <c r="T9" s="29"/>
      <c r="U9" s="30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96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97</v>
      </c>
      <c r="O11" s="28"/>
      <c r="P11" s="28"/>
      <c r="Q11" s="28"/>
      <c r="R11" s="29"/>
      <c r="S11" s="30"/>
      <c r="T11" s="29"/>
      <c r="U11" s="32" t="s">
        <v>98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27</v>
      </c>
      <c r="B13" s="28"/>
      <c r="C13" s="28"/>
      <c r="D13" s="28"/>
      <c r="E13" s="29"/>
      <c r="F13" s="9" t="s">
        <v>28</v>
      </c>
      <c r="G13" s="27" t="s">
        <v>99</v>
      </c>
      <c r="H13" s="28"/>
      <c r="I13" s="29"/>
      <c r="J13" s="38" t="s">
        <v>30</v>
      </c>
      <c r="K13" s="29"/>
      <c r="L13" s="27" t="s">
        <v>100</v>
      </c>
      <c r="M13" s="28"/>
      <c r="N13" s="29"/>
      <c r="O13" s="30">
        <v>0</v>
      </c>
      <c r="P13" s="28"/>
      <c r="Q13" s="29"/>
      <c r="R13" s="27" t="s">
        <v>101</v>
      </c>
      <c r="S13" s="28"/>
      <c r="T13" s="29"/>
      <c r="U13" s="30">
        <v>1</v>
      </c>
      <c r="V13" s="29"/>
      <c r="W13" s="27" t="s">
        <v>102</v>
      </c>
      <c r="X13" s="28"/>
      <c r="Y13" s="28"/>
      <c r="Z13" s="29"/>
      <c r="AA13" s="30">
        <v>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103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104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105</v>
      </c>
      <c r="B17" s="28"/>
      <c r="C17" s="28"/>
      <c r="D17" s="28"/>
      <c r="E17" s="28"/>
      <c r="F17" s="29"/>
      <c r="G17" s="36" t="s">
        <v>106</v>
      </c>
      <c r="H17" s="28"/>
      <c r="I17" s="29"/>
      <c r="J17" s="36" t="s">
        <v>107</v>
      </c>
      <c r="K17" s="28"/>
      <c r="L17" s="29"/>
      <c r="M17" s="36" t="s">
        <v>108</v>
      </c>
      <c r="N17" s="28"/>
      <c r="O17" s="29"/>
      <c r="P17" s="36" t="s">
        <v>109</v>
      </c>
      <c r="Q17" s="28"/>
      <c r="R17" s="28"/>
      <c r="S17" s="29"/>
      <c r="T17" s="36" t="s">
        <v>110</v>
      </c>
      <c r="U17" s="28"/>
      <c r="V17" s="29"/>
      <c r="W17" s="36" t="s">
        <v>111</v>
      </c>
      <c r="X17" s="28"/>
      <c r="Y17" s="29"/>
      <c r="Z17" s="36" t="s">
        <v>112</v>
      </c>
      <c r="AA17" s="28"/>
      <c r="AB17" s="29"/>
      <c r="AC17" s="2"/>
    </row>
    <row r="18" spans="1:29" ht="15" customHeight="1" x14ac:dyDescent="0.2">
      <c r="A18" s="41" t="s">
        <v>45</v>
      </c>
      <c r="B18" s="28"/>
      <c r="C18" s="28"/>
      <c r="D18" s="28"/>
      <c r="E18" s="28"/>
      <c r="F18" s="29"/>
      <c r="G18" s="8"/>
      <c r="H18" s="8">
        <v>11</v>
      </c>
      <c r="I18" s="8"/>
      <c r="J18" s="37" t="s">
        <v>46</v>
      </c>
      <c r="K18" s="28"/>
      <c r="L18" s="29"/>
      <c r="M18" s="8"/>
      <c r="N18" s="8">
        <v>0</v>
      </c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 t="s">
        <v>47</v>
      </c>
      <c r="B19" s="28"/>
      <c r="C19" s="28"/>
      <c r="D19" s="28"/>
      <c r="E19" s="28"/>
      <c r="F19" s="29"/>
      <c r="G19" s="8"/>
      <c r="H19" s="8">
        <v>1</v>
      </c>
      <c r="I19" s="8"/>
      <c r="J19" s="37" t="s">
        <v>48</v>
      </c>
      <c r="K19" s="28"/>
      <c r="L19" s="29"/>
      <c r="M19" s="8"/>
      <c r="N19" s="8">
        <v>0</v>
      </c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 t="s">
        <v>49</v>
      </c>
      <c r="B20" s="28"/>
      <c r="C20" s="28"/>
      <c r="D20" s="28"/>
      <c r="E20" s="28"/>
      <c r="F20" s="29"/>
      <c r="G20" s="8"/>
      <c r="H20" s="8">
        <v>66</v>
      </c>
      <c r="I20" s="8"/>
      <c r="J20" s="37" t="s">
        <v>50</v>
      </c>
      <c r="K20" s="28"/>
      <c r="L20" s="29"/>
      <c r="M20" s="8"/>
      <c r="N20" s="8">
        <v>1</v>
      </c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 t="s">
        <v>51</v>
      </c>
      <c r="B21" s="28"/>
      <c r="C21" s="28"/>
      <c r="D21" s="28"/>
      <c r="E21" s="28"/>
      <c r="F21" s="29"/>
      <c r="G21" s="8"/>
      <c r="H21" s="8">
        <v>4</v>
      </c>
      <c r="I21" s="8"/>
      <c r="J21" s="37" t="s">
        <v>52</v>
      </c>
      <c r="K21" s="28"/>
      <c r="L21" s="29"/>
      <c r="M21" s="8"/>
      <c r="N21" s="8">
        <v>3</v>
      </c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 t="s">
        <v>53</v>
      </c>
      <c r="B22" s="28"/>
      <c r="C22" s="28"/>
      <c r="D22" s="28"/>
      <c r="E22" s="28"/>
      <c r="F22" s="29"/>
      <c r="G22" s="8"/>
      <c r="H22" s="8">
        <v>0</v>
      </c>
      <c r="I22" s="8"/>
      <c r="J22" s="37" t="s">
        <v>54</v>
      </c>
      <c r="K22" s="28"/>
      <c r="L22" s="29"/>
      <c r="M22" s="8"/>
      <c r="N22" s="8">
        <v>7</v>
      </c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 t="s">
        <v>55</v>
      </c>
      <c r="B23" s="28"/>
      <c r="C23" s="28"/>
      <c r="D23" s="28"/>
      <c r="E23" s="28"/>
      <c r="F23" s="29"/>
      <c r="G23" s="8"/>
      <c r="H23" s="8">
        <v>1</v>
      </c>
      <c r="I23" s="8"/>
      <c r="J23" s="37" t="s">
        <v>56</v>
      </c>
      <c r="K23" s="28"/>
      <c r="L23" s="29"/>
      <c r="M23" s="8"/>
      <c r="N23" s="8">
        <v>1</v>
      </c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 t="s">
        <v>57</v>
      </c>
      <c r="B24" s="28"/>
      <c r="C24" s="28"/>
      <c r="D24" s="28"/>
      <c r="E24" s="28"/>
      <c r="F24" s="29"/>
      <c r="G24" s="8"/>
      <c r="H24" s="8">
        <v>3</v>
      </c>
      <c r="I24" s="8"/>
      <c r="J24" s="37" t="s">
        <v>58</v>
      </c>
      <c r="K24" s="28"/>
      <c r="L24" s="29"/>
      <c r="M24" s="8"/>
      <c r="N24" s="8">
        <v>1</v>
      </c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 t="s">
        <v>59</v>
      </c>
      <c r="B25" s="28"/>
      <c r="C25" s="28"/>
      <c r="D25" s="28"/>
      <c r="E25" s="28"/>
      <c r="F25" s="29"/>
      <c r="G25" s="8"/>
      <c r="H25" s="8">
        <v>0</v>
      </c>
      <c r="I25" s="8"/>
      <c r="J25" s="37" t="s">
        <v>60</v>
      </c>
      <c r="K25" s="28"/>
      <c r="L25" s="29"/>
      <c r="M25" s="8"/>
      <c r="N25" s="8">
        <v>1</v>
      </c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 t="s">
        <v>61</v>
      </c>
      <c r="B26" s="28"/>
      <c r="C26" s="28"/>
      <c r="D26" s="28"/>
      <c r="E26" s="28"/>
      <c r="F26" s="29"/>
      <c r="G26" s="8"/>
      <c r="H26" s="8">
        <v>4</v>
      </c>
      <c r="I26" s="8"/>
      <c r="J26" s="37" t="s">
        <v>62</v>
      </c>
      <c r="K26" s="28"/>
      <c r="L26" s="29"/>
      <c r="M26" s="8"/>
      <c r="N26" s="8">
        <v>2</v>
      </c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 t="s">
        <v>63</v>
      </c>
      <c r="B27" s="28"/>
      <c r="C27" s="28"/>
      <c r="D27" s="28"/>
      <c r="E27" s="28"/>
      <c r="F27" s="29"/>
      <c r="G27" s="8" t="s">
        <v>64</v>
      </c>
      <c r="H27" s="8">
        <v>0</v>
      </c>
      <c r="I27" s="8"/>
      <c r="J27" s="37" t="s">
        <v>65</v>
      </c>
      <c r="K27" s="28"/>
      <c r="L27" s="29"/>
      <c r="M27" s="8"/>
      <c r="N27" s="8">
        <v>1</v>
      </c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 t="s">
        <v>66</v>
      </c>
      <c r="B28" s="28"/>
      <c r="C28" s="28"/>
      <c r="D28" s="28"/>
      <c r="E28" s="28"/>
      <c r="F28" s="29"/>
      <c r="G28" s="8"/>
      <c r="H28" s="8">
        <v>0</v>
      </c>
      <c r="I28" s="8"/>
      <c r="J28" s="37"/>
      <c r="K28" s="28"/>
      <c r="L28" s="29"/>
      <c r="M28" s="8"/>
      <c r="N28" s="8"/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 t="s">
        <v>54</v>
      </c>
      <c r="B29" s="28"/>
      <c r="C29" s="28"/>
      <c r="D29" s="28"/>
      <c r="E29" s="28"/>
      <c r="F29" s="29"/>
      <c r="G29" s="8"/>
      <c r="H29" s="8">
        <v>0</v>
      </c>
      <c r="I29" s="8"/>
      <c r="J29" s="37"/>
      <c r="K29" s="28"/>
      <c r="L29" s="29"/>
      <c r="M29" s="8"/>
      <c r="N29" s="8"/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 t="s">
        <v>69</v>
      </c>
      <c r="B30" s="28"/>
      <c r="C30" s="28"/>
      <c r="D30" s="28"/>
      <c r="E30" s="28"/>
      <c r="F30" s="29"/>
      <c r="G30" s="8"/>
      <c r="H30" s="8">
        <v>0</v>
      </c>
      <c r="I30" s="8"/>
      <c r="J30" s="37"/>
      <c r="K30" s="28"/>
      <c r="L30" s="29"/>
      <c r="M30" s="8"/>
      <c r="N30" s="8"/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 t="s">
        <v>70</v>
      </c>
      <c r="B31" s="28"/>
      <c r="C31" s="28"/>
      <c r="D31" s="28"/>
      <c r="E31" s="28"/>
      <c r="F31" s="29"/>
      <c r="G31" s="8"/>
      <c r="H31" s="8">
        <v>0</v>
      </c>
      <c r="I31" s="8"/>
      <c r="J31" s="37"/>
      <c r="K31" s="28"/>
      <c r="L31" s="29"/>
      <c r="M31" s="8"/>
      <c r="N31" s="8"/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 t="s">
        <v>71</v>
      </c>
      <c r="B32" s="28"/>
      <c r="C32" s="28"/>
      <c r="D32" s="28"/>
      <c r="E32" s="28"/>
      <c r="F32" s="29"/>
      <c r="G32" s="8"/>
      <c r="H32" s="8">
        <v>0</v>
      </c>
      <c r="I32" s="8"/>
      <c r="J32" s="37"/>
      <c r="K32" s="28"/>
      <c r="L32" s="29"/>
      <c r="M32" s="8"/>
      <c r="N32" s="8"/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 t="s">
        <v>72</v>
      </c>
      <c r="B33" s="28"/>
      <c r="C33" s="28"/>
      <c r="D33" s="28"/>
      <c r="E33" s="28"/>
      <c r="F33" s="29"/>
      <c r="G33" s="8"/>
      <c r="H33" s="8">
        <v>0</v>
      </c>
      <c r="I33" s="8"/>
      <c r="J33" s="42"/>
      <c r="K33" s="28"/>
      <c r="L33" s="29"/>
      <c r="M33" s="8"/>
      <c r="N33" s="8"/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 t="s">
        <v>73</v>
      </c>
      <c r="B34" s="28"/>
      <c r="C34" s="28"/>
      <c r="D34" s="28"/>
      <c r="E34" s="28"/>
      <c r="F34" s="29"/>
      <c r="G34" s="8"/>
      <c r="H34" s="8">
        <v>0</v>
      </c>
      <c r="I34" s="8"/>
      <c r="J34" s="37"/>
      <c r="K34" s="28"/>
      <c r="L34" s="29"/>
      <c r="M34" s="8"/>
      <c r="N34" s="8"/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 t="s">
        <v>74</v>
      </c>
      <c r="B35" s="28"/>
      <c r="C35" s="28"/>
      <c r="D35" s="28"/>
      <c r="E35" s="28"/>
      <c r="F35" s="29"/>
      <c r="G35" s="8"/>
      <c r="H35" s="8">
        <v>0</v>
      </c>
      <c r="I35" s="8"/>
      <c r="J35" s="37"/>
      <c r="K35" s="28"/>
      <c r="L35" s="29"/>
      <c r="M35" s="8"/>
      <c r="N35" s="8"/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 t="s">
        <v>75</v>
      </c>
      <c r="B36" s="28"/>
      <c r="C36" s="28"/>
      <c r="D36" s="28"/>
      <c r="E36" s="28"/>
      <c r="F36" s="29"/>
      <c r="G36" s="8"/>
      <c r="H36" s="8">
        <v>1</v>
      </c>
      <c r="I36" s="8"/>
      <c r="J36" s="42"/>
      <c r="K36" s="28"/>
      <c r="L36" s="29"/>
      <c r="M36" s="8"/>
      <c r="N36" s="8"/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 t="s">
        <v>76</v>
      </c>
      <c r="B37" s="28"/>
      <c r="C37" s="28"/>
      <c r="D37" s="28"/>
      <c r="E37" s="28"/>
      <c r="F37" s="29"/>
      <c r="G37" s="8"/>
      <c r="H37" s="8">
        <v>0</v>
      </c>
      <c r="I37" s="8"/>
      <c r="J37" s="42"/>
      <c r="K37" s="28"/>
      <c r="L37" s="29"/>
      <c r="M37" s="8"/>
      <c r="N37" s="8"/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77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113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 t="s">
        <v>79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114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115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116</v>
      </c>
      <c r="B4" s="28"/>
      <c r="C4" s="28"/>
      <c r="D4" s="28"/>
      <c r="E4" s="28"/>
      <c r="F4" s="57"/>
      <c r="G4" s="58"/>
      <c r="H4" s="28"/>
      <c r="I4" s="28"/>
      <c r="J4" s="28"/>
      <c r="K4" s="28"/>
      <c r="L4" s="28"/>
      <c r="M4" s="29"/>
      <c r="N4" s="59" t="s">
        <v>117</v>
      </c>
      <c r="O4" s="28"/>
      <c r="P4" s="28"/>
      <c r="Q4" s="28"/>
      <c r="R4" s="28"/>
      <c r="S4" s="28"/>
      <c r="T4" s="29"/>
      <c r="U4" s="30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118</v>
      </c>
      <c r="B5" s="28"/>
      <c r="C5" s="28"/>
      <c r="D5" s="28"/>
      <c r="E5" s="28"/>
      <c r="F5" s="57"/>
      <c r="G5" s="30" t="s">
        <v>6</v>
      </c>
      <c r="H5" s="28"/>
      <c r="I5" s="28"/>
      <c r="J5" s="28"/>
      <c r="K5" s="28"/>
      <c r="L5" s="28"/>
      <c r="M5" s="29"/>
      <c r="N5" s="32" t="s">
        <v>119</v>
      </c>
      <c r="O5" s="28"/>
      <c r="P5" s="28"/>
      <c r="Q5" s="28"/>
      <c r="R5" s="28"/>
      <c r="S5" s="28"/>
      <c r="T5" s="29"/>
      <c r="U5" s="61">
        <v>44433</v>
      </c>
      <c r="V5" s="28"/>
      <c r="W5" s="29"/>
      <c r="X5" s="6" t="s">
        <v>120</v>
      </c>
      <c r="Y5" s="64">
        <v>0.60416666666666663</v>
      </c>
      <c r="Z5" s="28"/>
      <c r="AA5" s="28"/>
      <c r="AB5" s="29"/>
      <c r="AC5" s="2"/>
    </row>
    <row r="6" spans="1:29" ht="24" customHeight="1" x14ac:dyDescent="0.2">
      <c r="A6" s="65" t="s">
        <v>121</v>
      </c>
      <c r="B6" s="28"/>
      <c r="C6" s="28"/>
      <c r="D6" s="28"/>
      <c r="E6" s="28"/>
      <c r="F6" s="57"/>
      <c r="G6" s="30" t="s">
        <v>10</v>
      </c>
      <c r="H6" s="28"/>
      <c r="I6" s="28"/>
      <c r="J6" s="28"/>
      <c r="K6" s="28"/>
      <c r="L6" s="28"/>
      <c r="M6" s="29"/>
      <c r="N6" s="60" t="s">
        <v>122</v>
      </c>
      <c r="O6" s="28"/>
      <c r="P6" s="28"/>
      <c r="Q6" s="28"/>
      <c r="R6" s="28"/>
      <c r="S6" s="28"/>
      <c r="T6" s="29"/>
      <c r="U6" s="61">
        <v>44433</v>
      </c>
      <c r="V6" s="28"/>
      <c r="W6" s="29"/>
      <c r="X6" s="6" t="s">
        <v>123</v>
      </c>
      <c r="Y6" s="64">
        <v>0.62152777777777779</v>
      </c>
      <c r="Z6" s="28"/>
      <c r="AA6" s="28"/>
      <c r="AB6" s="29"/>
      <c r="AC6" s="2"/>
    </row>
    <row r="7" spans="1:29" ht="24" customHeight="1" x14ac:dyDescent="0.2">
      <c r="A7" s="32" t="s">
        <v>124</v>
      </c>
      <c r="B7" s="28"/>
      <c r="C7" s="28"/>
      <c r="D7" s="28"/>
      <c r="E7" s="28"/>
      <c r="F7" s="57"/>
      <c r="G7" s="30" t="s">
        <v>14</v>
      </c>
      <c r="H7" s="28"/>
      <c r="I7" s="28"/>
      <c r="J7" s="28"/>
      <c r="K7" s="28"/>
      <c r="L7" s="28"/>
      <c r="M7" s="29"/>
      <c r="N7" s="32" t="s">
        <v>125</v>
      </c>
      <c r="O7" s="28"/>
      <c r="P7" s="28"/>
      <c r="Q7" s="28"/>
      <c r="R7" s="28"/>
      <c r="S7" s="28"/>
      <c r="T7" s="29"/>
      <c r="U7" s="62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126</v>
      </c>
      <c r="B8" s="28"/>
      <c r="C8" s="28"/>
      <c r="D8" s="28"/>
      <c r="E8" s="28"/>
      <c r="F8" s="57"/>
      <c r="G8" s="30">
        <v>514059</v>
      </c>
      <c r="H8" s="28"/>
      <c r="I8" s="28"/>
      <c r="J8" s="28"/>
      <c r="K8" s="28"/>
      <c r="L8" s="28"/>
      <c r="M8" s="29"/>
      <c r="N8" s="32" t="s">
        <v>127</v>
      </c>
      <c r="O8" s="28"/>
      <c r="P8" s="28"/>
      <c r="Q8" s="28"/>
      <c r="R8" s="28"/>
      <c r="S8" s="28"/>
      <c r="T8" s="29"/>
      <c r="U8" s="63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128</v>
      </c>
      <c r="B9" s="28"/>
      <c r="C9" s="28"/>
      <c r="D9" s="28"/>
      <c r="E9" s="28"/>
      <c r="F9" s="57"/>
      <c r="G9" s="66" t="s">
        <v>21</v>
      </c>
      <c r="H9" s="28"/>
      <c r="I9" s="28"/>
      <c r="J9" s="28"/>
      <c r="K9" s="28"/>
      <c r="L9" s="28"/>
      <c r="M9" s="29"/>
      <c r="N9" s="32" t="s">
        <v>129</v>
      </c>
      <c r="O9" s="28"/>
      <c r="P9" s="28"/>
      <c r="Q9" s="28"/>
      <c r="R9" s="28"/>
      <c r="S9" s="28"/>
      <c r="T9" s="29"/>
      <c r="U9" s="30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130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131</v>
      </c>
      <c r="O11" s="28"/>
      <c r="P11" s="28"/>
      <c r="Q11" s="28"/>
      <c r="R11" s="29"/>
      <c r="S11" s="30"/>
      <c r="T11" s="29"/>
      <c r="U11" s="32" t="s">
        <v>132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27</v>
      </c>
      <c r="B13" s="28"/>
      <c r="C13" s="28"/>
      <c r="D13" s="28"/>
      <c r="E13" s="29"/>
      <c r="F13" s="9" t="s">
        <v>28</v>
      </c>
      <c r="G13" s="27" t="s">
        <v>133</v>
      </c>
      <c r="H13" s="28"/>
      <c r="I13" s="29"/>
      <c r="J13" s="38" t="s">
        <v>30</v>
      </c>
      <c r="K13" s="29"/>
      <c r="L13" s="27" t="s">
        <v>134</v>
      </c>
      <c r="M13" s="28"/>
      <c r="N13" s="29"/>
      <c r="O13" s="30">
        <v>0</v>
      </c>
      <c r="P13" s="28"/>
      <c r="Q13" s="29"/>
      <c r="R13" s="27" t="s">
        <v>135</v>
      </c>
      <c r="S13" s="28"/>
      <c r="T13" s="29"/>
      <c r="U13" s="30">
        <v>1</v>
      </c>
      <c r="V13" s="29"/>
      <c r="W13" s="27" t="s">
        <v>136</v>
      </c>
      <c r="X13" s="28"/>
      <c r="Y13" s="28"/>
      <c r="Z13" s="29"/>
      <c r="AA13" s="30">
        <v>2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137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138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139</v>
      </c>
      <c r="B17" s="28"/>
      <c r="C17" s="28"/>
      <c r="D17" s="28"/>
      <c r="E17" s="28"/>
      <c r="F17" s="29"/>
      <c r="G17" s="36" t="s">
        <v>140</v>
      </c>
      <c r="H17" s="28"/>
      <c r="I17" s="29"/>
      <c r="J17" s="36" t="s">
        <v>141</v>
      </c>
      <c r="K17" s="28"/>
      <c r="L17" s="29"/>
      <c r="M17" s="36" t="s">
        <v>142</v>
      </c>
      <c r="N17" s="28"/>
      <c r="O17" s="29"/>
      <c r="P17" s="36" t="s">
        <v>143</v>
      </c>
      <c r="Q17" s="28"/>
      <c r="R17" s="28"/>
      <c r="S17" s="29"/>
      <c r="T17" s="36" t="s">
        <v>144</v>
      </c>
      <c r="U17" s="28"/>
      <c r="V17" s="29"/>
      <c r="W17" s="36" t="s">
        <v>145</v>
      </c>
      <c r="X17" s="28"/>
      <c r="Y17" s="29"/>
      <c r="Z17" s="36" t="s">
        <v>146</v>
      </c>
      <c r="AA17" s="28"/>
      <c r="AB17" s="29"/>
      <c r="AC17" s="2"/>
    </row>
    <row r="18" spans="1:29" ht="15" customHeight="1" x14ac:dyDescent="0.2">
      <c r="A18" s="41" t="s">
        <v>45</v>
      </c>
      <c r="B18" s="28"/>
      <c r="C18" s="28"/>
      <c r="D18" s="28"/>
      <c r="E18" s="28"/>
      <c r="F18" s="29"/>
      <c r="G18" s="8"/>
      <c r="H18" s="8">
        <v>3</v>
      </c>
      <c r="I18" s="8"/>
      <c r="J18" s="37" t="s">
        <v>46</v>
      </c>
      <c r="K18" s="28"/>
      <c r="L18" s="29"/>
      <c r="M18" s="8"/>
      <c r="N18" s="8">
        <v>1</v>
      </c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 t="s">
        <v>47</v>
      </c>
      <c r="B19" s="28"/>
      <c r="C19" s="28"/>
      <c r="D19" s="28"/>
      <c r="E19" s="28"/>
      <c r="F19" s="29"/>
      <c r="G19" s="8"/>
      <c r="H19" s="8">
        <v>4</v>
      </c>
      <c r="I19" s="8"/>
      <c r="J19" s="37" t="s">
        <v>48</v>
      </c>
      <c r="K19" s="28"/>
      <c r="L19" s="29"/>
      <c r="M19" s="8"/>
      <c r="N19" s="8">
        <v>1</v>
      </c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 t="s">
        <v>49</v>
      </c>
      <c r="B20" s="28"/>
      <c r="C20" s="28"/>
      <c r="D20" s="28"/>
      <c r="E20" s="28"/>
      <c r="F20" s="29"/>
      <c r="G20" s="8"/>
      <c r="H20" s="8">
        <v>77</v>
      </c>
      <c r="I20" s="8"/>
      <c r="J20" s="37"/>
      <c r="K20" s="28"/>
      <c r="L20" s="29"/>
      <c r="M20" s="8"/>
      <c r="N20" s="8"/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 t="s">
        <v>51</v>
      </c>
      <c r="B21" s="28"/>
      <c r="C21" s="28"/>
      <c r="D21" s="28"/>
      <c r="E21" s="28"/>
      <c r="F21" s="29"/>
      <c r="G21" s="8"/>
      <c r="H21" s="8">
        <v>4</v>
      </c>
      <c r="I21" s="8"/>
      <c r="J21" s="37"/>
      <c r="K21" s="28"/>
      <c r="L21" s="29"/>
      <c r="M21" s="8"/>
      <c r="N21" s="8"/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 t="s">
        <v>53</v>
      </c>
      <c r="B22" s="28"/>
      <c r="C22" s="28"/>
      <c r="D22" s="28"/>
      <c r="E22" s="28"/>
      <c r="F22" s="29"/>
      <c r="G22" s="8"/>
      <c r="H22" s="8">
        <v>2</v>
      </c>
      <c r="I22" s="8"/>
      <c r="J22" s="37"/>
      <c r="K22" s="28"/>
      <c r="L22" s="29"/>
      <c r="M22" s="8"/>
      <c r="N22" s="8"/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 t="s">
        <v>55</v>
      </c>
      <c r="B23" s="28"/>
      <c r="C23" s="28"/>
      <c r="D23" s="28"/>
      <c r="E23" s="28"/>
      <c r="F23" s="29"/>
      <c r="G23" s="8"/>
      <c r="H23" s="8">
        <v>1</v>
      </c>
      <c r="I23" s="8"/>
      <c r="J23" s="37"/>
      <c r="K23" s="28"/>
      <c r="L23" s="29"/>
      <c r="M23" s="8"/>
      <c r="N23" s="8"/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 t="s">
        <v>57</v>
      </c>
      <c r="B24" s="28"/>
      <c r="C24" s="28"/>
      <c r="D24" s="28"/>
      <c r="E24" s="28"/>
      <c r="F24" s="29"/>
      <c r="G24" s="8"/>
      <c r="H24" s="8">
        <v>9</v>
      </c>
      <c r="I24" s="8"/>
      <c r="J24" s="37"/>
      <c r="K24" s="28"/>
      <c r="L24" s="29"/>
      <c r="M24" s="8"/>
      <c r="N24" s="8"/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 t="s">
        <v>59</v>
      </c>
      <c r="B25" s="28"/>
      <c r="C25" s="28"/>
      <c r="D25" s="28"/>
      <c r="E25" s="28"/>
      <c r="F25" s="29"/>
      <c r="G25" s="8"/>
      <c r="H25" s="8">
        <v>1</v>
      </c>
      <c r="I25" s="8"/>
      <c r="J25" s="37"/>
      <c r="K25" s="28"/>
      <c r="L25" s="29"/>
      <c r="M25" s="8"/>
      <c r="N25" s="8"/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 t="s">
        <v>61</v>
      </c>
      <c r="B26" s="28"/>
      <c r="C26" s="28"/>
      <c r="D26" s="28"/>
      <c r="E26" s="28"/>
      <c r="F26" s="29"/>
      <c r="G26" s="8"/>
      <c r="H26" s="8">
        <v>8</v>
      </c>
      <c r="I26" s="8"/>
      <c r="J26" s="37"/>
      <c r="K26" s="28"/>
      <c r="L26" s="29"/>
      <c r="M26" s="8"/>
      <c r="N26" s="8"/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 t="s">
        <v>63</v>
      </c>
      <c r="B27" s="28"/>
      <c r="C27" s="28"/>
      <c r="D27" s="28"/>
      <c r="E27" s="28"/>
      <c r="F27" s="29"/>
      <c r="G27" s="8" t="s">
        <v>64</v>
      </c>
      <c r="H27" s="8">
        <v>1</v>
      </c>
      <c r="I27" s="8"/>
      <c r="J27" s="37"/>
      <c r="K27" s="28"/>
      <c r="L27" s="29"/>
      <c r="M27" s="8"/>
      <c r="N27" s="8"/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 t="s">
        <v>66</v>
      </c>
      <c r="B28" s="28"/>
      <c r="C28" s="28"/>
      <c r="D28" s="28"/>
      <c r="E28" s="28"/>
      <c r="F28" s="29"/>
      <c r="G28" s="8"/>
      <c r="H28" s="8">
        <v>6</v>
      </c>
      <c r="I28" s="8"/>
      <c r="J28" s="37"/>
      <c r="K28" s="28"/>
      <c r="L28" s="29"/>
      <c r="M28" s="8"/>
      <c r="N28" s="8"/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 t="s">
        <v>54</v>
      </c>
      <c r="B29" s="28"/>
      <c r="C29" s="28"/>
      <c r="D29" s="28"/>
      <c r="E29" s="28"/>
      <c r="F29" s="29"/>
      <c r="G29" s="8"/>
      <c r="H29" s="8">
        <v>1</v>
      </c>
      <c r="I29" s="8"/>
      <c r="J29" s="37"/>
      <c r="K29" s="28"/>
      <c r="L29" s="29"/>
      <c r="M29" s="8"/>
      <c r="N29" s="8"/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 t="s">
        <v>69</v>
      </c>
      <c r="B30" s="28"/>
      <c r="C30" s="28"/>
      <c r="D30" s="28"/>
      <c r="E30" s="28"/>
      <c r="F30" s="29"/>
      <c r="G30" s="8"/>
      <c r="H30" s="8">
        <v>47</v>
      </c>
      <c r="I30" s="8"/>
      <c r="J30" s="37"/>
      <c r="K30" s="28"/>
      <c r="L30" s="29"/>
      <c r="M30" s="8"/>
      <c r="N30" s="8"/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 t="s">
        <v>70</v>
      </c>
      <c r="B31" s="28"/>
      <c r="C31" s="28"/>
      <c r="D31" s="28"/>
      <c r="E31" s="28"/>
      <c r="F31" s="29"/>
      <c r="G31" s="8"/>
      <c r="H31" s="8">
        <v>1</v>
      </c>
      <c r="I31" s="8"/>
      <c r="J31" s="37"/>
      <c r="K31" s="28"/>
      <c r="L31" s="29"/>
      <c r="M31" s="8"/>
      <c r="N31" s="8"/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 t="s">
        <v>71</v>
      </c>
      <c r="B32" s="28"/>
      <c r="C32" s="28"/>
      <c r="D32" s="28"/>
      <c r="E32" s="28"/>
      <c r="F32" s="29"/>
      <c r="G32" s="8"/>
      <c r="H32" s="8">
        <v>1</v>
      </c>
      <c r="I32" s="8"/>
      <c r="J32" s="37"/>
      <c r="K32" s="28"/>
      <c r="L32" s="29"/>
      <c r="M32" s="8"/>
      <c r="N32" s="8"/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 t="s">
        <v>72</v>
      </c>
      <c r="B33" s="28"/>
      <c r="C33" s="28"/>
      <c r="D33" s="28"/>
      <c r="E33" s="28"/>
      <c r="F33" s="29"/>
      <c r="G33" s="8"/>
      <c r="H33" s="8">
        <v>1</v>
      </c>
      <c r="I33" s="8"/>
      <c r="J33" s="42"/>
      <c r="K33" s="28"/>
      <c r="L33" s="29"/>
      <c r="M33" s="8"/>
      <c r="N33" s="8"/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 t="s">
        <v>73</v>
      </c>
      <c r="B34" s="28"/>
      <c r="C34" s="28"/>
      <c r="D34" s="28"/>
      <c r="E34" s="28"/>
      <c r="F34" s="29"/>
      <c r="G34" s="8"/>
      <c r="H34" s="8">
        <v>1</v>
      </c>
      <c r="I34" s="8"/>
      <c r="J34" s="37"/>
      <c r="K34" s="28"/>
      <c r="L34" s="29"/>
      <c r="M34" s="8"/>
      <c r="N34" s="8"/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 t="s">
        <v>74</v>
      </c>
      <c r="B35" s="28"/>
      <c r="C35" s="28"/>
      <c r="D35" s="28"/>
      <c r="E35" s="28"/>
      <c r="F35" s="29"/>
      <c r="G35" s="8"/>
      <c r="H35" s="8">
        <v>2</v>
      </c>
      <c r="I35" s="8"/>
      <c r="J35" s="37"/>
      <c r="K35" s="28"/>
      <c r="L35" s="29"/>
      <c r="M35" s="8"/>
      <c r="N35" s="8"/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 t="s">
        <v>75</v>
      </c>
      <c r="B36" s="28"/>
      <c r="C36" s="28"/>
      <c r="D36" s="28"/>
      <c r="E36" s="28"/>
      <c r="F36" s="29"/>
      <c r="G36" s="8"/>
      <c r="H36" s="8">
        <v>1</v>
      </c>
      <c r="I36" s="8"/>
      <c r="J36" s="42"/>
      <c r="K36" s="28"/>
      <c r="L36" s="29"/>
      <c r="M36" s="8"/>
      <c r="N36" s="8"/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 t="s">
        <v>76</v>
      </c>
      <c r="B37" s="28"/>
      <c r="C37" s="28"/>
      <c r="D37" s="28"/>
      <c r="E37" s="28"/>
      <c r="F37" s="29"/>
      <c r="G37" s="8"/>
      <c r="H37" s="8">
        <v>1</v>
      </c>
      <c r="I37" s="8"/>
      <c r="J37" s="42"/>
      <c r="K37" s="28"/>
      <c r="L37" s="29"/>
      <c r="M37" s="8"/>
      <c r="N37" s="8"/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77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147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 t="s">
        <v>79</v>
      </c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148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53"/>
      <c r="B1" s="1"/>
      <c r="C1" s="2"/>
      <c r="D1" s="2"/>
      <c r="E1" s="3"/>
      <c r="F1" s="3"/>
      <c r="G1" s="2"/>
      <c r="H1" s="2"/>
      <c r="I1" s="54" t="s">
        <v>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2"/>
    </row>
    <row r="2" spans="1:29" ht="37.5" customHeight="1" x14ac:dyDescent="0.2">
      <c r="A2" s="34"/>
      <c r="B2" s="1"/>
      <c r="C2" s="2"/>
      <c r="D2" s="2"/>
      <c r="E2" s="3"/>
      <c r="F2" s="3"/>
      <c r="G2" s="2"/>
      <c r="H2" s="2"/>
      <c r="I2" s="56" t="s">
        <v>149</v>
      </c>
      <c r="J2" s="34"/>
      <c r="K2" s="34"/>
      <c r="L2" s="34"/>
      <c r="M2" s="34"/>
      <c r="N2" s="34"/>
      <c r="O2" s="3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150</v>
      </c>
      <c r="B4" s="28"/>
      <c r="C4" s="28"/>
      <c r="D4" s="28"/>
      <c r="E4" s="28"/>
      <c r="F4" s="57"/>
      <c r="G4" s="58" t="s">
        <v>151</v>
      </c>
      <c r="H4" s="28"/>
      <c r="I4" s="28"/>
      <c r="J4" s="28"/>
      <c r="K4" s="28"/>
      <c r="L4" s="28"/>
      <c r="M4" s="29"/>
      <c r="N4" s="59" t="s">
        <v>152</v>
      </c>
      <c r="O4" s="28"/>
      <c r="P4" s="28"/>
      <c r="Q4" s="28"/>
      <c r="R4" s="28"/>
      <c r="S4" s="28"/>
      <c r="T4" s="29"/>
      <c r="U4" s="30" t="s">
        <v>153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154</v>
      </c>
      <c r="B5" s="28"/>
      <c r="C5" s="28"/>
      <c r="D5" s="28"/>
      <c r="E5" s="28"/>
      <c r="F5" s="57"/>
      <c r="G5" s="30" t="s">
        <v>155</v>
      </c>
      <c r="H5" s="28"/>
      <c r="I5" s="28"/>
      <c r="J5" s="28"/>
      <c r="K5" s="28"/>
      <c r="L5" s="28"/>
      <c r="M5" s="29"/>
      <c r="N5" s="32" t="s">
        <v>156</v>
      </c>
      <c r="O5" s="28"/>
      <c r="P5" s="28"/>
      <c r="Q5" s="28"/>
      <c r="R5" s="28"/>
      <c r="S5" s="28"/>
      <c r="T5" s="29"/>
      <c r="U5" s="61">
        <v>44256</v>
      </c>
      <c r="V5" s="28"/>
      <c r="W5" s="29"/>
      <c r="X5" s="6" t="s">
        <v>157</v>
      </c>
      <c r="Y5" s="64">
        <v>0.58333333333333337</v>
      </c>
      <c r="Z5" s="28"/>
      <c r="AA5" s="28"/>
      <c r="AB5" s="29"/>
      <c r="AC5" s="2"/>
    </row>
    <row r="6" spans="1:29" ht="24" customHeight="1" x14ac:dyDescent="0.2">
      <c r="A6" s="65" t="s">
        <v>158</v>
      </c>
      <c r="B6" s="28"/>
      <c r="C6" s="28"/>
      <c r="D6" s="28"/>
      <c r="E6" s="28"/>
      <c r="F6" s="57"/>
      <c r="G6" s="30" t="s">
        <v>159</v>
      </c>
      <c r="H6" s="28"/>
      <c r="I6" s="28"/>
      <c r="J6" s="28"/>
      <c r="K6" s="28"/>
      <c r="L6" s="28"/>
      <c r="M6" s="29"/>
      <c r="N6" s="60" t="s">
        <v>160</v>
      </c>
      <c r="O6" s="28"/>
      <c r="P6" s="28"/>
      <c r="Q6" s="28"/>
      <c r="R6" s="28"/>
      <c r="S6" s="28"/>
      <c r="T6" s="29"/>
      <c r="U6" s="61">
        <v>44258</v>
      </c>
      <c r="V6" s="28"/>
      <c r="W6" s="29"/>
      <c r="X6" s="6" t="s">
        <v>161</v>
      </c>
      <c r="Y6" s="64">
        <v>0.66666666666666663</v>
      </c>
      <c r="Z6" s="28"/>
      <c r="AA6" s="28"/>
      <c r="AB6" s="29"/>
      <c r="AC6" s="2"/>
    </row>
    <row r="7" spans="1:29" ht="24" customHeight="1" x14ac:dyDescent="0.2">
      <c r="A7" s="32" t="s">
        <v>162</v>
      </c>
      <c r="B7" s="28"/>
      <c r="C7" s="28"/>
      <c r="D7" s="28"/>
      <c r="E7" s="28"/>
      <c r="F7" s="57"/>
      <c r="G7" s="30"/>
      <c r="H7" s="28"/>
      <c r="I7" s="28"/>
      <c r="J7" s="28"/>
      <c r="K7" s="28"/>
      <c r="L7" s="28"/>
      <c r="M7" s="29"/>
      <c r="N7" s="32" t="s">
        <v>163</v>
      </c>
      <c r="O7" s="28"/>
      <c r="P7" s="28"/>
      <c r="Q7" s="28"/>
      <c r="R7" s="28"/>
      <c r="S7" s="28"/>
      <c r="T7" s="29"/>
      <c r="U7" s="62" t="s">
        <v>164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65" t="s">
        <v>165</v>
      </c>
      <c r="B8" s="28"/>
      <c r="C8" s="28"/>
      <c r="D8" s="28"/>
      <c r="E8" s="28"/>
      <c r="F8" s="57"/>
      <c r="G8" s="68" t="s">
        <v>166</v>
      </c>
      <c r="H8" s="28"/>
      <c r="I8" s="28"/>
      <c r="J8" s="28"/>
      <c r="K8" s="28"/>
      <c r="L8" s="28"/>
      <c r="M8" s="29"/>
      <c r="N8" s="32" t="s">
        <v>167</v>
      </c>
      <c r="O8" s="28"/>
      <c r="P8" s="28"/>
      <c r="Q8" s="28"/>
      <c r="R8" s="28"/>
      <c r="S8" s="28"/>
      <c r="T8" s="29"/>
      <c r="U8" s="63" t="s">
        <v>168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65" t="s">
        <v>169</v>
      </c>
      <c r="B9" s="28"/>
      <c r="C9" s="28"/>
      <c r="D9" s="28"/>
      <c r="E9" s="28"/>
      <c r="F9" s="57"/>
      <c r="G9" s="69" t="s">
        <v>170</v>
      </c>
      <c r="H9" s="28"/>
      <c r="I9" s="28"/>
      <c r="J9" s="28"/>
      <c r="K9" s="28"/>
      <c r="L9" s="28"/>
      <c r="M9" s="29"/>
      <c r="N9" s="32" t="s">
        <v>171</v>
      </c>
      <c r="O9" s="28"/>
      <c r="P9" s="28"/>
      <c r="Q9" s="28"/>
      <c r="R9" s="28"/>
      <c r="S9" s="28"/>
      <c r="T9" s="29"/>
      <c r="U9" s="62" t="s">
        <v>172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31" t="s">
        <v>173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174</v>
      </c>
      <c r="O11" s="28"/>
      <c r="P11" s="28"/>
      <c r="Q11" s="28"/>
      <c r="R11" s="29"/>
      <c r="S11" s="30"/>
      <c r="T11" s="29"/>
      <c r="U11" s="32" t="s">
        <v>175</v>
      </c>
      <c r="V11" s="28"/>
      <c r="W11" s="28"/>
      <c r="X11" s="28"/>
      <c r="Y11" s="28"/>
      <c r="Z11" s="29"/>
      <c r="AA11" s="30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35" t="s">
        <v>176</v>
      </c>
      <c r="B13" s="28"/>
      <c r="C13" s="28"/>
      <c r="D13" s="28"/>
      <c r="E13" s="29"/>
      <c r="F13" s="9" t="s">
        <v>28</v>
      </c>
      <c r="G13" s="27" t="s">
        <v>177</v>
      </c>
      <c r="H13" s="28"/>
      <c r="I13" s="29"/>
      <c r="J13" s="38">
        <v>82.99436462231462</v>
      </c>
      <c r="K13" s="29"/>
      <c r="L13" s="27" t="s">
        <v>178</v>
      </c>
      <c r="M13" s="28"/>
      <c r="N13" s="29"/>
      <c r="O13" s="30" t="s">
        <v>179</v>
      </c>
      <c r="P13" s="28"/>
      <c r="Q13" s="29"/>
      <c r="R13" s="27" t="s">
        <v>180</v>
      </c>
      <c r="S13" s="28"/>
      <c r="T13" s="29"/>
      <c r="U13" s="30" t="s">
        <v>179</v>
      </c>
      <c r="V13" s="29"/>
      <c r="W13" s="27" t="s">
        <v>181</v>
      </c>
      <c r="X13" s="28"/>
      <c r="Y13" s="28"/>
      <c r="Z13" s="29"/>
      <c r="AA13" s="30" t="s">
        <v>179</v>
      </c>
      <c r="AB13" s="29"/>
      <c r="AC13" s="2"/>
    </row>
    <row r="14" spans="1:29" ht="27" customHeight="1" x14ac:dyDescent="0.2">
      <c r="A14" s="39" t="s">
        <v>34</v>
      </c>
      <c r="B14" s="28"/>
      <c r="C14" s="28"/>
      <c r="D14" s="28"/>
      <c r="E14" s="29"/>
      <c r="F14" s="9"/>
      <c r="G14" s="27" t="s">
        <v>182</v>
      </c>
      <c r="H14" s="28"/>
      <c r="I14" s="28"/>
      <c r="J14" s="28"/>
      <c r="K14" s="28"/>
      <c r="L14" s="29"/>
      <c r="M14" s="67"/>
      <c r="N14" s="28"/>
      <c r="O14" s="28"/>
      <c r="P14" s="28"/>
      <c r="Q14" s="29"/>
      <c r="R14" s="27" t="s">
        <v>183</v>
      </c>
      <c r="S14" s="28"/>
      <c r="T14" s="28"/>
      <c r="U14" s="28"/>
      <c r="V14" s="29"/>
      <c r="W14" s="67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40" t="s">
        <v>184</v>
      </c>
      <c r="B17" s="28"/>
      <c r="C17" s="28"/>
      <c r="D17" s="28"/>
      <c r="E17" s="28"/>
      <c r="F17" s="29"/>
      <c r="G17" s="36" t="s">
        <v>185</v>
      </c>
      <c r="H17" s="28"/>
      <c r="I17" s="29"/>
      <c r="J17" s="36" t="s">
        <v>186</v>
      </c>
      <c r="K17" s="28"/>
      <c r="L17" s="29"/>
      <c r="M17" s="36" t="s">
        <v>187</v>
      </c>
      <c r="N17" s="28"/>
      <c r="O17" s="29"/>
      <c r="P17" s="36" t="s">
        <v>188</v>
      </c>
      <c r="Q17" s="28"/>
      <c r="R17" s="28"/>
      <c r="S17" s="29"/>
      <c r="T17" s="36" t="s">
        <v>189</v>
      </c>
      <c r="U17" s="28"/>
      <c r="V17" s="29"/>
      <c r="W17" s="36" t="s">
        <v>190</v>
      </c>
      <c r="X17" s="28"/>
      <c r="Y17" s="29"/>
      <c r="Z17" s="36" t="s">
        <v>191</v>
      </c>
      <c r="AA17" s="28"/>
      <c r="AB17" s="29"/>
      <c r="AC17" s="2"/>
    </row>
    <row r="18" spans="1:29" ht="15" customHeight="1" x14ac:dyDescent="0.2">
      <c r="A18" s="41" t="s">
        <v>192</v>
      </c>
      <c r="B18" s="28"/>
      <c r="C18" s="28"/>
      <c r="D18" s="28"/>
      <c r="E18" s="28"/>
      <c r="F18" s="29"/>
      <c r="G18" s="8">
        <v>-5</v>
      </c>
      <c r="H18" s="8">
        <v>18</v>
      </c>
      <c r="I18" s="8"/>
      <c r="J18" s="42"/>
      <c r="K18" s="28"/>
      <c r="L18" s="29"/>
      <c r="M18" s="8"/>
      <c r="N18" s="8">
        <v>0</v>
      </c>
      <c r="O18" s="8"/>
      <c r="P18" s="42"/>
      <c r="Q18" s="28"/>
      <c r="R18" s="28"/>
      <c r="S18" s="29"/>
      <c r="T18" s="8"/>
      <c r="U18" s="8">
        <v>0</v>
      </c>
      <c r="V18" s="8"/>
      <c r="W18" s="42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41"/>
      <c r="B19" s="28"/>
      <c r="C19" s="28"/>
      <c r="D19" s="28"/>
      <c r="E19" s="28"/>
      <c r="F19" s="29"/>
      <c r="G19" s="8"/>
      <c r="H19" s="8"/>
      <c r="I19" s="8"/>
      <c r="J19" s="42"/>
      <c r="K19" s="28"/>
      <c r="L19" s="29"/>
      <c r="M19" s="8"/>
      <c r="N19" s="8">
        <v>0</v>
      </c>
      <c r="O19" s="8"/>
      <c r="P19" s="42"/>
      <c r="Q19" s="28"/>
      <c r="R19" s="28"/>
      <c r="S19" s="29"/>
      <c r="T19" s="8"/>
      <c r="U19" s="8">
        <v>0</v>
      </c>
      <c r="V19" s="8"/>
      <c r="W19" s="42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41"/>
      <c r="B20" s="28"/>
      <c r="C20" s="28"/>
      <c r="D20" s="28"/>
      <c r="E20" s="28"/>
      <c r="F20" s="29"/>
      <c r="G20" s="8"/>
      <c r="H20" s="8"/>
      <c r="I20" s="8"/>
      <c r="J20" s="42"/>
      <c r="K20" s="28"/>
      <c r="L20" s="29"/>
      <c r="M20" s="8"/>
      <c r="N20" s="8">
        <v>0</v>
      </c>
      <c r="O20" s="8"/>
      <c r="P20" s="42"/>
      <c r="Q20" s="28"/>
      <c r="R20" s="28"/>
      <c r="S20" s="29"/>
      <c r="T20" s="8"/>
      <c r="U20" s="8">
        <v>0</v>
      </c>
      <c r="V20" s="8"/>
      <c r="W20" s="42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41"/>
      <c r="B21" s="28"/>
      <c r="C21" s="28"/>
      <c r="D21" s="28"/>
      <c r="E21" s="28"/>
      <c r="F21" s="29"/>
      <c r="G21" s="8"/>
      <c r="H21" s="8"/>
      <c r="I21" s="8"/>
      <c r="J21" s="42"/>
      <c r="K21" s="28"/>
      <c r="L21" s="29"/>
      <c r="M21" s="8"/>
      <c r="N21" s="8">
        <v>0</v>
      </c>
      <c r="O21" s="8"/>
      <c r="P21" s="42"/>
      <c r="Q21" s="28"/>
      <c r="R21" s="28"/>
      <c r="S21" s="29"/>
      <c r="T21" s="8"/>
      <c r="U21" s="8">
        <v>0</v>
      </c>
      <c r="V21" s="8"/>
      <c r="W21" s="42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41"/>
      <c r="B22" s="28"/>
      <c r="C22" s="28"/>
      <c r="D22" s="28"/>
      <c r="E22" s="28"/>
      <c r="F22" s="29"/>
      <c r="G22" s="8"/>
      <c r="H22" s="8"/>
      <c r="I22" s="8"/>
      <c r="J22" s="42"/>
      <c r="K22" s="28"/>
      <c r="L22" s="29"/>
      <c r="M22" s="8"/>
      <c r="N22" s="8">
        <v>0</v>
      </c>
      <c r="O22" s="8"/>
      <c r="P22" s="42"/>
      <c r="Q22" s="28"/>
      <c r="R22" s="28"/>
      <c r="S22" s="29"/>
      <c r="T22" s="8"/>
      <c r="U22" s="8">
        <v>0</v>
      </c>
      <c r="V22" s="8"/>
      <c r="W22" s="42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41"/>
      <c r="B23" s="28"/>
      <c r="C23" s="28"/>
      <c r="D23" s="28"/>
      <c r="E23" s="28"/>
      <c r="F23" s="29"/>
      <c r="G23" s="8"/>
      <c r="H23" s="8"/>
      <c r="I23" s="8"/>
      <c r="J23" s="42"/>
      <c r="K23" s="28"/>
      <c r="L23" s="29"/>
      <c r="M23" s="8"/>
      <c r="N23" s="8">
        <v>0</v>
      </c>
      <c r="O23" s="8"/>
      <c r="P23" s="42"/>
      <c r="Q23" s="28"/>
      <c r="R23" s="28"/>
      <c r="S23" s="29"/>
      <c r="T23" s="8"/>
      <c r="U23" s="8">
        <v>0</v>
      </c>
      <c r="V23" s="8"/>
      <c r="W23" s="42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41"/>
      <c r="B24" s="28"/>
      <c r="C24" s="28"/>
      <c r="D24" s="28"/>
      <c r="E24" s="28"/>
      <c r="F24" s="29"/>
      <c r="G24" s="8"/>
      <c r="H24" s="8"/>
      <c r="I24" s="8"/>
      <c r="J24" s="42"/>
      <c r="K24" s="28"/>
      <c r="L24" s="29"/>
      <c r="M24" s="8"/>
      <c r="N24" s="8">
        <v>0</v>
      </c>
      <c r="O24" s="8"/>
      <c r="P24" s="42"/>
      <c r="Q24" s="28"/>
      <c r="R24" s="28"/>
      <c r="S24" s="29"/>
      <c r="T24" s="8"/>
      <c r="U24" s="8">
        <v>0</v>
      </c>
      <c r="V24" s="8"/>
      <c r="W24" s="42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41"/>
      <c r="B25" s="28"/>
      <c r="C25" s="28"/>
      <c r="D25" s="28"/>
      <c r="E25" s="28"/>
      <c r="F25" s="29"/>
      <c r="G25" s="8"/>
      <c r="H25" s="8"/>
      <c r="I25" s="8"/>
      <c r="J25" s="42"/>
      <c r="K25" s="28"/>
      <c r="L25" s="29"/>
      <c r="M25" s="8"/>
      <c r="N25" s="8">
        <v>0</v>
      </c>
      <c r="O25" s="8"/>
      <c r="P25" s="42"/>
      <c r="Q25" s="28"/>
      <c r="R25" s="28"/>
      <c r="S25" s="29"/>
      <c r="T25" s="8"/>
      <c r="U25" s="8">
        <v>0</v>
      </c>
      <c r="V25" s="8"/>
      <c r="W25" s="42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41"/>
      <c r="B26" s="28"/>
      <c r="C26" s="28"/>
      <c r="D26" s="28"/>
      <c r="E26" s="28"/>
      <c r="F26" s="29"/>
      <c r="G26" s="8"/>
      <c r="H26" s="8"/>
      <c r="I26" s="8"/>
      <c r="J26" s="42"/>
      <c r="K26" s="28"/>
      <c r="L26" s="29"/>
      <c r="M26" s="8"/>
      <c r="N26" s="8">
        <v>0</v>
      </c>
      <c r="O26" s="8"/>
      <c r="P26" s="42"/>
      <c r="Q26" s="28"/>
      <c r="R26" s="28"/>
      <c r="S26" s="29"/>
      <c r="T26" s="8"/>
      <c r="U26" s="8">
        <v>0</v>
      </c>
      <c r="V26" s="8"/>
      <c r="W26" s="42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41"/>
      <c r="B27" s="28"/>
      <c r="C27" s="28"/>
      <c r="D27" s="28"/>
      <c r="E27" s="28"/>
      <c r="F27" s="29"/>
      <c r="G27" s="8"/>
      <c r="H27" s="8">
        <v>0</v>
      </c>
      <c r="I27" s="8"/>
      <c r="J27" s="42"/>
      <c r="K27" s="28"/>
      <c r="L27" s="29"/>
      <c r="M27" s="8"/>
      <c r="N27" s="8">
        <v>0</v>
      </c>
      <c r="O27" s="8"/>
      <c r="P27" s="42"/>
      <c r="Q27" s="28"/>
      <c r="R27" s="28"/>
      <c r="S27" s="29"/>
      <c r="T27" s="8"/>
      <c r="U27" s="8">
        <v>0</v>
      </c>
      <c r="V27" s="8"/>
      <c r="W27" s="42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41"/>
      <c r="B28" s="28"/>
      <c r="C28" s="28"/>
      <c r="D28" s="28"/>
      <c r="E28" s="28"/>
      <c r="F28" s="29"/>
      <c r="G28" s="8"/>
      <c r="H28" s="8">
        <v>0</v>
      </c>
      <c r="I28" s="8"/>
      <c r="J28" s="42"/>
      <c r="K28" s="28"/>
      <c r="L28" s="29"/>
      <c r="M28" s="8"/>
      <c r="N28" s="8">
        <v>0</v>
      </c>
      <c r="O28" s="8"/>
      <c r="P28" s="42"/>
      <c r="Q28" s="28"/>
      <c r="R28" s="28"/>
      <c r="S28" s="29"/>
      <c r="T28" s="8"/>
      <c r="U28" s="8">
        <v>0</v>
      </c>
      <c r="V28" s="8"/>
      <c r="W28" s="42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41"/>
      <c r="B29" s="28"/>
      <c r="C29" s="28"/>
      <c r="D29" s="28"/>
      <c r="E29" s="28"/>
      <c r="F29" s="29"/>
      <c r="G29" s="8"/>
      <c r="H29" s="8">
        <v>0</v>
      </c>
      <c r="I29" s="8"/>
      <c r="J29" s="42"/>
      <c r="K29" s="28"/>
      <c r="L29" s="29"/>
      <c r="M29" s="8"/>
      <c r="N29" s="8">
        <v>0</v>
      </c>
      <c r="O29" s="8"/>
      <c r="P29" s="42"/>
      <c r="Q29" s="28"/>
      <c r="R29" s="28"/>
      <c r="S29" s="29"/>
      <c r="T29" s="8"/>
      <c r="U29" s="8">
        <v>0</v>
      </c>
      <c r="V29" s="8"/>
      <c r="W29" s="42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41"/>
      <c r="B30" s="28"/>
      <c r="C30" s="28"/>
      <c r="D30" s="28"/>
      <c r="E30" s="28"/>
      <c r="F30" s="29"/>
      <c r="G30" s="8"/>
      <c r="H30" s="8">
        <v>0</v>
      </c>
      <c r="I30" s="8"/>
      <c r="J30" s="42"/>
      <c r="K30" s="28"/>
      <c r="L30" s="29"/>
      <c r="M30" s="8"/>
      <c r="N30" s="8">
        <v>0</v>
      </c>
      <c r="O30" s="8"/>
      <c r="P30" s="42"/>
      <c r="Q30" s="28"/>
      <c r="R30" s="28"/>
      <c r="S30" s="29"/>
      <c r="T30" s="8"/>
      <c r="U30" s="8">
        <v>0</v>
      </c>
      <c r="V30" s="8"/>
      <c r="W30" s="42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41"/>
      <c r="B31" s="28"/>
      <c r="C31" s="28"/>
      <c r="D31" s="28"/>
      <c r="E31" s="28"/>
      <c r="F31" s="29"/>
      <c r="G31" s="8"/>
      <c r="H31" s="8">
        <v>0</v>
      </c>
      <c r="I31" s="8"/>
      <c r="J31" s="42"/>
      <c r="K31" s="28"/>
      <c r="L31" s="29"/>
      <c r="M31" s="8"/>
      <c r="N31" s="8">
        <v>0</v>
      </c>
      <c r="O31" s="8"/>
      <c r="P31" s="42"/>
      <c r="Q31" s="28"/>
      <c r="R31" s="28"/>
      <c r="S31" s="29"/>
      <c r="T31" s="8"/>
      <c r="U31" s="8">
        <v>0</v>
      </c>
      <c r="V31" s="8"/>
      <c r="W31" s="42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41"/>
      <c r="B32" s="28"/>
      <c r="C32" s="28"/>
      <c r="D32" s="28"/>
      <c r="E32" s="28"/>
      <c r="F32" s="29"/>
      <c r="G32" s="8"/>
      <c r="H32" s="8">
        <v>0</v>
      </c>
      <c r="I32" s="8"/>
      <c r="J32" s="42"/>
      <c r="K32" s="28"/>
      <c r="L32" s="29"/>
      <c r="M32" s="8"/>
      <c r="N32" s="8">
        <v>0</v>
      </c>
      <c r="O32" s="8"/>
      <c r="P32" s="42"/>
      <c r="Q32" s="28"/>
      <c r="R32" s="28"/>
      <c r="S32" s="29"/>
      <c r="T32" s="8"/>
      <c r="U32" s="8">
        <v>0</v>
      </c>
      <c r="V32" s="8"/>
      <c r="W32" s="42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41"/>
      <c r="B33" s="28"/>
      <c r="C33" s="28"/>
      <c r="D33" s="28"/>
      <c r="E33" s="28"/>
      <c r="F33" s="29"/>
      <c r="G33" s="8"/>
      <c r="H33" s="8">
        <v>0</v>
      </c>
      <c r="I33" s="8"/>
      <c r="J33" s="42"/>
      <c r="K33" s="28"/>
      <c r="L33" s="29"/>
      <c r="M33" s="8"/>
      <c r="N33" s="8">
        <v>0</v>
      </c>
      <c r="O33" s="8"/>
      <c r="P33" s="42"/>
      <c r="Q33" s="28"/>
      <c r="R33" s="28"/>
      <c r="S33" s="29"/>
      <c r="T33" s="8"/>
      <c r="U33" s="8">
        <v>0</v>
      </c>
      <c r="V33" s="8"/>
      <c r="W33" s="42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41"/>
      <c r="B34" s="28"/>
      <c r="C34" s="28"/>
      <c r="D34" s="28"/>
      <c r="E34" s="28"/>
      <c r="F34" s="29"/>
      <c r="G34" s="8"/>
      <c r="H34" s="8">
        <v>0</v>
      </c>
      <c r="I34" s="8"/>
      <c r="J34" s="42"/>
      <c r="K34" s="28"/>
      <c r="L34" s="29"/>
      <c r="M34" s="8"/>
      <c r="N34" s="8">
        <v>0</v>
      </c>
      <c r="O34" s="8"/>
      <c r="P34" s="42"/>
      <c r="Q34" s="28"/>
      <c r="R34" s="28"/>
      <c r="S34" s="29"/>
      <c r="T34" s="8"/>
      <c r="U34" s="8">
        <v>0</v>
      </c>
      <c r="V34" s="8"/>
      <c r="W34" s="42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41"/>
      <c r="B35" s="28"/>
      <c r="C35" s="28"/>
      <c r="D35" s="28"/>
      <c r="E35" s="28"/>
      <c r="F35" s="29"/>
      <c r="G35" s="8"/>
      <c r="H35" s="8">
        <v>0</v>
      </c>
      <c r="I35" s="8"/>
      <c r="J35" s="42"/>
      <c r="K35" s="28"/>
      <c r="L35" s="29"/>
      <c r="M35" s="8"/>
      <c r="N35" s="8">
        <v>0</v>
      </c>
      <c r="O35" s="8"/>
      <c r="P35" s="42"/>
      <c r="Q35" s="28"/>
      <c r="R35" s="28"/>
      <c r="S35" s="29"/>
      <c r="T35" s="8"/>
      <c r="U35" s="8">
        <v>0</v>
      </c>
      <c r="V35" s="8"/>
      <c r="W35" s="42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41"/>
      <c r="B36" s="28"/>
      <c r="C36" s="28"/>
      <c r="D36" s="28"/>
      <c r="E36" s="28"/>
      <c r="F36" s="29"/>
      <c r="G36" s="8"/>
      <c r="H36" s="8">
        <v>0</v>
      </c>
      <c r="I36" s="8"/>
      <c r="J36" s="42"/>
      <c r="K36" s="28"/>
      <c r="L36" s="29"/>
      <c r="M36" s="8"/>
      <c r="N36" s="8">
        <v>0</v>
      </c>
      <c r="O36" s="8"/>
      <c r="P36" s="42"/>
      <c r="Q36" s="28"/>
      <c r="R36" s="28"/>
      <c r="S36" s="29"/>
      <c r="T36" s="8"/>
      <c r="U36" s="8">
        <v>0</v>
      </c>
      <c r="V36" s="8"/>
      <c r="W36" s="42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41"/>
      <c r="B37" s="28"/>
      <c r="C37" s="28"/>
      <c r="D37" s="28"/>
      <c r="E37" s="28"/>
      <c r="F37" s="29"/>
      <c r="G37" s="8"/>
      <c r="H37" s="8">
        <v>0</v>
      </c>
      <c r="I37" s="8"/>
      <c r="J37" s="42"/>
      <c r="K37" s="28"/>
      <c r="L37" s="29"/>
      <c r="M37" s="8"/>
      <c r="N37" s="8">
        <v>0</v>
      </c>
      <c r="O37" s="8"/>
      <c r="P37" s="42"/>
      <c r="Q37" s="28"/>
      <c r="R37" s="28"/>
      <c r="S37" s="29"/>
      <c r="T37" s="8"/>
      <c r="U37" s="8">
        <v>0</v>
      </c>
      <c r="V37" s="8"/>
      <c r="W37" s="42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43" t="s">
        <v>193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35" t="s">
        <v>194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44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47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48"/>
      <c r="V41" s="50"/>
      <c r="W41" s="43" t="s">
        <v>195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47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48"/>
      <c r="V42" s="51"/>
      <c r="W42" s="52"/>
      <c r="X42" s="45"/>
      <c r="Y42" s="45"/>
      <c r="Z42" s="45"/>
      <c r="AA42" s="45"/>
      <c r="AB42" s="4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P20:S20"/>
    <mergeCell ref="W20:Y20"/>
    <mergeCell ref="P21:S21"/>
    <mergeCell ref="W21:Y21"/>
    <mergeCell ref="P22:S22"/>
    <mergeCell ref="W22:Y22"/>
    <mergeCell ref="W23:Y23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18:Y18"/>
    <mergeCell ref="W19:Y19"/>
    <mergeCell ref="M17:O17"/>
    <mergeCell ref="P17:S17"/>
    <mergeCell ref="T17:V17"/>
    <mergeCell ref="W17:Y17"/>
    <mergeCell ref="Z17:AB17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5.570312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85546875" customWidth="1"/>
    <col min="8" max="8" width="21.7109375" customWidth="1"/>
    <col min="9" max="9" width="8.57031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196</v>
      </c>
      <c r="B1" s="14" t="s">
        <v>197</v>
      </c>
      <c r="C1" s="14" t="s">
        <v>198</v>
      </c>
      <c r="D1" s="14" t="s">
        <v>199</v>
      </c>
      <c r="E1" s="14" t="s">
        <v>200</v>
      </c>
      <c r="F1" s="14" t="s">
        <v>201</v>
      </c>
      <c r="G1" s="14" t="s">
        <v>202</v>
      </c>
      <c r="H1" s="14" t="s">
        <v>203</v>
      </c>
      <c r="I1" s="14" t="s">
        <v>204</v>
      </c>
      <c r="J1" s="14" t="s">
        <v>205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19" t="e">
        <f t="shared" ref="A2:E2" si="0">#REF!</f>
        <v>#REF!</v>
      </c>
      <c r="B2" s="20" t="e">
        <f t="shared" si="0"/>
        <v>#REF!</v>
      </c>
      <c r="C2" s="20" t="e">
        <f t="shared" si="0"/>
        <v>#REF!</v>
      </c>
      <c r="D2" s="20" t="e">
        <f t="shared" si="0"/>
        <v>#REF!</v>
      </c>
      <c r="E2" s="20" t="e">
        <f t="shared" si="0"/>
        <v>#REF!</v>
      </c>
      <c r="F2" s="20" t="e">
        <f>E2*D2</f>
        <v>#REF!</v>
      </c>
      <c r="G2" s="2" t="e">
        <f t="shared" ref="G2:H2" si="1">#REF!</f>
        <v>#REF!</v>
      </c>
      <c r="H2" s="2" t="e">
        <f t="shared" si="1"/>
        <v>#REF!</v>
      </c>
      <c r="I2" s="21" t="e">
        <f t="shared" ref="I2:I81" si="2">((H2*C2)/(F2*B2))*2</f>
        <v>#REF!</v>
      </c>
      <c r="J2" s="21" t="e">
        <f t="shared" ref="J2:J81" si="3">I2*1000</f>
        <v>#REF!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19" t="e">
        <f t="shared" ref="A3:A81" si="4">$A$2</f>
        <v>#REF!</v>
      </c>
      <c r="B3" s="20" t="e">
        <f t="shared" ref="B3:B81" si="5">$B$2</f>
        <v>#REF!</v>
      </c>
      <c r="C3" s="20" t="e">
        <f t="shared" ref="C3:C81" si="6">$C$2</f>
        <v>#REF!</v>
      </c>
      <c r="D3" s="20" t="e">
        <f t="shared" ref="D3:D81" si="7">$D$2</f>
        <v>#REF!</v>
      </c>
      <c r="E3" s="20" t="e">
        <f t="shared" ref="E3:E81" si="8">$E$2</f>
        <v>#REF!</v>
      </c>
      <c r="F3" s="20" t="e">
        <f t="shared" ref="F3:F81" si="9">$F$2</f>
        <v>#REF!</v>
      </c>
      <c r="G3" s="2" t="e">
        <f t="shared" ref="G3:H3" si="10">#REF!</f>
        <v>#REF!</v>
      </c>
      <c r="H3" s="2" t="e">
        <f t="shared" si="10"/>
        <v>#REF!</v>
      </c>
      <c r="I3" s="21" t="e">
        <f t="shared" si="2"/>
        <v>#REF!</v>
      </c>
      <c r="J3" s="21" t="e">
        <f t="shared" si="3"/>
        <v>#REF!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19" t="e">
        <f t="shared" si="4"/>
        <v>#REF!</v>
      </c>
      <c r="B4" s="20" t="e">
        <f t="shared" si="5"/>
        <v>#REF!</v>
      </c>
      <c r="C4" s="20" t="e">
        <f t="shared" si="6"/>
        <v>#REF!</v>
      </c>
      <c r="D4" s="20" t="e">
        <f t="shared" si="7"/>
        <v>#REF!</v>
      </c>
      <c r="E4" s="20" t="e">
        <f t="shared" si="8"/>
        <v>#REF!</v>
      </c>
      <c r="F4" s="20" t="e">
        <f t="shared" si="9"/>
        <v>#REF!</v>
      </c>
      <c r="G4" s="2" t="e">
        <f t="shared" ref="G4:H4" si="11">#REF!</f>
        <v>#REF!</v>
      </c>
      <c r="H4" s="2" t="e">
        <f t="shared" si="11"/>
        <v>#REF!</v>
      </c>
      <c r="I4" s="21" t="e">
        <f t="shared" si="2"/>
        <v>#REF!</v>
      </c>
      <c r="J4" s="21" t="e">
        <f t="shared" si="3"/>
        <v>#REF!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19" t="e">
        <f t="shared" si="4"/>
        <v>#REF!</v>
      </c>
      <c r="B5" s="20" t="e">
        <f t="shared" si="5"/>
        <v>#REF!</v>
      </c>
      <c r="C5" s="20" t="e">
        <f t="shared" si="6"/>
        <v>#REF!</v>
      </c>
      <c r="D5" s="20" t="e">
        <f t="shared" si="7"/>
        <v>#REF!</v>
      </c>
      <c r="E5" s="20" t="e">
        <f t="shared" si="8"/>
        <v>#REF!</v>
      </c>
      <c r="F5" s="20" t="e">
        <f t="shared" si="9"/>
        <v>#REF!</v>
      </c>
      <c r="G5" s="2" t="e">
        <f t="shared" ref="G5:H5" si="12">#REF!</f>
        <v>#REF!</v>
      </c>
      <c r="H5" s="2" t="e">
        <f t="shared" si="12"/>
        <v>#REF!</v>
      </c>
      <c r="I5" s="21" t="e">
        <f t="shared" si="2"/>
        <v>#REF!</v>
      </c>
      <c r="J5" s="21" t="e">
        <f t="shared" si="3"/>
        <v>#REF!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19" t="e">
        <f t="shared" si="4"/>
        <v>#REF!</v>
      </c>
      <c r="B6" s="20" t="e">
        <f t="shared" si="5"/>
        <v>#REF!</v>
      </c>
      <c r="C6" s="20" t="e">
        <f t="shared" si="6"/>
        <v>#REF!</v>
      </c>
      <c r="D6" s="20" t="e">
        <f t="shared" si="7"/>
        <v>#REF!</v>
      </c>
      <c r="E6" s="20" t="e">
        <f t="shared" si="8"/>
        <v>#REF!</v>
      </c>
      <c r="F6" s="20" t="e">
        <f t="shared" si="9"/>
        <v>#REF!</v>
      </c>
      <c r="G6" s="2" t="e">
        <f t="shared" ref="G6:H6" si="13">#REF!</f>
        <v>#REF!</v>
      </c>
      <c r="H6" s="2" t="e">
        <f t="shared" si="13"/>
        <v>#REF!</v>
      </c>
      <c r="I6" s="21" t="e">
        <f t="shared" si="2"/>
        <v>#REF!</v>
      </c>
      <c r="J6" s="21" t="e">
        <f t="shared" si="3"/>
        <v>#REF!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19" t="e">
        <f t="shared" si="4"/>
        <v>#REF!</v>
      </c>
      <c r="B7" s="20" t="e">
        <f t="shared" si="5"/>
        <v>#REF!</v>
      </c>
      <c r="C7" s="20" t="e">
        <f t="shared" si="6"/>
        <v>#REF!</v>
      </c>
      <c r="D7" s="20" t="e">
        <f t="shared" si="7"/>
        <v>#REF!</v>
      </c>
      <c r="E7" s="20" t="e">
        <f t="shared" si="8"/>
        <v>#REF!</v>
      </c>
      <c r="F7" s="20" t="e">
        <f t="shared" si="9"/>
        <v>#REF!</v>
      </c>
      <c r="G7" s="2" t="e">
        <f t="shared" ref="G7:H7" si="14">#REF!</f>
        <v>#REF!</v>
      </c>
      <c r="H7" s="2" t="e">
        <f t="shared" si="14"/>
        <v>#REF!</v>
      </c>
      <c r="I7" s="21" t="e">
        <f t="shared" si="2"/>
        <v>#REF!</v>
      </c>
      <c r="J7" s="21" t="e">
        <f t="shared" si="3"/>
        <v>#REF!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19" t="e">
        <f t="shared" si="4"/>
        <v>#REF!</v>
      </c>
      <c r="B8" s="20" t="e">
        <f t="shared" si="5"/>
        <v>#REF!</v>
      </c>
      <c r="C8" s="20" t="e">
        <f t="shared" si="6"/>
        <v>#REF!</v>
      </c>
      <c r="D8" s="20" t="e">
        <f t="shared" si="7"/>
        <v>#REF!</v>
      </c>
      <c r="E8" s="20" t="e">
        <f t="shared" si="8"/>
        <v>#REF!</v>
      </c>
      <c r="F8" s="20" t="e">
        <f t="shared" si="9"/>
        <v>#REF!</v>
      </c>
      <c r="G8" s="2" t="e">
        <f t="shared" ref="G8:H8" si="15">#REF!</f>
        <v>#REF!</v>
      </c>
      <c r="H8" s="2" t="e">
        <f t="shared" si="15"/>
        <v>#REF!</v>
      </c>
      <c r="I8" s="21" t="e">
        <f t="shared" si="2"/>
        <v>#REF!</v>
      </c>
      <c r="J8" s="21" t="e">
        <f t="shared" si="3"/>
        <v>#REF!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19" t="e">
        <f t="shared" si="4"/>
        <v>#REF!</v>
      </c>
      <c r="B9" s="20" t="e">
        <f t="shared" si="5"/>
        <v>#REF!</v>
      </c>
      <c r="C9" s="20" t="e">
        <f t="shared" si="6"/>
        <v>#REF!</v>
      </c>
      <c r="D9" s="20" t="e">
        <f t="shared" si="7"/>
        <v>#REF!</v>
      </c>
      <c r="E9" s="20" t="e">
        <f t="shared" si="8"/>
        <v>#REF!</v>
      </c>
      <c r="F9" s="20" t="e">
        <f t="shared" si="9"/>
        <v>#REF!</v>
      </c>
      <c r="G9" s="2" t="e">
        <f t="shared" ref="G9:H9" si="16">#REF!</f>
        <v>#REF!</v>
      </c>
      <c r="H9" s="2" t="e">
        <f t="shared" si="16"/>
        <v>#REF!</v>
      </c>
      <c r="I9" s="21" t="e">
        <f t="shared" si="2"/>
        <v>#REF!</v>
      </c>
      <c r="J9" s="21" t="e">
        <f t="shared" si="3"/>
        <v>#REF!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19" t="e">
        <f t="shared" si="4"/>
        <v>#REF!</v>
      </c>
      <c r="B10" s="20" t="e">
        <f t="shared" si="5"/>
        <v>#REF!</v>
      </c>
      <c r="C10" s="20" t="e">
        <f t="shared" si="6"/>
        <v>#REF!</v>
      </c>
      <c r="D10" s="20" t="e">
        <f t="shared" si="7"/>
        <v>#REF!</v>
      </c>
      <c r="E10" s="20" t="e">
        <f t="shared" si="8"/>
        <v>#REF!</v>
      </c>
      <c r="F10" s="20" t="e">
        <f t="shared" si="9"/>
        <v>#REF!</v>
      </c>
      <c r="G10" s="2" t="e">
        <f t="shared" ref="G10:H10" si="17">#REF!</f>
        <v>#REF!</v>
      </c>
      <c r="H10" s="2" t="e">
        <f t="shared" si="17"/>
        <v>#REF!</v>
      </c>
      <c r="I10" s="21" t="e">
        <f t="shared" si="2"/>
        <v>#REF!</v>
      </c>
      <c r="J10" s="21" t="e">
        <f t="shared" si="3"/>
        <v>#REF!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19" t="e">
        <f t="shared" si="4"/>
        <v>#REF!</v>
      </c>
      <c r="B11" s="20" t="e">
        <f t="shared" si="5"/>
        <v>#REF!</v>
      </c>
      <c r="C11" s="20" t="e">
        <f t="shared" si="6"/>
        <v>#REF!</v>
      </c>
      <c r="D11" s="20" t="e">
        <f t="shared" si="7"/>
        <v>#REF!</v>
      </c>
      <c r="E11" s="20" t="e">
        <f t="shared" si="8"/>
        <v>#REF!</v>
      </c>
      <c r="F11" s="20" t="e">
        <f t="shared" si="9"/>
        <v>#REF!</v>
      </c>
      <c r="G11" s="2" t="e">
        <f t="shared" ref="G11:H11" si="18">#REF!</f>
        <v>#REF!</v>
      </c>
      <c r="H11" s="2" t="e">
        <f t="shared" si="18"/>
        <v>#REF!</v>
      </c>
      <c r="I11" s="21" t="e">
        <f t="shared" si="2"/>
        <v>#REF!</v>
      </c>
      <c r="J11" s="21" t="e">
        <f t="shared" si="3"/>
        <v>#REF!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19" t="e">
        <f t="shared" si="4"/>
        <v>#REF!</v>
      </c>
      <c r="B12" s="20" t="e">
        <f t="shared" si="5"/>
        <v>#REF!</v>
      </c>
      <c r="C12" s="20" t="e">
        <f t="shared" si="6"/>
        <v>#REF!</v>
      </c>
      <c r="D12" s="20" t="e">
        <f t="shared" si="7"/>
        <v>#REF!</v>
      </c>
      <c r="E12" s="20" t="e">
        <f t="shared" si="8"/>
        <v>#REF!</v>
      </c>
      <c r="F12" s="20" t="e">
        <f t="shared" si="9"/>
        <v>#REF!</v>
      </c>
      <c r="G12" s="2" t="e">
        <f t="shared" ref="G12:H12" si="19">#REF!</f>
        <v>#REF!</v>
      </c>
      <c r="H12" s="2" t="e">
        <f t="shared" si="19"/>
        <v>#REF!</v>
      </c>
      <c r="I12" s="21" t="e">
        <f t="shared" si="2"/>
        <v>#REF!</v>
      </c>
      <c r="J12" s="21" t="e">
        <f t="shared" si="3"/>
        <v>#REF!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19" t="e">
        <f t="shared" si="4"/>
        <v>#REF!</v>
      </c>
      <c r="B13" s="20" t="e">
        <f t="shared" si="5"/>
        <v>#REF!</v>
      </c>
      <c r="C13" s="20" t="e">
        <f t="shared" si="6"/>
        <v>#REF!</v>
      </c>
      <c r="D13" s="20" t="e">
        <f t="shared" si="7"/>
        <v>#REF!</v>
      </c>
      <c r="E13" s="20" t="e">
        <f t="shared" si="8"/>
        <v>#REF!</v>
      </c>
      <c r="F13" s="20" t="e">
        <f t="shared" si="9"/>
        <v>#REF!</v>
      </c>
      <c r="G13" s="2" t="e">
        <f t="shared" ref="G13:H13" si="20">#REF!</f>
        <v>#REF!</v>
      </c>
      <c r="H13" s="2" t="e">
        <f t="shared" si="20"/>
        <v>#REF!</v>
      </c>
      <c r="I13" s="21" t="e">
        <f t="shared" si="2"/>
        <v>#REF!</v>
      </c>
      <c r="J13" s="21" t="e">
        <f t="shared" si="3"/>
        <v>#REF!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19" t="e">
        <f t="shared" si="4"/>
        <v>#REF!</v>
      </c>
      <c r="B14" s="20" t="e">
        <f t="shared" si="5"/>
        <v>#REF!</v>
      </c>
      <c r="C14" s="20" t="e">
        <f t="shared" si="6"/>
        <v>#REF!</v>
      </c>
      <c r="D14" s="20" t="e">
        <f t="shared" si="7"/>
        <v>#REF!</v>
      </c>
      <c r="E14" s="20" t="e">
        <f t="shared" si="8"/>
        <v>#REF!</v>
      </c>
      <c r="F14" s="20" t="e">
        <f t="shared" si="9"/>
        <v>#REF!</v>
      </c>
      <c r="G14" s="2" t="e">
        <f t="shared" ref="G14:H14" si="21">#REF!</f>
        <v>#REF!</v>
      </c>
      <c r="H14" s="2" t="e">
        <f t="shared" si="21"/>
        <v>#REF!</v>
      </c>
      <c r="I14" s="21" t="e">
        <f t="shared" si="2"/>
        <v>#REF!</v>
      </c>
      <c r="J14" s="21" t="e">
        <f t="shared" si="3"/>
        <v>#REF!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19" t="e">
        <f t="shared" si="4"/>
        <v>#REF!</v>
      </c>
      <c r="B15" s="20" t="e">
        <f t="shared" si="5"/>
        <v>#REF!</v>
      </c>
      <c r="C15" s="20" t="e">
        <f t="shared" si="6"/>
        <v>#REF!</v>
      </c>
      <c r="D15" s="20" t="e">
        <f t="shared" si="7"/>
        <v>#REF!</v>
      </c>
      <c r="E15" s="20" t="e">
        <f t="shared" si="8"/>
        <v>#REF!</v>
      </c>
      <c r="F15" s="20" t="e">
        <f t="shared" si="9"/>
        <v>#REF!</v>
      </c>
      <c r="G15" s="2" t="e">
        <f t="shared" ref="G15:H15" si="22">#REF!</f>
        <v>#REF!</v>
      </c>
      <c r="H15" s="2" t="e">
        <f t="shared" si="22"/>
        <v>#REF!</v>
      </c>
      <c r="I15" s="21" t="e">
        <f t="shared" si="2"/>
        <v>#REF!</v>
      </c>
      <c r="J15" s="21" t="e">
        <f t="shared" si="3"/>
        <v>#REF!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19" t="e">
        <f t="shared" si="4"/>
        <v>#REF!</v>
      </c>
      <c r="B16" s="20" t="e">
        <f t="shared" si="5"/>
        <v>#REF!</v>
      </c>
      <c r="C16" s="20" t="e">
        <f t="shared" si="6"/>
        <v>#REF!</v>
      </c>
      <c r="D16" s="20" t="e">
        <f t="shared" si="7"/>
        <v>#REF!</v>
      </c>
      <c r="E16" s="20" t="e">
        <f t="shared" si="8"/>
        <v>#REF!</v>
      </c>
      <c r="F16" s="20" t="e">
        <f t="shared" si="9"/>
        <v>#REF!</v>
      </c>
      <c r="G16" s="2" t="e">
        <f t="shared" ref="G16:H16" si="23">#REF!</f>
        <v>#REF!</v>
      </c>
      <c r="H16" s="2" t="e">
        <f t="shared" si="23"/>
        <v>#REF!</v>
      </c>
      <c r="I16" s="21" t="e">
        <f t="shared" si="2"/>
        <v>#REF!</v>
      </c>
      <c r="J16" s="21" t="e">
        <f t="shared" si="3"/>
        <v>#REF!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19" t="e">
        <f t="shared" si="4"/>
        <v>#REF!</v>
      </c>
      <c r="B17" s="20" t="e">
        <f t="shared" si="5"/>
        <v>#REF!</v>
      </c>
      <c r="C17" s="20" t="e">
        <f t="shared" si="6"/>
        <v>#REF!</v>
      </c>
      <c r="D17" s="20" t="e">
        <f t="shared" si="7"/>
        <v>#REF!</v>
      </c>
      <c r="E17" s="20" t="e">
        <f t="shared" si="8"/>
        <v>#REF!</v>
      </c>
      <c r="F17" s="20" t="e">
        <f t="shared" si="9"/>
        <v>#REF!</v>
      </c>
      <c r="G17" s="2" t="e">
        <f t="shared" ref="G17:H17" si="24">#REF!</f>
        <v>#REF!</v>
      </c>
      <c r="H17" s="2" t="e">
        <f t="shared" si="24"/>
        <v>#REF!</v>
      </c>
      <c r="I17" s="21" t="e">
        <f t="shared" si="2"/>
        <v>#REF!</v>
      </c>
      <c r="J17" s="21" t="e">
        <f t="shared" si="3"/>
        <v>#REF!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19" t="e">
        <f t="shared" si="4"/>
        <v>#REF!</v>
      </c>
      <c r="B18" s="20" t="e">
        <f t="shared" si="5"/>
        <v>#REF!</v>
      </c>
      <c r="C18" s="20" t="e">
        <f t="shared" si="6"/>
        <v>#REF!</v>
      </c>
      <c r="D18" s="20" t="e">
        <f t="shared" si="7"/>
        <v>#REF!</v>
      </c>
      <c r="E18" s="20" t="e">
        <f t="shared" si="8"/>
        <v>#REF!</v>
      </c>
      <c r="F18" s="20" t="e">
        <f t="shared" si="9"/>
        <v>#REF!</v>
      </c>
      <c r="G18" s="2" t="e">
        <f t="shared" ref="G18:H18" si="25">#REF!</f>
        <v>#REF!</v>
      </c>
      <c r="H18" s="2" t="e">
        <f t="shared" si="25"/>
        <v>#REF!</v>
      </c>
      <c r="I18" s="21" t="e">
        <f t="shared" si="2"/>
        <v>#REF!</v>
      </c>
      <c r="J18" s="21" t="e">
        <f t="shared" si="3"/>
        <v>#REF!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19" t="e">
        <f t="shared" si="4"/>
        <v>#REF!</v>
      </c>
      <c r="B19" s="20" t="e">
        <f t="shared" si="5"/>
        <v>#REF!</v>
      </c>
      <c r="C19" s="20" t="e">
        <f t="shared" si="6"/>
        <v>#REF!</v>
      </c>
      <c r="D19" s="20" t="e">
        <f t="shared" si="7"/>
        <v>#REF!</v>
      </c>
      <c r="E19" s="20" t="e">
        <f t="shared" si="8"/>
        <v>#REF!</v>
      </c>
      <c r="F19" s="20" t="e">
        <f t="shared" si="9"/>
        <v>#REF!</v>
      </c>
      <c r="G19" s="2">
        <f>'[1]Densidad de Grupos'!A35</f>
        <v>0</v>
      </c>
      <c r="H19" s="2" t="e">
        <f t="shared" ref="H19:H81" si="26">#REF!</f>
        <v>#REF!</v>
      </c>
      <c r="I19" s="21" t="e">
        <f t="shared" si="2"/>
        <v>#REF!</v>
      </c>
      <c r="J19" s="21" t="e">
        <f t="shared" si="3"/>
        <v>#REF!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19" t="e">
        <f t="shared" si="4"/>
        <v>#REF!</v>
      </c>
      <c r="B20" s="20" t="e">
        <f t="shared" si="5"/>
        <v>#REF!</v>
      </c>
      <c r="C20" s="20" t="e">
        <f t="shared" si="6"/>
        <v>#REF!</v>
      </c>
      <c r="D20" s="20" t="e">
        <f t="shared" si="7"/>
        <v>#REF!</v>
      </c>
      <c r="E20" s="20" t="e">
        <f t="shared" si="8"/>
        <v>#REF!</v>
      </c>
      <c r="F20" s="20" t="e">
        <f t="shared" si="9"/>
        <v>#REF!</v>
      </c>
      <c r="G20" s="2" t="s">
        <v>207</v>
      </c>
      <c r="H20" s="2" t="e">
        <f t="shared" si="26"/>
        <v>#REF!</v>
      </c>
      <c r="I20" s="21" t="e">
        <f t="shared" si="2"/>
        <v>#REF!</v>
      </c>
      <c r="J20" s="21" t="e">
        <f t="shared" si="3"/>
        <v>#REF!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19" t="e">
        <f t="shared" si="4"/>
        <v>#REF!</v>
      </c>
      <c r="B21" s="20" t="e">
        <f t="shared" si="5"/>
        <v>#REF!</v>
      </c>
      <c r="C21" s="20" t="e">
        <f t="shared" si="6"/>
        <v>#REF!</v>
      </c>
      <c r="D21" s="20" t="e">
        <f t="shared" si="7"/>
        <v>#REF!</v>
      </c>
      <c r="E21" s="20" t="e">
        <f t="shared" si="8"/>
        <v>#REF!</v>
      </c>
      <c r="F21" s="20" t="e">
        <f t="shared" si="9"/>
        <v>#REF!</v>
      </c>
      <c r="G21" s="2" t="s">
        <v>207</v>
      </c>
      <c r="H21" s="2" t="e">
        <f t="shared" si="26"/>
        <v>#REF!</v>
      </c>
      <c r="I21" s="21" t="e">
        <f t="shared" si="2"/>
        <v>#REF!</v>
      </c>
      <c r="J21" s="21" t="e">
        <f t="shared" si="3"/>
        <v>#REF!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19" t="e">
        <f t="shared" si="4"/>
        <v>#REF!</v>
      </c>
      <c r="B22" s="20" t="e">
        <f t="shared" si="5"/>
        <v>#REF!</v>
      </c>
      <c r="C22" s="20" t="e">
        <f t="shared" si="6"/>
        <v>#REF!</v>
      </c>
      <c r="D22" s="20" t="e">
        <f t="shared" si="7"/>
        <v>#REF!</v>
      </c>
      <c r="E22" s="20" t="e">
        <f t="shared" si="8"/>
        <v>#REF!</v>
      </c>
      <c r="F22" s="20" t="e">
        <f t="shared" si="9"/>
        <v>#REF!</v>
      </c>
      <c r="G22" s="2" t="s">
        <v>207</v>
      </c>
      <c r="H22" s="2" t="e">
        <f t="shared" si="26"/>
        <v>#REF!</v>
      </c>
      <c r="I22" s="21" t="e">
        <f t="shared" si="2"/>
        <v>#REF!</v>
      </c>
      <c r="J22" s="21" t="e">
        <f t="shared" si="3"/>
        <v>#REF!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19" t="e">
        <f t="shared" si="4"/>
        <v>#REF!</v>
      </c>
      <c r="B23" s="20" t="e">
        <f t="shared" si="5"/>
        <v>#REF!</v>
      </c>
      <c r="C23" s="20" t="e">
        <f t="shared" si="6"/>
        <v>#REF!</v>
      </c>
      <c r="D23" s="20" t="e">
        <f t="shared" si="7"/>
        <v>#REF!</v>
      </c>
      <c r="E23" s="20" t="e">
        <f t="shared" si="8"/>
        <v>#REF!</v>
      </c>
      <c r="F23" s="20" t="e">
        <f t="shared" si="9"/>
        <v>#REF!</v>
      </c>
      <c r="G23" s="2" t="s">
        <v>207</v>
      </c>
      <c r="H23" s="2" t="e">
        <f t="shared" si="26"/>
        <v>#REF!</v>
      </c>
      <c r="I23" s="21" t="e">
        <f t="shared" si="2"/>
        <v>#REF!</v>
      </c>
      <c r="J23" s="21" t="e">
        <f t="shared" si="3"/>
        <v>#REF!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19" t="e">
        <f t="shared" si="4"/>
        <v>#REF!</v>
      </c>
      <c r="B24" s="20" t="e">
        <f t="shared" si="5"/>
        <v>#REF!</v>
      </c>
      <c r="C24" s="20" t="e">
        <f t="shared" si="6"/>
        <v>#REF!</v>
      </c>
      <c r="D24" s="20" t="e">
        <f t="shared" si="7"/>
        <v>#REF!</v>
      </c>
      <c r="E24" s="20" t="e">
        <f t="shared" si="8"/>
        <v>#REF!</v>
      </c>
      <c r="F24" s="20" t="e">
        <f t="shared" si="9"/>
        <v>#REF!</v>
      </c>
      <c r="G24" s="2" t="s">
        <v>207</v>
      </c>
      <c r="H24" s="2" t="e">
        <f t="shared" si="26"/>
        <v>#REF!</v>
      </c>
      <c r="I24" s="21" t="e">
        <f t="shared" si="2"/>
        <v>#REF!</v>
      </c>
      <c r="J24" s="21" t="e">
        <f t="shared" si="3"/>
        <v>#REF!</v>
      </c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19" t="e">
        <f t="shared" si="4"/>
        <v>#REF!</v>
      </c>
      <c r="B25" s="20" t="e">
        <f t="shared" si="5"/>
        <v>#REF!</v>
      </c>
      <c r="C25" s="20" t="e">
        <f t="shared" si="6"/>
        <v>#REF!</v>
      </c>
      <c r="D25" s="20" t="e">
        <f t="shared" si="7"/>
        <v>#REF!</v>
      </c>
      <c r="E25" s="20" t="e">
        <f t="shared" si="8"/>
        <v>#REF!</v>
      </c>
      <c r="F25" s="20" t="e">
        <f t="shared" si="9"/>
        <v>#REF!</v>
      </c>
      <c r="G25" s="2" t="s">
        <v>207</v>
      </c>
      <c r="H25" s="2" t="e">
        <f t="shared" si="26"/>
        <v>#REF!</v>
      </c>
      <c r="I25" s="21" t="e">
        <f t="shared" si="2"/>
        <v>#REF!</v>
      </c>
      <c r="J25" s="21" t="e">
        <f t="shared" si="3"/>
        <v>#REF!</v>
      </c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19" t="e">
        <f t="shared" si="4"/>
        <v>#REF!</v>
      </c>
      <c r="B26" s="20" t="e">
        <f t="shared" si="5"/>
        <v>#REF!</v>
      </c>
      <c r="C26" s="20" t="e">
        <f t="shared" si="6"/>
        <v>#REF!</v>
      </c>
      <c r="D26" s="20" t="e">
        <f t="shared" si="7"/>
        <v>#REF!</v>
      </c>
      <c r="E26" s="20" t="e">
        <f t="shared" si="8"/>
        <v>#REF!</v>
      </c>
      <c r="F26" s="20" t="e">
        <f t="shared" si="9"/>
        <v>#REF!</v>
      </c>
      <c r="G26" s="2">
        <f>'[1]Densidad de Grupos'!J22</f>
        <v>0</v>
      </c>
      <c r="H26" s="2" t="e">
        <f t="shared" si="26"/>
        <v>#REF!</v>
      </c>
      <c r="I26" s="21" t="e">
        <f t="shared" si="2"/>
        <v>#REF!</v>
      </c>
      <c r="J26" s="21" t="e">
        <f t="shared" si="3"/>
        <v>#REF!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19" t="e">
        <f t="shared" si="4"/>
        <v>#REF!</v>
      </c>
      <c r="B27" s="20" t="e">
        <f t="shared" si="5"/>
        <v>#REF!</v>
      </c>
      <c r="C27" s="20" t="e">
        <f t="shared" si="6"/>
        <v>#REF!</v>
      </c>
      <c r="D27" s="20" t="e">
        <f t="shared" si="7"/>
        <v>#REF!</v>
      </c>
      <c r="E27" s="20" t="e">
        <f t="shared" si="8"/>
        <v>#REF!</v>
      </c>
      <c r="F27" s="20" t="e">
        <f t="shared" si="9"/>
        <v>#REF!</v>
      </c>
      <c r="G27" s="2" t="s">
        <v>207</v>
      </c>
      <c r="H27" s="2" t="e">
        <f t="shared" si="26"/>
        <v>#REF!</v>
      </c>
      <c r="I27" s="21" t="e">
        <f t="shared" si="2"/>
        <v>#REF!</v>
      </c>
      <c r="J27" s="21" t="e">
        <f t="shared" si="3"/>
        <v>#REF!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19" t="e">
        <f t="shared" si="4"/>
        <v>#REF!</v>
      </c>
      <c r="B28" s="20" t="e">
        <f t="shared" si="5"/>
        <v>#REF!</v>
      </c>
      <c r="C28" s="20" t="e">
        <f t="shared" si="6"/>
        <v>#REF!</v>
      </c>
      <c r="D28" s="20" t="e">
        <f t="shared" si="7"/>
        <v>#REF!</v>
      </c>
      <c r="E28" s="20" t="e">
        <f t="shared" si="8"/>
        <v>#REF!</v>
      </c>
      <c r="F28" s="20" t="e">
        <f t="shared" si="9"/>
        <v>#REF!</v>
      </c>
      <c r="G28" s="2" t="s">
        <v>207</v>
      </c>
      <c r="H28" s="2" t="e">
        <f t="shared" si="26"/>
        <v>#REF!</v>
      </c>
      <c r="I28" s="21" t="e">
        <f t="shared" si="2"/>
        <v>#REF!</v>
      </c>
      <c r="J28" s="21" t="e">
        <f t="shared" si="3"/>
        <v>#REF!</v>
      </c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19" t="e">
        <f t="shared" si="4"/>
        <v>#REF!</v>
      </c>
      <c r="B29" s="20" t="e">
        <f t="shared" si="5"/>
        <v>#REF!</v>
      </c>
      <c r="C29" s="20" t="e">
        <f t="shared" si="6"/>
        <v>#REF!</v>
      </c>
      <c r="D29" s="20" t="e">
        <f t="shared" si="7"/>
        <v>#REF!</v>
      </c>
      <c r="E29" s="20" t="e">
        <f t="shared" si="8"/>
        <v>#REF!</v>
      </c>
      <c r="F29" s="20" t="e">
        <f t="shared" si="9"/>
        <v>#REF!</v>
      </c>
      <c r="G29" s="2" t="s">
        <v>207</v>
      </c>
      <c r="H29" s="2" t="e">
        <f t="shared" si="26"/>
        <v>#REF!</v>
      </c>
      <c r="I29" s="21" t="e">
        <f t="shared" si="2"/>
        <v>#REF!</v>
      </c>
      <c r="J29" s="21" t="e">
        <f t="shared" si="3"/>
        <v>#REF!</v>
      </c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19" t="e">
        <f t="shared" si="4"/>
        <v>#REF!</v>
      </c>
      <c r="B30" s="20" t="e">
        <f t="shared" si="5"/>
        <v>#REF!</v>
      </c>
      <c r="C30" s="20" t="e">
        <f t="shared" si="6"/>
        <v>#REF!</v>
      </c>
      <c r="D30" s="20" t="e">
        <f t="shared" si="7"/>
        <v>#REF!</v>
      </c>
      <c r="E30" s="20" t="e">
        <f t="shared" si="8"/>
        <v>#REF!</v>
      </c>
      <c r="F30" s="20" t="e">
        <f t="shared" si="9"/>
        <v>#REF!</v>
      </c>
      <c r="G30" s="2" t="s">
        <v>207</v>
      </c>
      <c r="H30" s="2" t="e">
        <f t="shared" si="26"/>
        <v>#REF!</v>
      </c>
      <c r="I30" s="21" t="e">
        <f t="shared" si="2"/>
        <v>#REF!</v>
      </c>
      <c r="J30" s="21" t="e">
        <f t="shared" si="3"/>
        <v>#REF!</v>
      </c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19" t="e">
        <f t="shared" si="4"/>
        <v>#REF!</v>
      </c>
      <c r="B31" s="20" t="e">
        <f t="shared" si="5"/>
        <v>#REF!</v>
      </c>
      <c r="C31" s="20" t="e">
        <f t="shared" si="6"/>
        <v>#REF!</v>
      </c>
      <c r="D31" s="20" t="e">
        <f t="shared" si="7"/>
        <v>#REF!</v>
      </c>
      <c r="E31" s="20" t="e">
        <f t="shared" si="8"/>
        <v>#REF!</v>
      </c>
      <c r="F31" s="20" t="e">
        <f t="shared" si="9"/>
        <v>#REF!</v>
      </c>
      <c r="G31" s="2" t="s">
        <v>207</v>
      </c>
      <c r="H31" s="2" t="e">
        <f t="shared" si="26"/>
        <v>#REF!</v>
      </c>
      <c r="I31" s="21" t="e">
        <f t="shared" si="2"/>
        <v>#REF!</v>
      </c>
      <c r="J31" s="21" t="e">
        <f t="shared" si="3"/>
        <v>#REF!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19" t="e">
        <f t="shared" si="4"/>
        <v>#REF!</v>
      </c>
      <c r="B32" s="20" t="e">
        <f t="shared" si="5"/>
        <v>#REF!</v>
      </c>
      <c r="C32" s="20" t="e">
        <f t="shared" si="6"/>
        <v>#REF!</v>
      </c>
      <c r="D32" s="20" t="e">
        <f t="shared" si="7"/>
        <v>#REF!</v>
      </c>
      <c r="E32" s="20" t="e">
        <f t="shared" si="8"/>
        <v>#REF!</v>
      </c>
      <c r="F32" s="20" t="e">
        <f t="shared" si="9"/>
        <v>#REF!</v>
      </c>
      <c r="G32" s="2" t="s">
        <v>207</v>
      </c>
      <c r="H32" s="2" t="e">
        <f t="shared" si="26"/>
        <v>#REF!</v>
      </c>
      <c r="I32" s="21" t="e">
        <f t="shared" si="2"/>
        <v>#REF!</v>
      </c>
      <c r="J32" s="21" t="e">
        <f t="shared" si="3"/>
        <v>#REF!</v>
      </c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19" t="e">
        <f t="shared" si="4"/>
        <v>#REF!</v>
      </c>
      <c r="B33" s="20" t="e">
        <f t="shared" si="5"/>
        <v>#REF!</v>
      </c>
      <c r="C33" s="20" t="e">
        <f t="shared" si="6"/>
        <v>#REF!</v>
      </c>
      <c r="D33" s="20" t="e">
        <f t="shared" si="7"/>
        <v>#REF!</v>
      </c>
      <c r="E33" s="20" t="e">
        <f t="shared" si="8"/>
        <v>#REF!</v>
      </c>
      <c r="F33" s="20" t="e">
        <f t="shared" si="9"/>
        <v>#REF!</v>
      </c>
      <c r="G33" s="2" t="s">
        <v>207</v>
      </c>
      <c r="H33" s="2" t="e">
        <f t="shared" si="26"/>
        <v>#REF!</v>
      </c>
      <c r="I33" s="21" t="e">
        <f t="shared" si="2"/>
        <v>#REF!</v>
      </c>
      <c r="J33" s="21" t="e">
        <f t="shared" si="3"/>
        <v>#REF!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19" t="e">
        <f t="shared" si="4"/>
        <v>#REF!</v>
      </c>
      <c r="B34" s="20" t="e">
        <f t="shared" si="5"/>
        <v>#REF!</v>
      </c>
      <c r="C34" s="20" t="e">
        <f t="shared" si="6"/>
        <v>#REF!</v>
      </c>
      <c r="D34" s="20" t="e">
        <f t="shared" si="7"/>
        <v>#REF!</v>
      </c>
      <c r="E34" s="20" t="e">
        <f t="shared" si="8"/>
        <v>#REF!</v>
      </c>
      <c r="F34" s="20" t="e">
        <f t="shared" si="9"/>
        <v>#REF!</v>
      </c>
      <c r="G34" s="2" t="s">
        <v>207</v>
      </c>
      <c r="H34" s="2" t="e">
        <f t="shared" si="26"/>
        <v>#REF!</v>
      </c>
      <c r="I34" s="21" t="e">
        <f t="shared" si="2"/>
        <v>#REF!</v>
      </c>
      <c r="J34" s="21" t="e">
        <f t="shared" si="3"/>
        <v>#REF!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19" t="e">
        <f t="shared" si="4"/>
        <v>#REF!</v>
      </c>
      <c r="B35" s="20" t="e">
        <f t="shared" si="5"/>
        <v>#REF!</v>
      </c>
      <c r="C35" s="20" t="e">
        <f t="shared" si="6"/>
        <v>#REF!</v>
      </c>
      <c r="D35" s="20" t="e">
        <f t="shared" si="7"/>
        <v>#REF!</v>
      </c>
      <c r="E35" s="20" t="e">
        <f t="shared" si="8"/>
        <v>#REF!</v>
      </c>
      <c r="F35" s="20" t="e">
        <f t="shared" si="9"/>
        <v>#REF!</v>
      </c>
      <c r="G35" s="2" t="s">
        <v>207</v>
      </c>
      <c r="H35" s="2" t="e">
        <f t="shared" si="26"/>
        <v>#REF!</v>
      </c>
      <c r="I35" s="21" t="e">
        <f t="shared" si="2"/>
        <v>#REF!</v>
      </c>
      <c r="J35" s="21" t="e">
        <f t="shared" si="3"/>
        <v>#REF!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19" t="e">
        <f t="shared" si="4"/>
        <v>#REF!</v>
      </c>
      <c r="B36" s="20" t="e">
        <f t="shared" si="5"/>
        <v>#REF!</v>
      </c>
      <c r="C36" s="20" t="e">
        <f t="shared" si="6"/>
        <v>#REF!</v>
      </c>
      <c r="D36" s="20" t="e">
        <f t="shared" si="7"/>
        <v>#REF!</v>
      </c>
      <c r="E36" s="20" t="e">
        <f t="shared" si="8"/>
        <v>#REF!</v>
      </c>
      <c r="F36" s="20" t="e">
        <f t="shared" si="9"/>
        <v>#REF!</v>
      </c>
      <c r="G36" s="2" t="s">
        <v>207</v>
      </c>
      <c r="H36" s="2" t="e">
        <f t="shared" si="26"/>
        <v>#REF!</v>
      </c>
      <c r="I36" s="21" t="e">
        <f t="shared" si="2"/>
        <v>#REF!</v>
      </c>
      <c r="J36" s="21" t="e">
        <f t="shared" si="3"/>
        <v>#REF!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19" t="e">
        <f t="shared" si="4"/>
        <v>#REF!</v>
      </c>
      <c r="B37" s="20" t="e">
        <f t="shared" si="5"/>
        <v>#REF!</v>
      </c>
      <c r="C37" s="20" t="e">
        <f t="shared" si="6"/>
        <v>#REF!</v>
      </c>
      <c r="D37" s="20" t="e">
        <f t="shared" si="7"/>
        <v>#REF!</v>
      </c>
      <c r="E37" s="20" t="e">
        <f t="shared" si="8"/>
        <v>#REF!</v>
      </c>
      <c r="F37" s="20" t="e">
        <f t="shared" si="9"/>
        <v>#REF!</v>
      </c>
      <c r="G37" s="2" t="s">
        <v>207</v>
      </c>
      <c r="H37" s="2" t="e">
        <f t="shared" si="26"/>
        <v>#REF!</v>
      </c>
      <c r="I37" s="21" t="e">
        <f t="shared" si="2"/>
        <v>#REF!</v>
      </c>
      <c r="J37" s="21" t="e">
        <f t="shared" si="3"/>
        <v>#REF!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19" t="e">
        <f t="shared" si="4"/>
        <v>#REF!</v>
      </c>
      <c r="B38" s="20" t="e">
        <f t="shared" si="5"/>
        <v>#REF!</v>
      </c>
      <c r="C38" s="20" t="e">
        <f t="shared" si="6"/>
        <v>#REF!</v>
      </c>
      <c r="D38" s="20" t="e">
        <f t="shared" si="7"/>
        <v>#REF!</v>
      </c>
      <c r="E38" s="20" t="e">
        <f t="shared" si="8"/>
        <v>#REF!</v>
      </c>
      <c r="F38" s="20" t="e">
        <f t="shared" si="9"/>
        <v>#REF!</v>
      </c>
      <c r="G38" s="2" t="s">
        <v>207</v>
      </c>
      <c r="H38" s="2" t="e">
        <f t="shared" si="26"/>
        <v>#REF!</v>
      </c>
      <c r="I38" s="21" t="e">
        <f t="shared" si="2"/>
        <v>#REF!</v>
      </c>
      <c r="J38" s="21" t="e">
        <f t="shared" si="3"/>
        <v>#REF!</v>
      </c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19" t="e">
        <f t="shared" si="4"/>
        <v>#REF!</v>
      </c>
      <c r="B39" s="20" t="e">
        <f t="shared" si="5"/>
        <v>#REF!</v>
      </c>
      <c r="C39" s="20" t="e">
        <f t="shared" si="6"/>
        <v>#REF!</v>
      </c>
      <c r="D39" s="20" t="e">
        <f t="shared" si="7"/>
        <v>#REF!</v>
      </c>
      <c r="E39" s="20" t="e">
        <f t="shared" si="8"/>
        <v>#REF!</v>
      </c>
      <c r="F39" s="20" t="e">
        <f t="shared" si="9"/>
        <v>#REF!</v>
      </c>
      <c r="G39" s="2" t="s">
        <v>207</v>
      </c>
      <c r="H39" s="2" t="e">
        <f t="shared" si="26"/>
        <v>#REF!</v>
      </c>
      <c r="I39" s="21" t="e">
        <f t="shared" si="2"/>
        <v>#REF!</v>
      </c>
      <c r="J39" s="21" t="e">
        <f t="shared" si="3"/>
        <v>#REF!</v>
      </c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19" t="e">
        <f t="shared" si="4"/>
        <v>#REF!</v>
      </c>
      <c r="B40" s="20" t="e">
        <f t="shared" si="5"/>
        <v>#REF!</v>
      </c>
      <c r="C40" s="20" t="e">
        <f t="shared" si="6"/>
        <v>#REF!</v>
      </c>
      <c r="D40" s="20" t="e">
        <f t="shared" si="7"/>
        <v>#REF!</v>
      </c>
      <c r="E40" s="20" t="e">
        <f t="shared" si="8"/>
        <v>#REF!</v>
      </c>
      <c r="F40" s="20" t="e">
        <f t="shared" si="9"/>
        <v>#REF!</v>
      </c>
      <c r="G40" s="2" t="s">
        <v>207</v>
      </c>
      <c r="H40" s="2" t="e">
        <f t="shared" si="26"/>
        <v>#REF!</v>
      </c>
      <c r="I40" s="21" t="e">
        <f t="shared" si="2"/>
        <v>#REF!</v>
      </c>
      <c r="J40" s="21" t="e">
        <f t="shared" si="3"/>
        <v>#REF!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19" t="e">
        <f t="shared" si="4"/>
        <v>#REF!</v>
      </c>
      <c r="B41" s="20" t="e">
        <f t="shared" si="5"/>
        <v>#REF!</v>
      </c>
      <c r="C41" s="20" t="e">
        <f t="shared" si="6"/>
        <v>#REF!</v>
      </c>
      <c r="D41" s="20" t="e">
        <f t="shared" si="7"/>
        <v>#REF!</v>
      </c>
      <c r="E41" s="20" t="e">
        <f t="shared" si="8"/>
        <v>#REF!</v>
      </c>
      <c r="F41" s="20" t="e">
        <f t="shared" si="9"/>
        <v>#REF!</v>
      </c>
      <c r="G41" s="2" t="s">
        <v>207</v>
      </c>
      <c r="H41" s="2" t="e">
        <f t="shared" si="26"/>
        <v>#REF!</v>
      </c>
      <c r="I41" s="21" t="e">
        <f t="shared" si="2"/>
        <v>#REF!</v>
      </c>
      <c r="J41" s="21" t="e">
        <f t="shared" si="3"/>
        <v>#REF!</v>
      </c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19" t="e">
        <f t="shared" si="4"/>
        <v>#REF!</v>
      </c>
      <c r="B42" s="20" t="e">
        <f t="shared" si="5"/>
        <v>#REF!</v>
      </c>
      <c r="C42" s="20" t="e">
        <f t="shared" si="6"/>
        <v>#REF!</v>
      </c>
      <c r="D42" s="20" t="e">
        <f t="shared" si="7"/>
        <v>#REF!</v>
      </c>
      <c r="E42" s="20" t="e">
        <f t="shared" si="8"/>
        <v>#REF!</v>
      </c>
      <c r="F42" s="20" t="e">
        <f t="shared" si="9"/>
        <v>#REF!</v>
      </c>
      <c r="G42" s="2" t="s">
        <v>207</v>
      </c>
      <c r="H42" s="2" t="e">
        <f t="shared" si="26"/>
        <v>#REF!</v>
      </c>
      <c r="I42" s="21" t="e">
        <f t="shared" si="2"/>
        <v>#REF!</v>
      </c>
      <c r="J42" s="21" t="e">
        <f t="shared" si="3"/>
        <v>#REF!</v>
      </c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19" t="e">
        <f t="shared" si="4"/>
        <v>#REF!</v>
      </c>
      <c r="B43" s="20" t="e">
        <f t="shared" si="5"/>
        <v>#REF!</v>
      </c>
      <c r="C43" s="20" t="e">
        <f t="shared" si="6"/>
        <v>#REF!</v>
      </c>
      <c r="D43" s="20" t="e">
        <f t="shared" si="7"/>
        <v>#REF!</v>
      </c>
      <c r="E43" s="20" t="e">
        <f t="shared" si="8"/>
        <v>#REF!</v>
      </c>
      <c r="F43" s="20" t="e">
        <f t="shared" si="9"/>
        <v>#REF!</v>
      </c>
      <c r="G43" s="2" t="s">
        <v>207</v>
      </c>
      <c r="H43" s="2" t="e">
        <f t="shared" si="26"/>
        <v>#REF!</v>
      </c>
      <c r="I43" s="21" t="e">
        <f t="shared" si="2"/>
        <v>#REF!</v>
      </c>
      <c r="J43" s="21" t="e">
        <f t="shared" si="3"/>
        <v>#REF!</v>
      </c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19" t="e">
        <f t="shared" si="4"/>
        <v>#REF!</v>
      </c>
      <c r="B44" s="20" t="e">
        <f t="shared" si="5"/>
        <v>#REF!</v>
      </c>
      <c r="C44" s="20" t="e">
        <f t="shared" si="6"/>
        <v>#REF!</v>
      </c>
      <c r="D44" s="20" t="e">
        <f t="shared" si="7"/>
        <v>#REF!</v>
      </c>
      <c r="E44" s="20" t="e">
        <f t="shared" si="8"/>
        <v>#REF!</v>
      </c>
      <c r="F44" s="20" t="e">
        <f t="shared" si="9"/>
        <v>#REF!</v>
      </c>
      <c r="G44" s="2" t="s">
        <v>207</v>
      </c>
      <c r="H44" s="2" t="e">
        <f t="shared" si="26"/>
        <v>#REF!</v>
      </c>
      <c r="I44" s="21" t="e">
        <f t="shared" si="2"/>
        <v>#REF!</v>
      </c>
      <c r="J44" s="21" t="e">
        <f t="shared" si="3"/>
        <v>#REF!</v>
      </c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19" t="e">
        <f t="shared" si="4"/>
        <v>#REF!</v>
      </c>
      <c r="B45" s="20" t="e">
        <f t="shared" si="5"/>
        <v>#REF!</v>
      </c>
      <c r="C45" s="20" t="e">
        <f t="shared" si="6"/>
        <v>#REF!</v>
      </c>
      <c r="D45" s="20" t="e">
        <f t="shared" si="7"/>
        <v>#REF!</v>
      </c>
      <c r="E45" s="20" t="e">
        <f t="shared" si="8"/>
        <v>#REF!</v>
      </c>
      <c r="F45" s="20" t="e">
        <f t="shared" si="9"/>
        <v>#REF!</v>
      </c>
      <c r="G45" s="2" t="s">
        <v>207</v>
      </c>
      <c r="H45" s="2" t="e">
        <f t="shared" si="26"/>
        <v>#REF!</v>
      </c>
      <c r="I45" s="21" t="e">
        <f t="shared" si="2"/>
        <v>#REF!</v>
      </c>
      <c r="J45" s="21" t="e">
        <f t="shared" si="3"/>
        <v>#REF!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19" t="e">
        <f t="shared" si="4"/>
        <v>#REF!</v>
      </c>
      <c r="B46" s="20" t="e">
        <f t="shared" si="5"/>
        <v>#REF!</v>
      </c>
      <c r="C46" s="20" t="e">
        <f t="shared" si="6"/>
        <v>#REF!</v>
      </c>
      <c r="D46" s="20" t="e">
        <f t="shared" si="7"/>
        <v>#REF!</v>
      </c>
      <c r="E46" s="20" t="e">
        <f t="shared" si="8"/>
        <v>#REF!</v>
      </c>
      <c r="F46" s="20" t="e">
        <f t="shared" si="9"/>
        <v>#REF!</v>
      </c>
      <c r="G46" s="2" t="s">
        <v>207</v>
      </c>
      <c r="H46" s="2" t="e">
        <f t="shared" si="26"/>
        <v>#REF!</v>
      </c>
      <c r="I46" s="21" t="e">
        <f t="shared" si="2"/>
        <v>#REF!</v>
      </c>
      <c r="J46" s="21" t="e">
        <f t="shared" si="3"/>
        <v>#REF!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19" t="e">
        <f t="shared" si="4"/>
        <v>#REF!</v>
      </c>
      <c r="B47" s="20" t="e">
        <f t="shared" si="5"/>
        <v>#REF!</v>
      </c>
      <c r="C47" s="20" t="e">
        <f t="shared" si="6"/>
        <v>#REF!</v>
      </c>
      <c r="D47" s="20" t="e">
        <f t="shared" si="7"/>
        <v>#REF!</v>
      </c>
      <c r="E47" s="20" t="e">
        <f t="shared" si="8"/>
        <v>#REF!</v>
      </c>
      <c r="F47" s="20" t="e">
        <f t="shared" si="9"/>
        <v>#REF!</v>
      </c>
      <c r="G47" s="2" t="s">
        <v>207</v>
      </c>
      <c r="H47" s="2" t="e">
        <f t="shared" si="26"/>
        <v>#REF!</v>
      </c>
      <c r="I47" s="21" t="e">
        <f t="shared" si="2"/>
        <v>#REF!</v>
      </c>
      <c r="J47" s="21" t="e">
        <f t="shared" si="3"/>
        <v>#REF!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19" t="e">
        <f t="shared" si="4"/>
        <v>#REF!</v>
      </c>
      <c r="B48" s="20" t="e">
        <f t="shared" si="5"/>
        <v>#REF!</v>
      </c>
      <c r="C48" s="20" t="e">
        <f t="shared" si="6"/>
        <v>#REF!</v>
      </c>
      <c r="D48" s="20" t="e">
        <f t="shared" si="7"/>
        <v>#REF!</v>
      </c>
      <c r="E48" s="20" t="e">
        <f t="shared" si="8"/>
        <v>#REF!</v>
      </c>
      <c r="F48" s="20" t="e">
        <f t="shared" si="9"/>
        <v>#REF!</v>
      </c>
      <c r="G48" s="2" t="s">
        <v>207</v>
      </c>
      <c r="H48" s="2" t="e">
        <f t="shared" si="26"/>
        <v>#REF!</v>
      </c>
      <c r="I48" s="21" t="e">
        <f t="shared" si="2"/>
        <v>#REF!</v>
      </c>
      <c r="J48" s="21" t="e">
        <f t="shared" si="3"/>
        <v>#REF!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19" t="e">
        <f t="shared" si="4"/>
        <v>#REF!</v>
      </c>
      <c r="B49" s="20" t="e">
        <f t="shared" si="5"/>
        <v>#REF!</v>
      </c>
      <c r="C49" s="20" t="e">
        <f t="shared" si="6"/>
        <v>#REF!</v>
      </c>
      <c r="D49" s="20" t="e">
        <f t="shared" si="7"/>
        <v>#REF!</v>
      </c>
      <c r="E49" s="20" t="e">
        <f t="shared" si="8"/>
        <v>#REF!</v>
      </c>
      <c r="F49" s="20" t="e">
        <f t="shared" si="9"/>
        <v>#REF!</v>
      </c>
      <c r="G49" s="2" t="s">
        <v>207</v>
      </c>
      <c r="H49" s="2" t="e">
        <f t="shared" si="26"/>
        <v>#REF!</v>
      </c>
      <c r="I49" s="21" t="e">
        <f t="shared" si="2"/>
        <v>#REF!</v>
      </c>
      <c r="J49" s="21" t="e">
        <f t="shared" si="3"/>
        <v>#REF!</v>
      </c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19" t="e">
        <f t="shared" si="4"/>
        <v>#REF!</v>
      </c>
      <c r="B50" s="20" t="e">
        <f t="shared" si="5"/>
        <v>#REF!</v>
      </c>
      <c r="C50" s="20" t="e">
        <f t="shared" si="6"/>
        <v>#REF!</v>
      </c>
      <c r="D50" s="20" t="e">
        <f t="shared" si="7"/>
        <v>#REF!</v>
      </c>
      <c r="E50" s="20" t="e">
        <f t="shared" si="8"/>
        <v>#REF!</v>
      </c>
      <c r="F50" s="20" t="e">
        <f t="shared" si="9"/>
        <v>#REF!</v>
      </c>
      <c r="G50" s="2" t="s">
        <v>207</v>
      </c>
      <c r="H50" s="2" t="e">
        <f t="shared" si="26"/>
        <v>#REF!</v>
      </c>
      <c r="I50" s="21" t="e">
        <f t="shared" si="2"/>
        <v>#REF!</v>
      </c>
      <c r="J50" s="21" t="e">
        <f t="shared" si="3"/>
        <v>#REF!</v>
      </c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19" t="e">
        <f t="shared" si="4"/>
        <v>#REF!</v>
      </c>
      <c r="B51" s="20" t="e">
        <f t="shared" si="5"/>
        <v>#REF!</v>
      </c>
      <c r="C51" s="20" t="e">
        <f t="shared" si="6"/>
        <v>#REF!</v>
      </c>
      <c r="D51" s="20" t="e">
        <f t="shared" si="7"/>
        <v>#REF!</v>
      </c>
      <c r="E51" s="20" t="e">
        <f t="shared" si="8"/>
        <v>#REF!</v>
      </c>
      <c r="F51" s="20" t="e">
        <f t="shared" si="9"/>
        <v>#REF!</v>
      </c>
      <c r="G51" s="2" t="s">
        <v>207</v>
      </c>
      <c r="H51" s="2" t="e">
        <f t="shared" si="26"/>
        <v>#REF!</v>
      </c>
      <c r="I51" s="21" t="e">
        <f t="shared" si="2"/>
        <v>#REF!</v>
      </c>
      <c r="J51" s="21" t="e">
        <f t="shared" si="3"/>
        <v>#REF!</v>
      </c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19" t="e">
        <f t="shared" si="4"/>
        <v>#REF!</v>
      </c>
      <c r="B52" s="20" t="e">
        <f t="shared" si="5"/>
        <v>#REF!</v>
      </c>
      <c r="C52" s="20" t="e">
        <f t="shared" si="6"/>
        <v>#REF!</v>
      </c>
      <c r="D52" s="20" t="e">
        <f t="shared" si="7"/>
        <v>#REF!</v>
      </c>
      <c r="E52" s="20" t="e">
        <f t="shared" si="8"/>
        <v>#REF!</v>
      </c>
      <c r="F52" s="20" t="e">
        <f t="shared" si="9"/>
        <v>#REF!</v>
      </c>
      <c r="G52" s="2" t="s">
        <v>207</v>
      </c>
      <c r="H52" s="2" t="e">
        <f t="shared" si="26"/>
        <v>#REF!</v>
      </c>
      <c r="I52" s="21" t="e">
        <f t="shared" si="2"/>
        <v>#REF!</v>
      </c>
      <c r="J52" s="21" t="e">
        <f t="shared" si="3"/>
        <v>#REF!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19" t="e">
        <f t="shared" si="4"/>
        <v>#REF!</v>
      </c>
      <c r="B53" s="20" t="e">
        <f t="shared" si="5"/>
        <v>#REF!</v>
      </c>
      <c r="C53" s="20" t="e">
        <f t="shared" si="6"/>
        <v>#REF!</v>
      </c>
      <c r="D53" s="20" t="e">
        <f t="shared" si="7"/>
        <v>#REF!</v>
      </c>
      <c r="E53" s="20" t="e">
        <f t="shared" si="8"/>
        <v>#REF!</v>
      </c>
      <c r="F53" s="20" t="e">
        <f t="shared" si="9"/>
        <v>#REF!</v>
      </c>
      <c r="G53" s="2" t="s">
        <v>207</v>
      </c>
      <c r="H53" s="2" t="e">
        <f t="shared" si="26"/>
        <v>#REF!</v>
      </c>
      <c r="I53" s="21" t="e">
        <f t="shared" si="2"/>
        <v>#REF!</v>
      </c>
      <c r="J53" s="21" t="e">
        <f t="shared" si="3"/>
        <v>#REF!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19" t="e">
        <f t="shared" si="4"/>
        <v>#REF!</v>
      </c>
      <c r="B54" s="20" t="e">
        <f t="shared" si="5"/>
        <v>#REF!</v>
      </c>
      <c r="C54" s="20" t="e">
        <f t="shared" si="6"/>
        <v>#REF!</v>
      </c>
      <c r="D54" s="20" t="e">
        <f t="shared" si="7"/>
        <v>#REF!</v>
      </c>
      <c r="E54" s="20" t="e">
        <f t="shared" si="8"/>
        <v>#REF!</v>
      </c>
      <c r="F54" s="20" t="e">
        <f t="shared" si="9"/>
        <v>#REF!</v>
      </c>
      <c r="G54" s="2" t="s">
        <v>207</v>
      </c>
      <c r="H54" s="2" t="e">
        <f t="shared" si="26"/>
        <v>#REF!</v>
      </c>
      <c r="I54" s="21" t="e">
        <f t="shared" si="2"/>
        <v>#REF!</v>
      </c>
      <c r="J54" s="21" t="e">
        <f t="shared" si="3"/>
        <v>#REF!</v>
      </c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19" t="e">
        <f t="shared" si="4"/>
        <v>#REF!</v>
      </c>
      <c r="B55" s="20" t="e">
        <f t="shared" si="5"/>
        <v>#REF!</v>
      </c>
      <c r="C55" s="20" t="e">
        <f t="shared" si="6"/>
        <v>#REF!</v>
      </c>
      <c r="D55" s="20" t="e">
        <f t="shared" si="7"/>
        <v>#REF!</v>
      </c>
      <c r="E55" s="20" t="e">
        <f t="shared" si="8"/>
        <v>#REF!</v>
      </c>
      <c r="F55" s="20" t="e">
        <f t="shared" si="9"/>
        <v>#REF!</v>
      </c>
      <c r="G55" s="2" t="s">
        <v>207</v>
      </c>
      <c r="H55" s="2" t="e">
        <f t="shared" si="26"/>
        <v>#REF!</v>
      </c>
      <c r="I55" s="21" t="e">
        <f t="shared" si="2"/>
        <v>#REF!</v>
      </c>
      <c r="J55" s="21" t="e">
        <f t="shared" si="3"/>
        <v>#REF!</v>
      </c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19" t="e">
        <f t="shared" si="4"/>
        <v>#REF!</v>
      </c>
      <c r="B56" s="20" t="e">
        <f t="shared" si="5"/>
        <v>#REF!</v>
      </c>
      <c r="C56" s="20" t="e">
        <f t="shared" si="6"/>
        <v>#REF!</v>
      </c>
      <c r="D56" s="20" t="e">
        <f t="shared" si="7"/>
        <v>#REF!</v>
      </c>
      <c r="E56" s="20" t="e">
        <f t="shared" si="8"/>
        <v>#REF!</v>
      </c>
      <c r="F56" s="20" t="e">
        <f t="shared" si="9"/>
        <v>#REF!</v>
      </c>
      <c r="G56" s="2" t="s">
        <v>207</v>
      </c>
      <c r="H56" s="2" t="e">
        <f t="shared" si="26"/>
        <v>#REF!</v>
      </c>
      <c r="I56" s="21" t="e">
        <f t="shared" si="2"/>
        <v>#REF!</v>
      </c>
      <c r="J56" s="21" t="e">
        <f t="shared" si="3"/>
        <v>#REF!</v>
      </c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19" t="e">
        <f t="shared" si="4"/>
        <v>#REF!</v>
      </c>
      <c r="B57" s="20" t="e">
        <f t="shared" si="5"/>
        <v>#REF!</v>
      </c>
      <c r="C57" s="20" t="e">
        <f t="shared" si="6"/>
        <v>#REF!</v>
      </c>
      <c r="D57" s="20" t="e">
        <f t="shared" si="7"/>
        <v>#REF!</v>
      </c>
      <c r="E57" s="20" t="e">
        <f t="shared" si="8"/>
        <v>#REF!</v>
      </c>
      <c r="F57" s="20" t="e">
        <f t="shared" si="9"/>
        <v>#REF!</v>
      </c>
      <c r="G57" s="2" t="s">
        <v>207</v>
      </c>
      <c r="H57" s="2" t="e">
        <f t="shared" si="26"/>
        <v>#REF!</v>
      </c>
      <c r="I57" s="21" t="e">
        <f t="shared" si="2"/>
        <v>#REF!</v>
      </c>
      <c r="J57" s="21" t="e">
        <f t="shared" si="3"/>
        <v>#REF!</v>
      </c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19" t="e">
        <f t="shared" si="4"/>
        <v>#REF!</v>
      </c>
      <c r="B58" s="20" t="e">
        <f t="shared" si="5"/>
        <v>#REF!</v>
      </c>
      <c r="C58" s="20" t="e">
        <f t="shared" si="6"/>
        <v>#REF!</v>
      </c>
      <c r="D58" s="20" t="e">
        <f t="shared" si="7"/>
        <v>#REF!</v>
      </c>
      <c r="E58" s="20" t="e">
        <f t="shared" si="8"/>
        <v>#REF!</v>
      </c>
      <c r="F58" s="20" t="e">
        <f t="shared" si="9"/>
        <v>#REF!</v>
      </c>
      <c r="G58" s="2" t="s">
        <v>207</v>
      </c>
      <c r="H58" s="2" t="e">
        <f t="shared" si="26"/>
        <v>#REF!</v>
      </c>
      <c r="I58" s="21" t="e">
        <f t="shared" si="2"/>
        <v>#REF!</v>
      </c>
      <c r="J58" s="21" t="e">
        <f t="shared" si="3"/>
        <v>#REF!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19" t="e">
        <f t="shared" si="4"/>
        <v>#REF!</v>
      </c>
      <c r="B59" s="20" t="e">
        <f t="shared" si="5"/>
        <v>#REF!</v>
      </c>
      <c r="C59" s="20" t="e">
        <f t="shared" si="6"/>
        <v>#REF!</v>
      </c>
      <c r="D59" s="20" t="e">
        <f t="shared" si="7"/>
        <v>#REF!</v>
      </c>
      <c r="E59" s="20" t="e">
        <f t="shared" si="8"/>
        <v>#REF!</v>
      </c>
      <c r="F59" s="20" t="e">
        <f t="shared" si="9"/>
        <v>#REF!</v>
      </c>
      <c r="G59" s="2" t="s">
        <v>207</v>
      </c>
      <c r="H59" s="2" t="e">
        <f t="shared" si="26"/>
        <v>#REF!</v>
      </c>
      <c r="I59" s="21" t="e">
        <f t="shared" si="2"/>
        <v>#REF!</v>
      </c>
      <c r="J59" s="21" t="e">
        <f t="shared" si="3"/>
        <v>#REF!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19" t="e">
        <f t="shared" si="4"/>
        <v>#REF!</v>
      </c>
      <c r="B60" s="20" t="e">
        <f t="shared" si="5"/>
        <v>#REF!</v>
      </c>
      <c r="C60" s="20" t="e">
        <f t="shared" si="6"/>
        <v>#REF!</v>
      </c>
      <c r="D60" s="20" t="e">
        <f t="shared" si="7"/>
        <v>#REF!</v>
      </c>
      <c r="E60" s="20" t="e">
        <f t="shared" si="8"/>
        <v>#REF!</v>
      </c>
      <c r="F60" s="20" t="e">
        <f t="shared" si="9"/>
        <v>#REF!</v>
      </c>
      <c r="G60" s="2" t="s">
        <v>207</v>
      </c>
      <c r="H60" s="2" t="e">
        <f t="shared" si="26"/>
        <v>#REF!</v>
      </c>
      <c r="I60" s="21" t="e">
        <f t="shared" si="2"/>
        <v>#REF!</v>
      </c>
      <c r="J60" s="21" t="e">
        <f t="shared" si="3"/>
        <v>#REF!</v>
      </c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19" t="e">
        <f t="shared" si="4"/>
        <v>#REF!</v>
      </c>
      <c r="B61" s="20" t="e">
        <f t="shared" si="5"/>
        <v>#REF!</v>
      </c>
      <c r="C61" s="20" t="e">
        <f t="shared" si="6"/>
        <v>#REF!</v>
      </c>
      <c r="D61" s="20" t="e">
        <f t="shared" si="7"/>
        <v>#REF!</v>
      </c>
      <c r="E61" s="20" t="e">
        <f t="shared" si="8"/>
        <v>#REF!</v>
      </c>
      <c r="F61" s="20" t="e">
        <f t="shared" si="9"/>
        <v>#REF!</v>
      </c>
      <c r="G61" s="2" t="s">
        <v>207</v>
      </c>
      <c r="H61" s="2" t="e">
        <f t="shared" si="26"/>
        <v>#REF!</v>
      </c>
      <c r="I61" s="21" t="e">
        <f t="shared" si="2"/>
        <v>#REF!</v>
      </c>
      <c r="J61" s="21" t="e">
        <f t="shared" si="3"/>
        <v>#REF!</v>
      </c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19" t="e">
        <f t="shared" si="4"/>
        <v>#REF!</v>
      </c>
      <c r="B62" s="20" t="e">
        <f t="shared" si="5"/>
        <v>#REF!</v>
      </c>
      <c r="C62" s="20" t="e">
        <f t="shared" si="6"/>
        <v>#REF!</v>
      </c>
      <c r="D62" s="20" t="e">
        <f t="shared" si="7"/>
        <v>#REF!</v>
      </c>
      <c r="E62" s="20" t="e">
        <f t="shared" si="8"/>
        <v>#REF!</v>
      </c>
      <c r="F62" s="20" t="e">
        <f t="shared" si="9"/>
        <v>#REF!</v>
      </c>
      <c r="G62" s="2" t="s">
        <v>207</v>
      </c>
      <c r="H62" s="2" t="e">
        <f t="shared" si="26"/>
        <v>#REF!</v>
      </c>
      <c r="I62" s="21" t="e">
        <f t="shared" si="2"/>
        <v>#REF!</v>
      </c>
      <c r="J62" s="21" t="e">
        <f t="shared" si="3"/>
        <v>#REF!</v>
      </c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19" t="e">
        <f t="shared" si="4"/>
        <v>#REF!</v>
      </c>
      <c r="B63" s="20" t="e">
        <f t="shared" si="5"/>
        <v>#REF!</v>
      </c>
      <c r="C63" s="20" t="e">
        <f t="shared" si="6"/>
        <v>#REF!</v>
      </c>
      <c r="D63" s="20" t="e">
        <f t="shared" si="7"/>
        <v>#REF!</v>
      </c>
      <c r="E63" s="20" t="e">
        <f t="shared" si="8"/>
        <v>#REF!</v>
      </c>
      <c r="F63" s="20" t="e">
        <f t="shared" si="9"/>
        <v>#REF!</v>
      </c>
      <c r="G63" s="2" t="s">
        <v>207</v>
      </c>
      <c r="H63" s="2" t="e">
        <f t="shared" si="26"/>
        <v>#REF!</v>
      </c>
      <c r="I63" s="21" t="e">
        <f t="shared" si="2"/>
        <v>#REF!</v>
      </c>
      <c r="J63" s="21" t="e">
        <f t="shared" si="3"/>
        <v>#REF!</v>
      </c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19" t="e">
        <f t="shared" si="4"/>
        <v>#REF!</v>
      </c>
      <c r="B64" s="20" t="e">
        <f t="shared" si="5"/>
        <v>#REF!</v>
      </c>
      <c r="C64" s="20" t="e">
        <f t="shared" si="6"/>
        <v>#REF!</v>
      </c>
      <c r="D64" s="20" t="e">
        <f t="shared" si="7"/>
        <v>#REF!</v>
      </c>
      <c r="E64" s="20" t="e">
        <f t="shared" si="8"/>
        <v>#REF!</v>
      </c>
      <c r="F64" s="20" t="e">
        <f t="shared" si="9"/>
        <v>#REF!</v>
      </c>
      <c r="G64" s="2" t="s">
        <v>207</v>
      </c>
      <c r="H64" s="2" t="e">
        <f t="shared" si="26"/>
        <v>#REF!</v>
      </c>
      <c r="I64" s="21" t="e">
        <f t="shared" si="2"/>
        <v>#REF!</v>
      </c>
      <c r="J64" s="21" t="e">
        <f t="shared" si="3"/>
        <v>#REF!</v>
      </c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19" t="e">
        <f t="shared" si="4"/>
        <v>#REF!</v>
      </c>
      <c r="B65" s="20" t="e">
        <f t="shared" si="5"/>
        <v>#REF!</v>
      </c>
      <c r="C65" s="20" t="e">
        <f t="shared" si="6"/>
        <v>#REF!</v>
      </c>
      <c r="D65" s="20" t="e">
        <f t="shared" si="7"/>
        <v>#REF!</v>
      </c>
      <c r="E65" s="20" t="e">
        <f t="shared" si="8"/>
        <v>#REF!</v>
      </c>
      <c r="F65" s="20" t="e">
        <f t="shared" si="9"/>
        <v>#REF!</v>
      </c>
      <c r="G65" s="2" t="s">
        <v>207</v>
      </c>
      <c r="H65" s="2" t="e">
        <f t="shared" si="26"/>
        <v>#REF!</v>
      </c>
      <c r="I65" s="21" t="e">
        <f t="shared" si="2"/>
        <v>#REF!</v>
      </c>
      <c r="J65" s="21" t="e">
        <f t="shared" si="3"/>
        <v>#REF!</v>
      </c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19" t="e">
        <f t="shared" si="4"/>
        <v>#REF!</v>
      </c>
      <c r="B66" s="20" t="e">
        <f t="shared" si="5"/>
        <v>#REF!</v>
      </c>
      <c r="C66" s="20" t="e">
        <f t="shared" si="6"/>
        <v>#REF!</v>
      </c>
      <c r="D66" s="20" t="e">
        <f t="shared" si="7"/>
        <v>#REF!</v>
      </c>
      <c r="E66" s="20" t="e">
        <f t="shared" si="8"/>
        <v>#REF!</v>
      </c>
      <c r="F66" s="20" t="e">
        <f t="shared" si="9"/>
        <v>#REF!</v>
      </c>
      <c r="G66" s="2" t="s">
        <v>207</v>
      </c>
      <c r="H66" s="2" t="e">
        <f t="shared" si="26"/>
        <v>#REF!</v>
      </c>
      <c r="I66" s="21" t="e">
        <f t="shared" si="2"/>
        <v>#REF!</v>
      </c>
      <c r="J66" s="21" t="e">
        <f t="shared" si="3"/>
        <v>#REF!</v>
      </c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19" t="e">
        <f t="shared" si="4"/>
        <v>#REF!</v>
      </c>
      <c r="B67" s="20" t="e">
        <f t="shared" si="5"/>
        <v>#REF!</v>
      </c>
      <c r="C67" s="20" t="e">
        <f t="shared" si="6"/>
        <v>#REF!</v>
      </c>
      <c r="D67" s="20" t="e">
        <f t="shared" si="7"/>
        <v>#REF!</v>
      </c>
      <c r="E67" s="20" t="e">
        <f t="shared" si="8"/>
        <v>#REF!</v>
      </c>
      <c r="F67" s="20" t="e">
        <f t="shared" si="9"/>
        <v>#REF!</v>
      </c>
      <c r="G67" s="2" t="s">
        <v>207</v>
      </c>
      <c r="H67" s="2" t="e">
        <f t="shared" si="26"/>
        <v>#REF!</v>
      </c>
      <c r="I67" s="21" t="e">
        <f t="shared" si="2"/>
        <v>#REF!</v>
      </c>
      <c r="J67" s="21" t="e">
        <f t="shared" si="3"/>
        <v>#REF!</v>
      </c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19" t="e">
        <f t="shared" si="4"/>
        <v>#REF!</v>
      </c>
      <c r="B68" s="20" t="e">
        <f t="shared" si="5"/>
        <v>#REF!</v>
      </c>
      <c r="C68" s="20" t="e">
        <f t="shared" si="6"/>
        <v>#REF!</v>
      </c>
      <c r="D68" s="20" t="e">
        <f t="shared" si="7"/>
        <v>#REF!</v>
      </c>
      <c r="E68" s="20" t="e">
        <f t="shared" si="8"/>
        <v>#REF!</v>
      </c>
      <c r="F68" s="20" t="e">
        <f t="shared" si="9"/>
        <v>#REF!</v>
      </c>
      <c r="G68" s="2" t="s">
        <v>207</v>
      </c>
      <c r="H68" s="2" t="e">
        <f t="shared" si="26"/>
        <v>#REF!</v>
      </c>
      <c r="I68" s="21" t="e">
        <f t="shared" si="2"/>
        <v>#REF!</v>
      </c>
      <c r="J68" s="21" t="e">
        <f t="shared" si="3"/>
        <v>#REF!</v>
      </c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19" t="e">
        <f t="shared" si="4"/>
        <v>#REF!</v>
      </c>
      <c r="B69" s="20" t="e">
        <f t="shared" si="5"/>
        <v>#REF!</v>
      </c>
      <c r="C69" s="20" t="e">
        <f t="shared" si="6"/>
        <v>#REF!</v>
      </c>
      <c r="D69" s="20" t="e">
        <f t="shared" si="7"/>
        <v>#REF!</v>
      </c>
      <c r="E69" s="20" t="e">
        <f t="shared" si="8"/>
        <v>#REF!</v>
      </c>
      <c r="F69" s="20" t="e">
        <f t="shared" si="9"/>
        <v>#REF!</v>
      </c>
      <c r="G69" s="2" t="s">
        <v>207</v>
      </c>
      <c r="H69" s="2" t="e">
        <f t="shared" si="26"/>
        <v>#REF!</v>
      </c>
      <c r="I69" s="21" t="e">
        <f t="shared" si="2"/>
        <v>#REF!</v>
      </c>
      <c r="J69" s="21" t="e">
        <f t="shared" si="3"/>
        <v>#REF!</v>
      </c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19" t="e">
        <f t="shared" si="4"/>
        <v>#REF!</v>
      </c>
      <c r="B70" s="20" t="e">
        <f t="shared" si="5"/>
        <v>#REF!</v>
      </c>
      <c r="C70" s="20" t="e">
        <f t="shared" si="6"/>
        <v>#REF!</v>
      </c>
      <c r="D70" s="20" t="e">
        <f t="shared" si="7"/>
        <v>#REF!</v>
      </c>
      <c r="E70" s="20" t="e">
        <f t="shared" si="8"/>
        <v>#REF!</v>
      </c>
      <c r="F70" s="20" t="e">
        <f t="shared" si="9"/>
        <v>#REF!</v>
      </c>
      <c r="G70" s="2" t="s">
        <v>207</v>
      </c>
      <c r="H70" s="2" t="e">
        <f t="shared" si="26"/>
        <v>#REF!</v>
      </c>
      <c r="I70" s="21" t="e">
        <f t="shared" si="2"/>
        <v>#REF!</v>
      </c>
      <c r="J70" s="21" t="e">
        <f t="shared" si="3"/>
        <v>#REF!</v>
      </c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19" t="e">
        <f t="shared" si="4"/>
        <v>#REF!</v>
      </c>
      <c r="B71" s="20" t="e">
        <f t="shared" si="5"/>
        <v>#REF!</v>
      </c>
      <c r="C71" s="20" t="e">
        <f t="shared" si="6"/>
        <v>#REF!</v>
      </c>
      <c r="D71" s="20" t="e">
        <f t="shared" si="7"/>
        <v>#REF!</v>
      </c>
      <c r="E71" s="20" t="e">
        <f t="shared" si="8"/>
        <v>#REF!</v>
      </c>
      <c r="F71" s="20" t="e">
        <f t="shared" si="9"/>
        <v>#REF!</v>
      </c>
      <c r="G71" s="2" t="s">
        <v>207</v>
      </c>
      <c r="H71" s="2" t="e">
        <f t="shared" si="26"/>
        <v>#REF!</v>
      </c>
      <c r="I71" s="21" t="e">
        <f t="shared" si="2"/>
        <v>#REF!</v>
      </c>
      <c r="J71" s="21" t="e">
        <f t="shared" si="3"/>
        <v>#REF!</v>
      </c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19" t="e">
        <f t="shared" si="4"/>
        <v>#REF!</v>
      </c>
      <c r="B72" s="20" t="e">
        <f t="shared" si="5"/>
        <v>#REF!</v>
      </c>
      <c r="C72" s="20" t="e">
        <f t="shared" si="6"/>
        <v>#REF!</v>
      </c>
      <c r="D72" s="20" t="e">
        <f t="shared" si="7"/>
        <v>#REF!</v>
      </c>
      <c r="E72" s="20" t="e">
        <f t="shared" si="8"/>
        <v>#REF!</v>
      </c>
      <c r="F72" s="20" t="e">
        <f t="shared" si="9"/>
        <v>#REF!</v>
      </c>
      <c r="G72" s="2" t="s">
        <v>207</v>
      </c>
      <c r="H72" s="2" t="e">
        <f t="shared" si="26"/>
        <v>#REF!</v>
      </c>
      <c r="I72" s="21" t="e">
        <f t="shared" si="2"/>
        <v>#REF!</v>
      </c>
      <c r="J72" s="21" t="e">
        <f t="shared" si="3"/>
        <v>#REF!</v>
      </c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19" t="e">
        <f t="shared" si="4"/>
        <v>#REF!</v>
      </c>
      <c r="B73" s="20" t="e">
        <f t="shared" si="5"/>
        <v>#REF!</v>
      </c>
      <c r="C73" s="20" t="e">
        <f t="shared" si="6"/>
        <v>#REF!</v>
      </c>
      <c r="D73" s="20" t="e">
        <f t="shared" si="7"/>
        <v>#REF!</v>
      </c>
      <c r="E73" s="20" t="e">
        <f t="shared" si="8"/>
        <v>#REF!</v>
      </c>
      <c r="F73" s="20" t="e">
        <f t="shared" si="9"/>
        <v>#REF!</v>
      </c>
      <c r="G73" s="2" t="s">
        <v>207</v>
      </c>
      <c r="H73" s="2" t="e">
        <f t="shared" si="26"/>
        <v>#REF!</v>
      </c>
      <c r="I73" s="21" t="e">
        <f t="shared" si="2"/>
        <v>#REF!</v>
      </c>
      <c r="J73" s="21" t="e">
        <f t="shared" si="3"/>
        <v>#REF!</v>
      </c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19" t="e">
        <f t="shared" si="4"/>
        <v>#REF!</v>
      </c>
      <c r="B74" s="20" t="e">
        <f t="shared" si="5"/>
        <v>#REF!</v>
      </c>
      <c r="C74" s="20" t="e">
        <f t="shared" si="6"/>
        <v>#REF!</v>
      </c>
      <c r="D74" s="20" t="e">
        <f t="shared" si="7"/>
        <v>#REF!</v>
      </c>
      <c r="E74" s="20" t="e">
        <f t="shared" si="8"/>
        <v>#REF!</v>
      </c>
      <c r="F74" s="20" t="e">
        <f t="shared" si="9"/>
        <v>#REF!</v>
      </c>
      <c r="G74" s="2" t="s">
        <v>207</v>
      </c>
      <c r="H74" s="2" t="e">
        <f t="shared" si="26"/>
        <v>#REF!</v>
      </c>
      <c r="I74" s="21" t="e">
        <f t="shared" si="2"/>
        <v>#REF!</v>
      </c>
      <c r="J74" s="21" t="e">
        <f t="shared" si="3"/>
        <v>#REF!</v>
      </c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19" t="e">
        <f t="shared" si="4"/>
        <v>#REF!</v>
      </c>
      <c r="B75" s="20" t="e">
        <f t="shared" si="5"/>
        <v>#REF!</v>
      </c>
      <c r="C75" s="20" t="e">
        <f t="shared" si="6"/>
        <v>#REF!</v>
      </c>
      <c r="D75" s="20" t="e">
        <f t="shared" si="7"/>
        <v>#REF!</v>
      </c>
      <c r="E75" s="20" t="e">
        <f t="shared" si="8"/>
        <v>#REF!</v>
      </c>
      <c r="F75" s="20" t="e">
        <f t="shared" si="9"/>
        <v>#REF!</v>
      </c>
      <c r="G75" s="2" t="s">
        <v>207</v>
      </c>
      <c r="H75" s="2" t="e">
        <f t="shared" si="26"/>
        <v>#REF!</v>
      </c>
      <c r="I75" s="21" t="e">
        <f t="shared" si="2"/>
        <v>#REF!</v>
      </c>
      <c r="J75" s="21" t="e">
        <f t="shared" si="3"/>
        <v>#REF!</v>
      </c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19" t="e">
        <f t="shared" si="4"/>
        <v>#REF!</v>
      </c>
      <c r="B76" s="20" t="e">
        <f t="shared" si="5"/>
        <v>#REF!</v>
      </c>
      <c r="C76" s="20" t="e">
        <f t="shared" si="6"/>
        <v>#REF!</v>
      </c>
      <c r="D76" s="20" t="e">
        <f t="shared" si="7"/>
        <v>#REF!</v>
      </c>
      <c r="E76" s="20" t="e">
        <f t="shared" si="8"/>
        <v>#REF!</v>
      </c>
      <c r="F76" s="20" t="e">
        <f t="shared" si="9"/>
        <v>#REF!</v>
      </c>
      <c r="G76" s="2" t="s">
        <v>207</v>
      </c>
      <c r="H76" s="2" t="e">
        <f t="shared" si="26"/>
        <v>#REF!</v>
      </c>
      <c r="I76" s="21" t="e">
        <f t="shared" si="2"/>
        <v>#REF!</v>
      </c>
      <c r="J76" s="21" t="e">
        <f t="shared" si="3"/>
        <v>#REF!</v>
      </c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19" t="e">
        <f t="shared" si="4"/>
        <v>#REF!</v>
      </c>
      <c r="B77" s="20" t="e">
        <f t="shared" si="5"/>
        <v>#REF!</v>
      </c>
      <c r="C77" s="20" t="e">
        <f t="shared" si="6"/>
        <v>#REF!</v>
      </c>
      <c r="D77" s="20" t="e">
        <f t="shared" si="7"/>
        <v>#REF!</v>
      </c>
      <c r="E77" s="20" t="e">
        <f t="shared" si="8"/>
        <v>#REF!</v>
      </c>
      <c r="F77" s="20" t="e">
        <f t="shared" si="9"/>
        <v>#REF!</v>
      </c>
      <c r="G77" s="2" t="s">
        <v>207</v>
      </c>
      <c r="H77" s="2" t="e">
        <f t="shared" si="26"/>
        <v>#REF!</v>
      </c>
      <c r="I77" s="21" t="e">
        <f t="shared" si="2"/>
        <v>#REF!</v>
      </c>
      <c r="J77" s="21" t="e">
        <f t="shared" si="3"/>
        <v>#REF!</v>
      </c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19" t="e">
        <f t="shared" si="4"/>
        <v>#REF!</v>
      </c>
      <c r="B78" s="20" t="e">
        <f t="shared" si="5"/>
        <v>#REF!</v>
      </c>
      <c r="C78" s="20" t="e">
        <f t="shared" si="6"/>
        <v>#REF!</v>
      </c>
      <c r="D78" s="20" t="e">
        <f t="shared" si="7"/>
        <v>#REF!</v>
      </c>
      <c r="E78" s="20" t="e">
        <f t="shared" si="8"/>
        <v>#REF!</v>
      </c>
      <c r="F78" s="20" t="e">
        <f t="shared" si="9"/>
        <v>#REF!</v>
      </c>
      <c r="G78" s="2" t="s">
        <v>207</v>
      </c>
      <c r="H78" s="2" t="e">
        <f t="shared" si="26"/>
        <v>#REF!</v>
      </c>
      <c r="I78" s="21" t="e">
        <f t="shared" si="2"/>
        <v>#REF!</v>
      </c>
      <c r="J78" s="21" t="e">
        <f t="shared" si="3"/>
        <v>#REF!</v>
      </c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19" t="e">
        <f t="shared" si="4"/>
        <v>#REF!</v>
      </c>
      <c r="B79" s="20" t="e">
        <f t="shared" si="5"/>
        <v>#REF!</v>
      </c>
      <c r="C79" s="20" t="e">
        <f t="shared" si="6"/>
        <v>#REF!</v>
      </c>
      <c r="D79" s="20" t="e">
        <f t="shared" si="7"/>
        <v>#REF!</v>
      </c>
      <c r="E79" s="20" t="e">
        <f t="shared" si="8"/>
        <v>#REF!</v>
      </c>
      <c r="F79" s="20" t="e">
        <f t="shared" si="9"/>
        <v>#REF!</v>
      </c>
      <c r="G79" s="2" t="s">
        <v>207</v>
      </c>
      <c r="H79" s="2" t="e">
        <f t="shared" si="26"/>
        <v>#REF!</v>
      </c>
      <c r="I79" s="21" t="e">
        <f t="shared" si="2"/>
        <v>#REF!</v>
      </c>
      <c r="J79" s="21" t="e">
        <f t="shared" si="3"/>
        <v>#REF!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19" t="e">
        <f t="shared" si="4"/>
        <v>#REF!</v>
      </c>
      <c r="B80" s="20" t="e">
        <f t="shared" si="5"/>
        <v>#REF!</v>
      </c>
      <c r="C80" s="20" t="e">
        <f t="shared" si="6"/>
        <v>#REF!</v>
      </c>
      <c r="D80" s="20" t="e">
        <f t="shared" si="7"/>
        <v>#REF!</v>
      </c>
      <c r="E80" s="20" t="e">
        <f t="shared" si="8"/>
        <v>#REF!</v>
      </c>
      <c r="F80" s="20" t="e">
        <f t="shared" si="9"/>
        <v>#REF!</v>
      </c>
      <c r="G80" s="2" t="s">
        <v>207</v>
      </c>
      <c r="H80" s="2" t="e">
        <f t="shared" si="26"/>
        <v>#REF!</v>
      </c>
      <c r="I80" s="21" t="e">
        <f t="shared" si="2"/>
        <v>#REF!</v>
      </c>
      <c r="J80" s="21" t="e">
        <f t="shared" si="3"/>
        <v>#REF!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19" t="e">
        <f t="shared" si="4"/>
        <v>#REF!</v>
      </c>
      <c r="B81" s="20" t="e">
        <f t="shared" si="5"/>
        <v>#REF!</v>
      </c>
      <c r="C81" s="20" t="e">
        <f t="shared" si="6"/>
        <v>#REF!</v>
      </c>
      <c r="D81" s="20" t="e">
        <f t="shared" si="7"/>
        <v>#REF!</v>
      </c>
      <c r="E81" s="20" t="e">
        <f t="shared" si="8"/>
        <v>#REF!</v>
      </c>
      <c r="F81" s="20" t="e">
        <f t="shared" si="9"/>
        <v>#REF!</v>
      </c>
      <c r="G81" s="2" t="s">
        <v>207</v>
      </c>
      <c r="H81" s="2" t="e">
        <f t="shared" si="26"/>
        <v>#REF!</v>
      </c>
      <c r="I81" s="21" t="e">
        <f t="shared" si="2"/>
        <v>#REF!</v>
      </c>
      <c r="J81" s="21" t="e">
        <f t="shared" si="3"/>
        <v>#REF!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6.8554687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42578125" customWidth="1"/>
    <col min="8" max="8" width="21.7109375" customWidth="1"/>
    <col min="9" max="9" width="7.1406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196</v>
      </c>
      <c r="B1" s="14" t="s">
        <v>206</v>
      </c>
      <c r="C1" s="14" t="s">
        <v>198</v>
      </c>
      <c r="D1" s="14" t="s">
        <v>199</v>
      </c>
      <c r="E1" s="14" t="s">
        <v>200</v>
      </c>
      <c r="F1" s="14" t="s">
        <v>201</v>
      </c>
      <c r="G1" s="14" t="s">
        <v>202</v>
      </c>
      <c r="H1" s="14" t="s">
        <v>203</v>
      </c>
      <c r="I1" s="14" t="s">
        <v>204</v>
      </c>
      <c r="J1" s="14" t="s">
        <v>205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22" t="str">
        <f>'Larvas de Peces'!U9</f>
        <v>SP-20-0719</v>
      </c>
      <c r="B2" s="23">
        <f>'Larvas de Peces'!J13</f>
        <v>82.99436462231462</v>
      </c>
      <c r="C2" s="24" t="str">
        <f>'Larvas de Peces'!O13</f>
        <v>-</v>
      </c>
      <c r="D2" s="24" t="str">
        <f>'Larvas de Peces'!U13</f>
        <v>-</v>
      </c>
      <c r="E2" s="24" t="str">
        <f>'Larvas de Peces'!AA13</f>
        <v>-</v>
      </c>
      <c r="F2" s="24" t="e">
        <f>E2*D2</f>
        <v>#VALUE!</v>
      </c>
      <c r="G2" s="24" t="str">
        <f>'Larvas de Peces'!A18</f>
        <v>Larvas de peces</v>
      </c>
      <c r="H2" s="24">
        <f>'Larvas de Peces'!H18</f>
        <v>18</v>
      </c>
      <c r="I2" s="25">
        <f>((H2/B2)*2)</f>
        <v>0.43376439067672207</v>
      </c>
      <c r="J2" s="26">
        <f>((H2/B2)*2)*1000</f>
        <v>433.76439067672209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dcterms:created xsi:type="dcterms:W3CDTF">2009-11-17T21:42:41Z</dcterms:created>
  <dcterms:modified xsi:type="dcterms:W3CDTF">2022-09-14T20:19:42Z</dcterms:modified>
</cp:coreProperties>
</file>