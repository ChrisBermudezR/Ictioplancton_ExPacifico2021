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drawings/drawing2.xml" ContentType="application/vnd.openxmlformats-officedocument.drawing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drawings/drawing3.xml" ContentType="application/vnd.openxmlformats-officedocument.drawing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drawings/drawing4.xml" ContentType="application/vnd.openxmlformats-officedocument.drawing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hris\Documents\Ictioplancton_ExPacifico2021\01_Analisis_Exploratorio\02_Datos\Biologicos\DarwinCore\DatosBrutos\brutos_Fito\"/>
    </mc:Choice>
  </mc:AlternateContent>
  <bookViews>
    <workbookView xWindow="28680" yWindow="-120" windowWidth="29040" windowHeight="15840" activeTab="2"/>
  </bookViews>
  <sheets>
    <sheet name="Densidad de grupos (3)" sheetId="30" r:id="rId1"/>
    <sheet name="Densidad de grupos (2)" sheetId="29" r:id="rId2"/>
    <sheet name="Densidad de grupos (1)" sheetId="28" r:id="rId3"/>
    <sheet name="Larvas de Peces" sheetId="4" r:id="rId4"/>
    <sheet name="Cálculos_Densidad_De_Grupos" sheetId="5" r:id="rId5"/>
    <sheet name="Cálculos_Larvas_de_Peces" sheetId="6" r:id="rId6"/>
  </sheets>
  <externalReferences>
    <externalReference r:id="rId7"/>
    <externalReference r:id="rId8"/>
  </externalReferenc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2" i="6" l="1"/>
  <c r="J2" i="6" s="1"/>
  <c r="G2" i="6"/>
  <c r="E2" i="6"/>
  <c r="D2" i="6"/>
  <c r="C2" i="6"/>
  <c r="B2" i="6"/>
  <c r="A2" i="6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2" i="5"/>
  <c r="E2" i="5"/>
  <c r="D2" i="5"/>
  <c r="C2" i="5"/>
  <c r="B2" i="5"/>
  <c r="A2" i="5" l="1"/>
  <c r="A3" i="5" s="1"/>
  <c r="F2" i="6"/>
  <c r="G81" i="5"/>
  <c r="G80" i="5"/>
  <c r="G79" i="5"/>
  <c r="G78" i="5"/>
  <c r="G77" i="5"/>
  <c r="G76" i="5"/>
  <c r="G75" i="5"/>
  <c r="G74" i="5"/>
  <c r="G73" i="5"/>
  <c r="G72" i="5"/>
  <c r="G71" i="5"/>
  <c r="G70" i="5"/>
  <c r="G69" i="5"/>
  <c r="G68" i="5"/>
  <c r="G67" i="5"/>
  <c r="G66" i="5"/>
  <c r="G65" i="5"/>
  <c r="G64" i="5"/>
  <c r="G63" i="5"/>
  <c r="G62" i="5"/>
  <c r="G61" i="5"/>
  <c r="G60" i="5"/>
  <c r="G59" i="5"/>
  <c r="G58" i="5"/>
  <c r="G57" i="5"/>
  <c r="G56" i="5"/>
  <c r="G55" i="5"/>
  <c r="G54" i="5"/>
  <c r="G53" i="5"/>
  <c r="G52" i="5"/>
  <c r="G51" i="5"/>
  <c r="G50" i="5"/>
  <c r="G49" i="5"/>
  <c r="G48" i="5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D23" i="5"/>
  <c r="G22" i="5"/>
  <c r="G21" i="5"/>
  <c r="G20" i="5"/>
  <c r="G19" i="5"/>
  <c r="D19" i="5"/>
  <c r="B12" i="5"/>
  <c r="B11" i="5"/>
  <c r="B10" i="5"/>
  <c r="B9" i="5"/>
  <c r="B8" i="5"/>
  <c r="B7" i="5"/>
  <c r="B6" i="5"/>
  <c r="B5" i="5"/>
  <c r="B4" i="5"/>
  <c r="D3" i="5"/>
  <c r="C3" i="5"/>
  <c r="F2" i="5"/>
  <c r="D21" i="5"/>
  <c r="C22" i="5"/>
  <c r="I2" i="6" l="1"/>
  <c r="F81" i="5"/>
  <c r="F80" i="5"/>
  <c r="F78" i="5"/>
  <c r="F76" i="5"/>
  <c r="F74" i="5"/>
  <c r="F72" i="5"/>
  <c r="F70" i="5"/>
  <c r="F68" i="5"/>
  <c r="F66" i="5"/>
  <c r="F64" i="5"/>
  <c r="F62" i="5"/>
  <c r="F60" i="5"/>
  <c r="F58" i="5"/>
  <c r="F56" i="5"/>
  <c r="F54" i="5"/>
  <c r="F52" i="5"/>
  <c r="F50" i="5"/>
  <c r="F48" i="5"/>
  <c r="F46" i="5"/>
  <c r="F44" i="5"/>
  <c r="F42" i="5"/>
  <c r="F40" i="5"/>
  <c r="F37" i="5"/>
  <c r="F35" i="5"/>
  <c r="F33" i="5"/>
  <c r="F79" i="5"/>
  <c r="F77" i="5"/>
  <c r="F75" i="5"/>
  <c r="F73" i="5"/>
  <c r="F71" i="5"/>
  <c r="F69" i="5"/>
  <c r="F67" i="5"/>
  <c r="F65" i="5"/>
  <c r="F63" i="5"/>
  <c r="F61" i="5"/>
  <c r="F59" i="5"/>
  <c r="F57" i="5"/>
  <c r="F55" i="5"/>
  <c r="F53" i="5"/>
  <c r="F51" i="5"/>
  <c r="F49" i="5"/>
  <c r="F47" i="5"/>
  <c r="F45" i="5"/>
  <c r="F43" i="5"/>
  <c r="F41" i="5"/>
  <c r="F39" i="5"/>
  <c r="F38" i="5"/>
  <c r="F36" i="5"/>
  <c r="F34" i="5"/>
  <c r="F32" i="5"/>
  <c r="F30" i="5"/>
  <c r="F28" i="5"/>
  <c r="F26" i="5"/>
  <c r="F24" i="5"/>
  <c r="F23" i="5"/>
  <c r="F22" i="5"/>
  <c r="I22" i="5" s="1"/>
  <c r="J22" i="5" s="1"/>
  <c r="F21" i="5"/>
  <c r="F20" i="5"/>
  <c r="F19" i="5"/>
  <c r="F18" i="5"/>
  <c r="F17" i="5"/>
  <c r="F15" i="5"/>
  <c r="F13" i="5"/>
  <c r="F11" i="5"/>
  <c r="F10" i="5"/>
  <c r="F9" i="5"/>
  <c r="F8" i="5"/>
  <c r="F7" i="5"/>
  <c r="F6" i="5"/>
  <c r="F5" i="5"/>
  <c r="F4" i="5"/>
  <c r="F3" i="5"/>
  <c r="F27" i="5"/>
  <c r="I2" i="5"/>
  <c r="J2" i="5" s="1"/>
  <c r="F29" i="5"/>
  <c r="F25" i="5"/>
  <c r="F16" i="5"/>
  <c r="F14" i="5"/>
  <c r="F12" i="5"/>
  <c r="F31" i="5"/>
  <c r="B81" i="5"/>
  <c r="B80" i="5"/>
  <c r="B78" i="5"/>
  <c r="B76" i="5"/>
  <c r="B74" i="5"/>
  <c r="B72" i="5"/>
  <c r="B70" i="5"/>
  <c r="B68" i="5"/>
  <c r="B66" i="5"/>
  <c r="B64" i="5"/>
  <c r="B62" i="5"/>
  <c r="B60" i="5"/>
  <c r="B58" i="5"/>
  <c r="B56" i="5"/>
  <c r="B54" i="5"/>
  <c r="B52" i="5"/>
  <c r="B50" i="5"/>
  <c r="B48" i="5"/>
  <c r="B46" i="5"/>
  <c r="B44" i="5"/>
  <c r="B42" i="5"/>
  <c r="B40" i="5"/>
  <c r="B79" i="5"/>
  <c r="B77" i="5"/>
  <c r="B75" i="5"/>
  <c r="B73" i="5"/>
  <c r="B71" i="5"/>
  <c r="B69" i="5"/>
  <c r="B67" i="5"/>
  <c r="B65" i="5"/>
  <c r="B63" i="5"/>
  <c r="B61" i="5"/>
  <c r="B59" i="5"/>
  <c r="B57" i="5"/>
  <c r="B55" i="5"/>
  <c r="B53" i="5"/>
  <c r="B51" i="5"/>
  <c r="B49" i="5"/>
  <c r="B47" i="5"/>
  <c r="B45" i="5"/>
  <c r="B43" i="5"/>
  <c r="B41" i="5"/>
  <c r="B39" i="5"/>
  <c r="B37" i="5"/>
  <c r="B35" i="5"/>
  <c r="B33" i="5"/>
  <c r="B24" i="5"/>
  <c r="B23" i="5"/>
  <c r="B22" i="5"/>
  <c r="B21" i="5"/>
  <c r="B20" i="5"/>
  <c r="B19" i="5"/>
  <c r="B18" i="5"/>
  <c r="B31" i="5"/>
  <c r="B29" i="5"/>
  <c r="B27" i="5"/>
  <c r="B25" i="5"/>
  <c r="B17" i="5"/>
  <c r="B15" i="5"/>
  <c r="B13" i="5"/>
  <c r="B38" i="5"/>
  <c r="B36" i="5"/>
  <c r="B34" i="5"/>
  <c r="C4" i="5"/>
  <c r="D5" i="5"/>
  <c r="C6" i="5"/>
  <c r="D7" i="5"/>
  <c r="C8" i="5"/>
  <c r="D9" i="5"/>
  <c r="C10" i="5"/>
  <c r="D11" i="5"/>
  <c r="C12" i="5"/>
  <c r="B14" i="5"/>
  <c r="B16" i="5"/>
  <c r="C18" i="5"/>
  <c r="I18" i="5" s="1"/>
  <c r="J18" i="5" s="1"/>
  <c r="B26" i="5"/>
  <c r="B30" i="5"/>
  <c r="E81" i="5"/>
  <c r="E38" i="5"/>
  <c r="E36" i="5"/>
  <c r="E34" i="5"/>
  <c r="E32" i="5"/>
  <c r="E30" i="5"/>
  <c r="E28" i="5"/>
  <c r="E26" i="5"/>
  <c r="E24" i="5"/>
  <c r="E22" i="5"/>
  <c r="E20" i="5"/>
  <c r="E18" i="5"/>
  <c r="E80" i="5"/>
  <c r="E78" i="5"/>
  <c r="E76" i="5"/>
  <c r="E74" i="5"/>
  <c r="E72" i="5"/>
  <c r="E70" i="5"/>
  <c r="E68" i="5"/>
  <c r="E66" i="5"/>
  <c r="E64" i="5"/>
  <c r="E62" i="5"/>
  <c r="E60" i="5"/>
  <c r="E58" i="5"/>
  <c r="E56" i="5"/>
  <c r="E54" i="5"/>
  <c r="E52" i="5"/>
  <c r="E50" i="5"/>
  <c r="E48" i="5"/>
  <c r="E46" i="5"/>
  <c r="E44" i="5"/>
  <c r="E42" i="5"/>
  <c r="E40" i="5"/>
  <c r="E37" i="5"/>
  <c r="E35" i="5"/>
  <c r="E33" i="5"/>
  <c r="E31" i="5"/>
  <c r="E29" i="5"/>
  <c r="E27" i="5"/>
  <c r="E25" i="5"/>
  <c r="E16" i="5"/>
  <c r="E14" i="5"/>
  <c r="E12" i="5"/>
  <c r="E10" i="5"/>
  <c r="E8" i="5"/>
  <c r="E6" i="5"/>
  <c r="E4" i="5"/>
  <c r="E79" i="5"/>
  <c r="E77" i="5"/>
  <c r="E75" i="5"/>
  <c r="E73" i="5"/>
  <c r="E71" i="5"/>
  <c r="E69" i="5"/>
  <c r="E67" i="5"/>
  <c r="E65" i="5"/>
  <c r="E63" i="5"/>
  <c r="E61" i="5"/>
  <c r="E59" i="5"/>
  <c r="E57" i="5"/>
  <c r="E55" i="5"/>
  <c r="E53" i="5"/>
  <c r="E51" i="5"/>
  <c r="E49" i="5"/>
  <c r="E47" i="5"/>
  <c r="E45" i="5"/>
  <c r="E43" i="5"/>
  <c r="E41" i="5"/>
  <c r="E39" i="5"/>
  <c r="E23" i="5"/>
  <c r="E21" i="5"/>
  <c r="E19" i="5"/>
  <c r="E17" i="5"/>
  <c r="E15" i="5"/>
  <c r="E13" i="5"/>
  <c r="E3" i="5"/>
  <c r="D4" i="5"/>
  <c r="E5" i="5"/>
  <c r="D6" i="5"/>
  <c r="E7" i="5"/>
  <c r="D8" i="5"/>
  <c r="E9" i="5"/>
  <c r="D10" i="5"/>
  <c r="E11" i="5"/>
  <c r="D13" i="5"/>
  <c r="D15" i="5"/>
  <c r="D17" i="5"/>
  <c r="A81" i="5"/>
  <c r="A38" i="5"/>
  <c r="A36" i="5"/>
  <c r="A34" i="5"/>
  <c r="A32" i="5"/>
  <c r="A30" i="5"/>
  <c r="A28" i="5"/>
  <c r="A26" i="5"/>
  <c r="A24" i="5"/>
  <c r="A22" i="5"/>
  <c r="A20" i="5"/>
  <c r="A18" i="5"/>
  <c r="A80" i="5"/>
  <c r="A78" i="5"/>
  <c r="A76" i="5"/>
  <c r="A74" i="5"/>
  <c r="A72" i="5"/>
  <c r="A70" i="5"/>
  <c r="A68" i="5"/>
  <c r="A66" i="5"/>
  <c r="A64" i="5"/>
  <c r="A62" i="5"/>
  <c r="A60" i="5"/>
  <c r="A58" i="5"/>
  <c r="A56" i="5"/>
  <c r="A54" i="5"/>
  <c r="A52" i="5"/>
  <c r="A50" i="5"/>
  <c r="A48" i="5"/>
  <c r="A46" i="5"/>
  <c r="A44" i="5"/>
  <c r="A42" i="5"/>
  <c r="A40" i="5"/>
  <c r="A79" i="5"/>
  <c r="A77" i="5"/>
  <c r="A75" i="5"/>
  <c r="A73" i="5"/>
  <c r="A71" i="5"/>
  <c r="A69" i="5"/>
  <c r="A67" i="5"/>
  <c r="A65" i="5"/>
  <c r="A63" i="5"/>
  <c r="A61" i="5"/>
  <c r="A59" i="5"/>
  <c r="A57" i="5"/>
  <c r="A55" i="5"/>
  <c r="A53" i="5"/>
  <c r="A51" i="5"/>
  <c r="A49" i="5"/>
  <c r="A47" i="5"/>
  <c r="A45" i="5"/>
  <c r="A43" i="5"/>
  <c r="A41" i="5"/>
  <c r="A39" i="5"/>
  <c r="A37" i="5"/>
  <c r="A35" i="5"/>
  <c r="A33" i="5"/>
  <c r="A31" i="5"/>
  <c r="A29" i="5"/>
  <c r="A27" i="5"/>
  <c r="A25" i="5"/>
  <c r="A16" i="5"/>
  <c r="A14" i="5"/>
  <c r="A12" i="5"/>
  <c r="A10" i="5"/>
  <c r="A8" i="5"/>
  <c r="A6" i="5"/>
  <c r="A4" i="5"/>
  <c r="A23" i="5"/>
  <c r="A21" i="5"/>
  <c r="A19" i="5"/>
  <c r="A17" i="5"/>
  <c r="A15" i="5"/>
  <c r="A13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7" i="5"/>
  <c r="C35" i="5"/>
  <c r="C33" i="5"/>
  <c r="C31" i="5"/>
  <c r="C29" i="5"/>
  <c r="C27" i="5"/>
  <c r="I27" i="5" s="1"/>
  <c r="J27" i="5" s="1"/>
  <c r="C25" i="5"/>
  <c r="C23" i="5"/>
  <c r="C21" i="5"/>
  <c r="C19" i="5"/>
  <c r="C81" i="5"/>
  <c r="C38" i="5"/>
  <c r="C36" i="5"/>
  <c r="C34" i="5"/>
  <c r="C32" i="5"/>
  <c r="C30" i="5"/>
  <c r="C28" i="5"/>
  <c r="C26" i="5"/>
  <c r="I26" i="5" s="1"/>
  <c r="J26" i="5" s="1"/>
  <c r="C17" i="5"/>
  <c r="C15" i="5"/>
  <c r="C13" i="5"/>
  <c r="C11" i="5"/>
  <c r="I11" i="5" s="1"/>
  <c r="J11" i="5" s="1"/>
  <c r="C9" i="5"/>
  <c r="C7" i="5"/>
  <c r="I7" i="5" s="1"/>
  <c r="J7" i="5" s="1"/>
  <c r="C5" i="5"/>
  <c r="C16" i="5"/>
  <c r="C14" i="5"/>
  <c r="D81" i="5"/>
  <c r="D79" i="5"/>
  <c r="D77" i="5"/>
  <c r="D75" i="5"/>
  <c r="D73" i="5"/>
  <c r="D71" i="5"/>
  <c r="D69" i="5"/>
  <c r="D67" i="5"/>
  <c r="D65" i="5"/>
  <c r="D63" i="5"/>
  <c r="D61" i="5"/>
  <c r="D59" i="5"/>
  <c r="D57" i="5"/>
  <c r="D55" i="5"/>
  <c r="D53" i="5"/>
  <c r="D51" i="5"/>
  <c r="D49" i="5"/>
  <c r="D47" i="5"/>
  <c r="D45" i="5"/>
  <c r="D43" i="5"/>
  <c r="D41" i="5"/>
  <c r="D39" i="5"/>
  <c r="D38" i="5"/>
  <c r="D36" i="5"/>
  <c r="D34" i="5"/>
  <c r="D31" i="5"/>
  <c r="D29" i="5"/>
  <c r="D27" i="5"/>
  <c r="D25" i="5"/>
  <c r="D80" i="5"/>
  <c r="D78" i="5"/>
  <c r="D76" i="5"/>
  <c r="D74" i="5"/>
  <c r="D72" i="5"/>
  <c r="D70" i="5"/>
  <c r="D68" i="5"/>
  <c r="D66" i="5"/>
  <c r="D64" i="5"/>
  <c r="D62" i="5"/>
  <c r="D60" i="5"/>
  <c r="D58" i="5"/>
  <c r="D56" i="5"/>
  <c r="D54" i="5"/>
  <c r="D52" i="5"/>
  <c r="D50" i="5"/>
  <c r="D48" i="5"/>
  <c r="D46" i="5"/>
  <c r="D44" i="5"/>
  <c r="D42" i="5"/>
  <c r="D40" i="5"/>
  <c r="D37" i="5"/>
  <c r="D35" i="5"/>
  <c r="D33" i="5"/>
  <c r="D16" i="5"/>
  <c r="D14" i="5"/>
  <c r="D12" i="5"/>
  <c r="D32" i="5"/>
  <c r="D30" i="5"/>
  <c r="D28" i="5"/>
  <c r="D26" i="5"/>
  <c r="D24" i="5"/>
  <c r="D22" i="5"/>
  <c r="D20" i="5"/>
  <c r="D18" i="5"/>
  <c r="B3" i="5"/>
  <c r="A5" i="5"/>
  <c r="A7" i="5"/>
  <c r="A9" i="5"/>
  <c r="A11" i="5"/>
  <c r="C20" i="5"/>
  <c r="C24" i="5"/>
  <c r="B28" i="5"/>
  <c r="I28" i="5" s="1"/>
  <c r="J28" i="5" s="1"/>
  <c r="B32" i="5"/>
  <c r="I35" i="5"/>
  <c r="J35" i="5" s="1"/>
  <c r="I31" i="5" l="1"/>
  <c r="J31" i="5" s="1"/>
  <c r="I4" i="5"/>
  <c r="J4" i="5" s="1"/>
  <c r="I36" i="5"/>
  <c r="J36" i="5" s="1"/>
  <c r="I21" i="5"/>
  <c r="J21" i="5" s="1"/>
  <c r="I6" i="5"/>
  <c r="J6" i="5" s="1"/>
  <c r="I34" i="5"/>
  <c r="J34" i="5" s="1"/>
  <c r="I8" i="5"/>
  <c r="J8" i="5" s="1"/>
  <c r="I19" i="5"/>
  <c r="J19" i="5" s="1"/>
  <c r="I45" i="5"/>
  <c r="J45" i="5" s="1"/>
  <c r="I53" i="5"/>
  <c r="J53" i="5" s="1"/>
  <c r="I61" i="5"/>
  <c r="J61" i="5" s="1"/>
  <c r="I69" i="5"/>
  <c r="J69" i="5" s="1"/>
  <c r="I77" i="5"/>
  <c r="J77" i="5" s="1"/>
  <c r="I20" i="5"/>
  <c r="J20" i="5" s="1"/>
  <c r="I5" i="5"/>
  <c r="J5" i="5" s="1"/>
  <c r="I13" i="5"/>
  <c r="J13" i="5" s="1"/>
  <c r="I12" i="5"/>
  <c r="J12" i="5" s="1"/>
  <c r="I15" i="5"/>
  <c r="J15" i="5" s="1"/>
  <c r="I39" i="5"/>
  <c r="J39" i="5" s="1"/>
  <c r="I47" i="5"/>
  <c r="J47" i="5" s="1"/>
  <c r="I55" i="5"/>
  <c r="J55" i="5" s="1"/>
  <c r="I63" i="5"/>
  <c r="J63" i="5" s="1"/>
  <c r="I71" i="5"/>
  <c r="J71" i="5" s="1"/>
  <c r="I79" i="5"/>
  <c r="J79" i="5" s="1"/>
  <c r="I24" i="5"/>
  <c r="J24" i="5" s="1"/>
  <c r="I14" i="5"/>
  <c r="J14" i="5" s="1"/>
  <c r="I9" i="5"/>
  <c r="J9" i="5" s="1"/>
  <c r="I17" i="5"/>
  <c r="J17" i="5" s="1"/>
  <c r="I33" i="5"/>
  <c r="J33" i="5" s="1"/>
  <c r="I40" i="5"/>
  <c r="J40" i="5" s="1"/>
  <c r="I48" i="5"/>
  <c r="J48" i="5" s="1"/>
  <c r="I56" i="5"/>
  <c r="J56" i="5" s="1"/>
  <c r="I64" i="5"/>
  <c r="J64" i="5" s="1"/>
  <c r="I72" i="5"/>
  <c r="J72" i="5" s="1"/>
  <c r="I80" i="5"/>
  <c r="J80" i="5" s="1"/>
  <c r="I10" i="5"/>
  <c r="J10" i="5" s="1"/>
  <c r="I25" i="5"/>
  <c r="J25" i="5" s="1"/>
  <c r="I16" i="5"/>
  <c r="J16" i="5" s="1"/>
  <c r="I37" i="5"/>
  <c r="J37" i="5" s="1"/>
  <c r="I29" i="5"/>
  <c r="J29" i="5" s="1"/>
  <c r="I30" i="5"/>
  <c r="J30" i="5" s="1"/>
  <c r="I38" i="5"/>
  <c r="J38" i="5" s="1"/>
  <c r="I23" i="5"/>
  <c r="J23" i="5" s="1"/>
  <c r="I43" i="5"/>
  <c r="J43" i="5" s="1"/>
  <c r="I51" i="5"/>
  <c r="J51" i="5" s="1"/>
  <c r="I59" i="5"/>
  <c r="J59" i="5" s="1"/>
  <c r="I67" i="5"/>
  <c r="J67" i="5" s="1"/>
  <c r="I75" i="5"/>
  <c r="J75" i="5" s="1"/>
  <c r="I32" i="5"/>
  <c r="J32" i="5" s="1"/>
  <c r="I44" i="5"/>
  <c r="J44" i="5" s="1"/>
  <c r="I52" i="5"/>
  <c r="J52" i="5" s="1"/>
  <c r="I60" i="5"/>
  <c r="J60" i="5" s="1"/>
  <c r="I68" i="5"/>
  <c r="J68" i="5" s="1"/>
  <c r="I76" i="5"/>
  <c r="J76" i="5" s="1"/>
  <c r="I3" i="5"/>
  <c r="J3" i="5" s="1"/>
  <c r="I81" i="5"/>
  <c r="J81" i="5" s="1"/>
  <c r="I41" i="5"/>
  <c r="J41" i="5" s="1"/>
  <c r="I49" i="5"/>
  <c r="J49" i="5" s="1"/>
  <c r="I57" i="5"/>
  <c r="J57" i="5" s="1"/>
  <c r="I73" i="5"/>
  <c r="J73" i="5" s="1"/>
  <c r="I65" i="5"/>
  <c r="J65" i="5" s="1"/>
  <c r="I42" i="5"/>
  <c r="J42" i="5" s="1"/>
  <c r="I46" i="5"/>
  <c r="J46" i="5" s="1"/>
  <c r="I50" i="5"/>
  <c r="J50" i="5" s="1"/>
  <c r="I54" i="5"/>
  <c r="J54" i="5" s="1"/>
  <c r="I58" i="5"/>
  <c r="J58" i="5" s="1"/>
  <c r="I62" i="5"/>
  <c r="J62" i="5" s="1"/>
  <c r="I66" i="5"/>
  <c r="J66" i="5" s="1"/>
  <c r="I70" i="5"/>
  <c r="J70" i="5" s="1"/>
  <c r="I74" i="5"/>
  <c r="J74" i="5" s="1"/>
  <c r="I78" i="5"/>
  <c r="J78" i="5" s="1"/>
</calcChain>
</file>

<file path=xl/sharedStrings.xml><?xml version="1.0" encoding="utf-8"?>
<sst xmlns="http://schemas.openxmlformats.org/spreadsheetml/2006/main" count="246" uniqueCount="89">
  <si>
    <r>
      <t xml:space="preserve">FECHA FINALIZACIÓN ANÁLISIS
</t>
    </r>
    <r>
      <rPr>
        <i/>
        <sz val="9"/>
        <color indexed="55"/>
        <rFont val="Arial"/>
        <family val="2"/>
      </rPr>
      <t>Test ending date</t>
    </r>
  </si>
  <si>
    <r>
      <rPr>
        <b/>
        <sz val="10"/>
        <rFont val="Arial"/>
        <family val="2"/>
      </rPr>
      <t xml:space="preserve">N° SOLICITUD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Request number</t>
    </r>
  </si>
  <si>
    <r>
      <rPr>
        <b/>
        <sz val="10"/>
        <rFont val="Arial"/>
        <family val="2"/>
      </rPr>
      <t>SERIE</t>
    </r>
    <r>
      <rPr>
        <sz val="10"/>
        <rFont val="Arial"/>
        <family val="2"/>
      </rPr>
      <t xml:space="preserve">                            </t>
    </r>
    <r>
      <rPr>
        <i/>
        <sz val="10"/>
        <color indexed="55"/>
        <rFont val="Arial"/>
        <family val="2"/>
      </rPr>
      <t>Serie</t>
    </r>
  </si>
  <si>
    <t>BENTOS</t>
  </si>
  <si>
    <r>
      <rPr>
        <b/>
        <sz val="10"/>
        <rFont val="Arial"/>
        <family val="2"/>
      </rPr>
      <t>TÉCNICA</t>
    </r>
    <r>
      <rPr>
        <sz val="10"/>
        <rFont val="Arial"/>
        <family val="2"/>
      </rPr>
      <t xml:space="preserve">                                      </t>
    </r>
    <r>
      <rPr>
        <i/>
        <sz val="9"/>
        <color indexed="55"/>
        <rFont val="Arial"/>
        <family val="2"/>
      </rPr>
      <t>Technique</t>
    </r>
  </si>
  <si>
    <r>
      <rPr>
        <b/>
        <sz val="10"/>
        <rFont val="Arial"/>
        <family val="2"/>
      </rPr>
      <t>EQUIPO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Equipment</t>
    </r>
  </si>
  <si>
    <r>
      <rPr>
        <b/>
        <sz val="10"/>
        <rFont val="Arial"/>
        <family val="2"/>
      </rPr>
      <t xml:space="preserve">PLACA                               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Plate</t>
    </r>
  </si>
  <si>
    <r>
      <rPr>
        <b/>
        <sz val="10"/>
        <rFont val="Arial"/>
        <family val="2"/>
      </rPr>
      <t xml:space="preserve">MARCA      </t>
    </r>
    <r>
      <rPr>
        <sz val="10"/>
        <rFont val="Arial"/>
        <family val="2"/>
      </rPr>
      <t xml:space="preserve">              </t>
    </r>
    <r>
      <rPr>
        <i/>
        <sz val="9"/>
        <color indexed="55"/>
        <rFont val="Arial"/>
        <family val="2"/>
      </rPr>
      <t>Trademark</t>
    </r>
  </si>
  <si>
    <r>
      <rPr>
        <b/>
        <sz val="10"/>
        <rFont val="Arial"/>
        <family val="2"/>
      </rPr>
      <t>CONDICIONES AMBIENTALES</t>
    </r>
    <r>
      <rPr>
        <sz val="10"/>
        <rFont val="Arial"/>
        <family val="2"/>
      </rPr>
      <t xml:space="preserve">                                                      </t>
    </r>
    <r>
      <rPr>
        <i/>
        <sz val="9"/>
        <color indexed="55"/>
        <rFont val="Arial"/>
        <family val="2"/>
      </rPr>
      <t>Environmental conditions</t>
    </r>
  </si>
  <si>
    <r>
      <rPr>
        <b/>
        <sz val="10"/>
        <rFont val="Arial"/>
        <family val="2"/>
      </rPr>
      <t xml:space="preserve">FECHA DE INICIO DE ANÁLISIS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Test start date</t>
    </r>
  </si>
  <si>
    <r>
      <rPr>
        <b/>
        <sz val="10"/>
        <rFont val="Arial"/>
        <family val="2"/>
      </rPr>
      <t xml:space="preserve">MODELO
</t>
    </r>
    <r>
      <rPr>
        <i/>
        <sz val="9"/>
        <color indexed="55"/>
        <rFont val="Arial"/>
        <family val="2"/>
      </rPr>
      <t>Model</t>
    </r>
  </si>
  <si>
    <r>
      <rPr>
        <b/>
        <sz val="10"/>
        <rFont val="Arial"/>
        <family val="2"/>
      </rPr>
      <t>REALIZADO POR</t>
    </r>
    <r>
      <rPr>
        <i/>
        <sz val="10"/>
        <rFont val="Arial"/>
        <family val="2"/>
      </rPr>
      <t xml:space="preserve">                                                </t>
    </r>
    <r>
      <rPr>
        <i/>
        <sz val="9"/>
        <color indexed="55"/>
        <rFont val="Arial"/>
        <family val="2"/>
      </rPr>
      <t>Done by</t>
    </r>
  </si>
  <si>
    <r>
      <rPr>
        <b/>
        <sz val="10"/>
        <rFont val="Arial"/>
        <family val="2"/>
      </rPr>
      <t>TEMPERATURA [°C]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Temperature</t>
    </r>
  </si>
  <si>
    <r>
      <rPr>
        <b/>
        <sz val="10"/>
        <rFont val="Arial"/>
        <family val="2"/>
      </rPr>
      <t>HUMEDAD RELATIVA [%]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Relative Humidity</t>
    </r>
  </si>
  <si>
    <r>
      <rPr>
        <b/>
        <sz val="9"/>
        <rFont val="Arial"/>
        <family val="2"/>
      </rPr>
      <t>VOLUMEN FILTRADO [m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 xml:space="preserve">]
</t>
    </r>
    <r>
      <rPr>
        <i/>
        <sz val="9"/>
        <color indexed="55"/>
        <rFont val="Arial"/>
        <family val="2"/>
      </rPr>
      <t>Filtered volumen</t>
    </r>
  </si>
  <si>
    <r>
      <rPr>
        <b/>
        <sz val="9"/>
        <rFont val="Arial"/>
        <family val="2"/>
      </rPr>
      <t>VOLUMEN CONCENTRADO [mL]</t>
    </r>
    <r>
      <rPr>
        <sz val="9"/>
        <rFont val="Arial"/>
        <family val="2"/>
      </rPr>
      <t xml:space="preserve">
</t>
    </r>
    <r>
      <rPr>
        <i/>
        <sz val="9"/>
        <color indexed="55"/>
        <rFont val="Arial"/>
        <family val="2"/>
      </rPr>
      <t>Concentrated volume</t>
    </r>
  </si>
  <si>
    <r>
      <rPr>
        <b/>
        <sz val="9"/>
        <rFont val="Arial"/>
        <family val="2"/>
      </rPr>
      <t xml:space="preserve">VOLUMEN DE LA ALÍCUOTA [mL]
</t>
    </r>
    <r>
      <rPr>
        <i/>
        <sz val="9"/>
        <color indexed="55"/>
        <rFont val="Arial"/>
        <family val="2"/>
      </rPr>
      <t xml:space="preserve">Aliquot volume </t>
    </r>
  </si>
  <si>
    <r>
      <rPr>
        <b/>
        <sz val="9"/>
        <rFont val="Arial"/>
        <family val="2"/>
      </rPr>
      <t xml:space="preserve">NÚMERO DE ALÍCUOTAS
</t>
    </r>
    <r>
      <rPr>
        <i/>
        <sz val="9"/>
        <color indexed="55"/>
        <rFont val="Arial"/>
        <family val="2"/>
      </rPr>
      <t>Number of Aliquots</t>
    </r>
  </si>
  <si>
    <r>
      <rPr>
        <b/>
        <sz val="9"/>
        <rFont val="Arial"/>
        <family val="2"/>
      </rPr>
      <t>VOLUMEN DE LA MUESTRA [cm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>]</t>
    </r>
    <r>
      <rPr>
        <sz val="9"/>
        <rFont val="Arial"/>
        <family val="2"/>
      </rPr>
      <t xml:space="preserve">                                                                                          </t>
    </r>
    <r>
      <rPr>
        <i/>
        <sz val="9"/>
        <color indexed="55"/>
        <rFont val="Arial"/>
        <family val="2"/>
      </rPr>
      <t>Sample volumen</t>
    </r>
  </si>
  <si>
    <r>
      <rPr>
        <b/>
        <sz val="9"/>
        <rFont val="Arial"/>
        <family val="2"/>
      </rPr>
      <t>ÁREA DE LA MUESTRA [cm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 xml:space="preserve">]  </t>
    </r>
    <r>
      <rPr>
        <sz val="9"/>
        <rFont val="Arial"/>
        <family val="2"/>
      </rPr>
      <t xml:space="preserve">                                                                       </t>
    </r>
    <r>
      <rPr>
        <i/>
        <sz val="9"/>
        <color indexed="55"/>
        <rFont val="Arial"/>
        <family val="2"/>
      </rPr>
      <t>Sample Area</t>
    </r>
  </si>
  <si>
    <r>
      <t xml:space="preserve">Taxón
</t>
    </r>
    <r>
      <rPr>
        <i/>
        <sz val="9"/>
        <color indexed="55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</si>
  <si>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</si>
  <si>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</si>
  <si>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</si>
  <si>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</si>
  <si>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 xml:space="preserve">Conteo
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</si>
  <si>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</si>
  <si>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 </t>
    </r>
    <r>
      <rPr>
        <i/>
        <sz val="9"/>
        <color theme="1" tint="0.499984740745262"/>
        <rFont val="Arial"/>
        <family val="2"/>
      </rPr>
      <t>Counting</t>
    </r>
  </si>
  <si>
    <r>
      <t xml:space="preserve">OBSERVACIONES
</t>
    </r>
    <r>
      <rPr>
        <i/>
        <sz val="9"/>
        <color theme="1" tint="0.499984740745262"/>
        <rFont val="Arial"/>
        <family val="2"/>
      </rPr>
      <t>Comments</t>
    </r>
  </si>
  <si>
    <r>
      <rPr>
        <b/>
        <sz val="9"/>
        <rFont val="Arial"/>
        <family val="2"/>
      </rPr>
      <t>JEFE DE LABORATORIO</t>
    </r>
    <r>
      <rPr>
        <sz val="9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Laboratory Head</t>
    </r>
  </si>
  <si>
    <r>
      <rPr>
        <b/>
        <sz val="8"/>
        <rFont val="Arial"/>
        <family val="2"/>
      </rPr>
      <t>HORA</t>
    </r>
    <r>
      <rPr>
        <sz val="8"/>
        <rFont val="Arial"/>
        <family val="2"/>
      </rPr>
      <t xml:space="preserve"> </t>
    </r>
    <r>
      <rPr>
        <i/>
        <sz val="8"/>
        <color indexed="55"/>
        <rFont val="Arial"/>
        <family val="2"/>
      </rPr>
      <t>Time</t>
    </r>
  </si>
  <si>
    <r>
      <rPr>
        <b/>
        <sz val="10"/>
        <rFont val="Arial"/>
        <family val="2"/>
      </rPr>
      <t>CÓDIGO DE MUESTRA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Sample code</t>
    </r>
  </si>
  <si>
    <r>
      <t xml:space="preserve"> Proceso: </t>
    </r>
    <r>
      <rPr>
        <sz val="9"/>
        <rFont val="Arial"/>
        <family val="2"/>
      </rPr>
      <t xml:space="preserve">M5 Protección del Medio Marino </t>
    </r>
    <r>
      <rPr>
        <b/>
        <sz val="9"/>
        <rFont val="Arial"/>
        <family val="2"/>
      </rPr>
      <t xml:space="preserve">
 Código:</t>
    </r>
    <r>
      <rPr>
        <sz val="9"/>
        <rFont val="Arial"/>
        <family val="2"/>
      </rPr>
      <t xml:space="preserve"> M5-00-FOR-135</t>
    </r>
    <r>
      <rPr>
        <b/>
        <sz val="9"/>
        <rFont val="Arial"/>
        <family val="2"/>
      </rPr>
      <t xml:space="preserve">
 Versión:</t>
    </r>
    <r>
      <rPr>
        <sz val="9"/>
        <rFont val="Arial"/>
        <family val="2"/>
      </rPr>
      <t xml:space="preserve"> 0</t>
    </r>
  </si>
  <si>
    <t>FORMATO
DATOS PRIMARIOS PARA EL ANÁLISIS DE DENSIDAD DE PLANCTON Y MACROINVERTEBRADOS BENTÓNICOS</t>
  </si>
  <si>
    <r>
      <rPr>
        <b/>
        <sz val="9"/>
        <rFont val="Arial"/>
        <family val="2"/>
      </rPr>
      <t>APROBADO POR</t>
    </r>
    <r>
      <rPr>
        <b/>
        <sz val="10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Approved by</t>
    </r>
  </si>
  <si>
    <r>
      <rPr>
        <b/>
        <sz val="10"/>
        <rFont val="Arial"/>
        <family val="2"/>
      </rPr>
      <t xml:space="preserve">MÉTODO </t>
    </r>
    <r>
      <rPr>
        <sz val="10"/>
        <rFont val="Arial"/>
        <family val="2"/>
      </rPr>
      <t xml:space="preserve">                                     </t>
    </r>
    <r>
      <rPr>
        <i/>
        <sz val="9"/>
        <color indexed="55"/>
        <rFont val="Arial"/>
        <family val="2"/>
      </rPr>
      <t>Method</t>
    </r>
  </si>
  <si>
    <t>PLANCTON 
ZOO [  X  ]   FITO [   ]</t>
  </si>
  <si>
    <t>X</t>
  </si>
  <si>
    <t>Larvas de peces</t>
  </si>
  <si>
    <t>Christian Bermúdez Rivas</t>
  </si>
  <si>
    <t>Estereoscopio</t>
  </si>
  <si>
    <t>Olympus</t>
  </si>
  <si>
    <t>Cámara Bogorov</t>
  </si>
  <si>
    <t>Conteo Visual</t>
  </si>
  <si>
    <t>SP-20-0719</t>
  </si>
  <si>
    <t>-</t>
  </si>
  <si>
    <t>Código</t>
  </si>
  <si>
    <t>Volmen Filtrado</t>
  </si>
  <si>
    <t>Volumen Concentrado</t>
  </si>
  <si>
    <t>Volumen de la alícuota</t>
  </si>
  <si>
    <t>Número de alícuotas</t>
  </si>
  <si>
    <t>Volumen total alícuotas</t>
  </si>
  <si>
    <t>Taxón</t>
  </si>
  <si>
    <t>Conteo en Laboratorio</t>
  </si>
  <si>
    <t>Ind/m3</t>
  </si>
  <si>
    <t>Ind/1000m3</t>
  </si>
  <si>
    <t>004</t>
  </si>
  <si>
    <t>8004060000000000000021013</t>
  </si>
  <si>
    <t>4E41147</t>
  </si>
  <si>
    <t>Volumen Filtrado</t>
  </si>
  <si>
    <t>PLANCTON 
ZOO [    ]   FITO [ X  ]</t>
  </si>
  <si>
    <t>Microscopio invertido</t>
  </si>
  <si>
    <t>Leica</t>
  </si>
  <si>
    <t>DMi1</t>
  </si>
  <si>
    <t>Humberto Luis Quintana-M</t>
  </si>
  <si>
    <t>Recuento cámara completa</t>
  </si>
  <si>
    <t>Serdwick-Rafter</t>
  </si>
  <si>
    <t>20 L</t>
  </si>
  <si>
    <t>84060000000000000032555</t>
  </si>
  <si>
    <t>Coscinodiscus granii</t>
  </si>
  <si>
    <t>Skeletonema constatum</t>
  </si>
  <si>
    <t>0bservaciónes</t>
  </si>
  <si>
    <t>Coscinodiscus gigas</t>
  </si>
  <si>
    <t>Chaetoceros lorenzianus</t>
  </si>
  <si>
    <t>Trieres chinenesis</t>
  </si>
  <si>
    <t>Thalassionema fraunfeldii</t>
  </si>
  <si>
    <t>Expedición-pacifico A02 SP-EPS21-110</t>
  </si>
  <si>
    <t>Rhizosolenia imbracata</t>
  </si>
  <si>
    <t>Tripos muellerii</t>
  </si>
  <si>
    <t>Ditylum brigthwellii</t>
  </si>
  <si>
    <t>Chaetoceros diversus</t>
  </si>
  <si>
    <t>Protoperidinium (esperico)</t>
  </si>
  <si>
    <t>Coscinodiscopsis joenesiana</t>
  </si>
  <si>
    <t>Ceratocorys horrida</t>
  </si>
  <si>
    <t>Protoperidinium pentagonal</t>
  </si>
  <si>
    <t>Tripos eugrammus</t>
  </si>
  <si>
    <t>Tripos lunula</t>
  </si>
  <si>
    <t>Coscinodiscus wailesii (?)</t>
  </si>
  <si>
    <t>Tripos masilienssis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</si>
</sst>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yyyy\-mm\-dd;@"/>
    <numFmt numFmtId="165" formatCode="0.0000"/>
    <numFmt numFmtId="166" formatCode="0.0"/>
  </numFmts>
  <fonts count="22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6"/>
      <name val="Arial"/>
      <family val="2"/>
    </font>
    <font>
      <i/>
      <sz val="9"/>
      <color indexed="55"/>
      <name val="Arial"/>
      <family val="2"/>
    </font>
    <font>
      <i/>
      <sz val="10"/>
      <color indexed="55"/>
      <name val="Arial"/>
      <family val="2"/>
    </font>
    <font>
      <b/>
      <sz val="8"/>
      <name val="Arial"/>
      <family val="2"/>
    </font>
    <font>
      <i/>
      <sz val="8"/>
      <color indexed="55"/>
      <name val="Arial"/>
      <family val="2"/>
    </font>
    <font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sz val="10"/>
      <color rgb="FF202122"/>
      <name val="Arial"/>
      <family val="2"/>
    </font>
    <font>
      <sz val="11"/>
      <color rgb="FF000000"/>
      <name val="Trebuchet MS"/>
      <family val="2"/>
    </font>
    <font>
      <i/>
      <sz val="10"/>
      <name val="Arial"/>
      <family val="2"/>
    </font>
    <font>
      <b/>
      <vertAlign val="superscript"/>
      <sz val="9"/>
      <name val="Arial"/>
      <family val="2"/>
    </font>
    <font>
      <i/>
      <sz val="9"/>
      <color theme="1" tint="0.499984740745262"/>
      <name val="Arial"/>
      <family val="2"/>
    </font>
    <font>
      <sz val="8"/>
      <color rgb="FF808080"/>
      <name val="Times New Roman"/>
      <family val="1"/>
    </font>
    <font>
      <sz val="10"/>
      <color theme="1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</borders>
  <cellStyleXfs count="2">
    <xf numFmtId="0" fontId="0" fillId="0" borderId="0"/>
    <xf numFmtId="0" fontId="2" fillId="0" borderId="0"/>
  </cellStyleXfs>
  <cellXfs count="100">
    <xf numFmtId="0" fontId="0" fillId="0" borderId="0" xfId="0"/>
    <xf numFmtId="0" fontId="2" fillId="0" borderId="0" xfId="0" applyFont="1" applyProtection="1"/>
    <xf numFmtId="49" fontId="2" fillId="0" borderId="0" xfId="0" applyNumberFormat="1" applyFont="1" applyProtection="1"/>
    <xf numFmtId="0" fontId="2" fillId="0" borderId="0" xfId="0" applyFont="1" applyBorder="1" applyProtection="1"/>
    <xf numFmtId="0" fontId="4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left" vertical="center" wrapText="1"/>
    </xf>
    <xf numFmtId="0" fontId="2" fillId="0" borderId="0" xfId="0" applyFont="1" applyBorder="1" applyAlignment="1" applyProtection="1">
      <alignment horizontal="center"/>
    </xf>
    <xf numFmtId="0" fontId="12" fillId="0" borderId="0" xfId="0" applyFont="1" applyBorder="1" applyAlignment="1">
      <alignment vertical="center"/>
    </xf>
    <xf numFmtId="0" fontId="2" fillId="0" borderId="0" xfId="0" applyFont="1" applyFill="1" applyProtection="1"/>
    <xf numFmtId="0" fontId="2" fillId="0" borderId="0" xfId="0" applyFont="1" applyFill="1" applyBorder="1" applyProtection="1"/>
    <xf numFmtId="49" fontId="2" fillId="0" borderId="0" xfId="0" applyNumberFormat="1" applyFont="1" applyFill="1" applyBorder="1" applyProtection="1"/>
    <xf numFmtId="0" fontId="6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>
      <alignment horizontal="right" vertical="center" wrapText="1"/>
    </xf>
    <xf numFmtId="0" fontId="2" fillId="0" borderId="1" xfId="0" applyFont="1" applyBorder="1" applyAlignment="1" applyProtection="1">
      <alignment horizontal="center"/>
    </xf>
    <xf numFmtId="0" fontId="0" fillId="0" borderId="2" xfId="0" applyBorder="1" applyAlignment="1"/>
    <xf numFmtId="0" fontId="2" fillId="0" borderId="2" xfId="0" applyFont="1" applyBorder="1" applyAlignment="1" applyProtection="1"/>
    <xf numFmtId="0" fontId="2" fillId="0" borderId="2" xfId="0" applyFont="1" applyBorder="1" applyAlignment="1" applyProtection="1">
      <alignment vertical="center"/>
    </xf>
    <xf numFmtId="0" fontId="2" fillId="0" borderId="2" xfId="0" applyFont="1" applyBorder="1" applyProtection="1"/>
    <xf numFmtId="0" fontId="7" fillId="0" borderId="0" xfId="1" applyFont="1" applyBorder="1" applyAlignment="1">
      <alignment horizontal="center" vertical="top" wrapText="1"/>
    </xf>
    <xf numFmtId="0" fontId="3" fillId="3" borderId="0" xfId="0" applyFont="1" applyFill="1" applyBorder="1" applyAlignment="1" applyProtection="1">
      <alignment horizontal="center" vertical="center"/>
    </xf>
    <xf numFmtId="49" fontId="2" fillId="0" borderId="0" xfId="0" applyNumberFormat="1" applyFont="1" applyBorder="1" applyProtection="1"/>
    <xf numFmtId="0" fontId="6" fillId="3" borderId="0" xfId="0" applyFont="1" applyFill="1" applyBorder="1" applyAlignment="1">
      <alignment horizontal="right" vertical="center" wrapText="1"/>
    </xf>
    <xf numFmtId="0" fontId="6" fillId="3" borderId="0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2" fillId="0" borderId="0" xfId="1"/>
    <xf numFmtId="14" fontId="2" fillId="0" borderId="0" xfId="1" applyNumberFormat="1"/>
    <xf numFmtId="2" fontId="2" fillId="0" borderId="0" xfId="1" applyNumberFormat="1"/>
    <xf numFmtId="1" fontId="2" fillId="0" borderId="0" xfId="1" applyNumberFormat="1"/>
    <xf numFmtId="0" fontId="3" fillId="0" borderId="0" xfId="1" applyFont="1" applyAlignment="1">
      <alignment horizontal="center" vertical="center"/>
    </xf>
    <xf numFmtId="14" fontId="2" fillId="0" borderId="0" xfId="1" applyNumberFormat="1" applyAlignment="1">
      <alignment horizontal="center" vertical="center"/>
    </xf>
    <xf numFmtId="0" fontId="2" fillId="0" borderId="0" xfId="1" applyAlignment="1">
      <alignment horizontal="center" vertical="center"/>
    </xf>
    <xf numFmtId="166" fontId="2" fillId="0" borderId="0" xfId="1" applyNumberFormat="1" applyAlignment="1">
      <alignment horizontal="center" vertical="center"/>
    </xf>
    <xf numFmtId="1" fontId="2" fillId="0" borderId="0" xfId="1" applyNumberFormat="1" applyAlignment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0" fontId="3" fillId="0" borderId="8" xfId="1" applyFont="1" applyBorder="1" applyAlignment="1">
      <alignment horizontal="left" vertical="center" wrapText="1"/>
    </xf>
    <xf numFmtId="0" fontId="3" fillId="0" borderId="6" xfId="1" applyFont="1" applyBorder="1" applyAlignment="1">
      <alignment horizontal="left" vertical="center" wrapText="1"/>
    </xf>
    <xf numFmtId="0" fontId="5" fillId="0" borderId="7" xfId="1" applyFont="1" applyBorder="1" applyAlignment="1">
      <alignment horizontal="left" vertical="center" wrapText="1"/>
    </xf>
    <xf numFmtId="0" fontId="5" fillId="0" borderId="0" xfId="1" applyFont="1" applyBorder="1" applyAlignment="1">
      <alignment horizontal="left" vertical="center" wrapText="1"/>
    </xf>
    <xf numFmtId="0" fontId="2" fillId="3" borderId="2" xfId="0" applyFont="1" applyFill="1" applyBorder="1" applyAlignment="1">
      <alignment horizontal="right" vertical="center" wrapText="1"/>
    </xf>
    <xf numFmtId="0" fontId="2" fillId="3" borderId="3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right" vertical="center" wrapText="1"/>
    </xf>
    <xf numFmtId="0" fontId="2" fillId="0" borderId="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0" fontId="2" fillId="0" borderId="2" xfId="0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right" vertical="center" wrapText="1"/>
    </xf>
    <xf numFmtId="14" fontId="20" fillId="0" borderId="2" xfId="0" applyNumberFormat="1" applyFont="1" applyBorder="1" applyAlignment="1">
      <alignment horizontal="center" vertical="center"/>
    </xf>
    <xf numFmtId="49" fontId="2" fillId="3" borderId="2" xfId="0" applyNumberFormat="1" applyFont="1" applyFill="1" applyBorder="1" applyAlignment="1" applyProtection="1">
      <alignment horizontal="right" vertical="center" wrapText="1"/>
    </xf>
    <xf numFmtId="49" fontId="2" fillId="3" borderId="3" xfId="0" applyNumberFormat="1" applyFont="1" applyFill="1" applyBorder="1" applyAlignment="1" applyProtection="1">
      <alignment horizontal="right" vertical="center" wrapText="1"/>
    </xf>
    <xf numFmtId="0" fontId="2" fillId="0" borderId="2" xfId="0" applyNumberFormat="1" applyFont="1" applyBorder="1" applyAlignment="1" applyProtection="1">
      <alignment horizontal="center" vertical="center"/>
    </xf>
    <xf numFmtId="0" fontId="20" fillId="0" borderId="2" xfId="0" applyFont="1" applyBorder="1" applyAlignment="1">
      <alignment horizontal="center" vertical="center" wrapText="1"/>
    </xf>
    <xf numFmtId="164" fontId="2" fillId="0" borderId="2" xfId="0" applyNumberFormat="1" applyFont="1" applyBorder="1" applyAlignment="1" applyProtection="1">
      <alignment horizontal="center" vertical="center"/>
    </xf>
    <xf numFmtId="20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right" vertical="center" wrapText="1"/>
    </xf>
    <xf numFmtId="49" fontId="21" fillId="0" borderId="2" xfId="0" applyNumberFormat="1" applyFont="1" applyBorder="1" applyAlignment="1" applyProtection="1">
      <alignment horizontal="center" vertical="center"/>
    </xf>
    <xf numFmtId="49" fontId="2" fillId="3" borderId="2" xfId="0" applyNumberFormat="1" applyFont="1" applyFill="1" applyBorder="1" applyAlignment="1" applyProtection="1">
      <alignment horizontal="center" vertical="center" wrapText="1"/>
    </xf>
    <xf numFmtId="0" fontId="6" fillId="3" borderId="2" xfId="0" applyFont="1" applyFill="1" applyBorder="1" applyAlignment="1">
      <alignment horizontal="right" vertical="center" wrapText="1"/>
    </xf>
    <xf numFmtId="0" fontId="3" fillId="3" borderId="2" xfId="0" applyFont="1" applyFill="1" applyBorder="1" applyAlignment="1" applyProtection="1">
      <alignment horizontal="center" vertical="center"/>
    </xf>
    <xf numFmtId="0" fontId="6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 vertical="center" wrapText="1"/>
    </xf>
    <xf numFmtId="0" fontId="6" fillId="0" borderId="2" xfId="0" applyFont="1" applyFill="1" applyBorder="1" applyAlignment="1">
      <alignment horizontal="center" vertical="center" wrapText="1"/>
    </xf>
    <xf numFmtId="0" fontId="3" fillId="0" borderId="0" xfId="0" applyFont="1" applyBorder="1" applyAlignment="1" applyProtection="1">
      <alignment horizontal="center"/>
    </xf>
    <xf numFmtId="0" fontId="3" fillId="3" borderId="2" xfId="0" applyFont="1" applyFill="1" applyBorder="1" applyAlignment="1" applyProtection="1">
      <alignment horizontal="center" vertical="center" wrapText="1"/>
    </xf>
    <xf numFmtId="165" fontId="2" fillId="0" borderId="3" xfId="0" applyNumberFormat="1" applyFont="1" applyBorder="1" applyAlignment="1" applyProtection="1">
      <alignment horizontal="center" vertical="center"/>
    </xf>
    <xf numFmtId="165" fontId="2" fillId="0" borderId="5" xfId="0" applyNumberFormat="1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center" vertical="center" wrapText="1"/>
    </xf>
    <xf numFmtId="0" fontId="13" fillId="0" borderId="2" xfId="0" applyFont="1" applyBorder="1" applyAlignment="1">
      <alignment horizontal="left" vertical="center"/>
    </xf>
    <xf numFmtId="0" fontId="16" fillId="0" borderId="2" xfId="0" applyFont="1" applyBorder="1" applyAlignment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14" fillId="3" borderId="3" xfId="0" applyFont="1" applyFill="1" applyBorder="1" applyAlignment="1">
      <alignment horizontal="center" wrapText="1"/>
    </xf>
    <xf numFmtId="0" fontId="14" fillId="3" borderId="4" xfId="0" applyFont="1" applyFill="1" applyBorder="1" applyAlignment="1">
      <alignment horizontal="center" wrapText="1"/>
    </xf>
    <xf numFmtId="0" fontId="14" fillId="3" borderId="5" xfId="0" applyFont="1" applyFill="1" applyBorder="1" applyAlignment="1">
      <alignment horizontal="center" wrapText="1"/>
    </xf>
    <xf numFmtId="0" fontId="0" fillId="0" borderId="2" xfId="0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19" fillId="0" borderId="9" xfId="0" applyFont="1" applyFill="1" applyBorder="1" applyAlignment="1">
      <alignment horizontal="center" vertical="center"/>
    </xf>
    <xf numFmtId="0" fontId="19" fillId="0" borderId="10" xfId="0" applyFont="1" applyFill="1" applyBorder="1" applyAlignment="1">
      <alignment horizontal="center" vertical="center"/>
    </xf>
    <xf numFmtId="0" fontId="19" fillId="0" borderId="11" xfId="0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9" fillId="0" borderId="12" xfId="0" applyFont="1" applyFill="1" applyBorder="1" applyAlignment="1">
      <alignment horizontal="center" vertical="center"/>
    </xf>
    <xf numFmtId="0" fontId="2" fillId="0" borderId="3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2" fillId="0" borderId="13" xfId="0" applyFont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center" vertical="center" wrapText="1"/>
    </xf>
    <xf numFmtId="0" fontId="2" fillId="0" borderId="9" xfId="0" applyFont="1" applyFill="1" applyBorder="1" applyAlignment="1" applyProtection="1">
      <alignment horizontal="center"/>
    </xf>
    <xf numFmtId="0" fontId="2" fillId="0" borderId="10" xfId="0" applyFont="1" applyFill="1" applyBorder="1" applyAlignment="1" applyProtection="1">
      <alignment horizontal="center"/>
    </xf>
    <xf numFmtId="0" fontId="2" fillId="0" borderId="11" xfId="0" applyFont="1" applyFill="1" applyBorder="1" applyAlignment="1" applyProtection="1">
      <alignment horizontal="center"/>
    </xf>
    <xf numFmtId="0" fontId="5" fillId="3" borderId="2" xfId="0" applyFont="1" applyFill="1" applyBorder="1" applyAlignment="1">
      <alignment horizontal="center" vertical="center" wrapText="1"/>
    </xf>
    <xf numFmtId="11" fontId="2" fillId="0" borderId="2" xfId="0" applyNumberFormat="1" applyFont="1" applyBorder="1" applyAlignment="1" applyProtection="1">
      <alignment horizontal="center" vertical="center"/>
    </xf>
    <xf numFmtId="49" fontId="2" fillId="0" borderId="2" xfId="0" applyNumberFormat="1" applyFont="1" applyBorder="1" applyAlignment="1" applyProtection="1">
      <alignment horizontal="center" vertical="center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94209" name="Button 1" hidden="1">
              <a:extLst>
                <a:ext uri="{63B3BB69-23CF-44E3-9099-C40C66FF867C}">
                  <a14:compatExt spid="_x0000_s94209"/>
                </a:ext>
                <a:ext uri="{FF2B5EF4-FFF2-40B4-BE49-F238E27FC236}">
                  <a16:creationId xmlns:a16="http://schemas.microsoft.com/office/drawing/2014/main" id="{00000000-0008-0000-0000-00000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94210" name="Button 2" hidden="1">
              <a:extLst>
                <a:ext uri="{63B3BB69-23CF-44E3-9099-C40C66FF867C}">
                  <a14:compatExt spid="_x0000_s94210"/>
                </a:ext>
                <a:ext uri="{FF2B5EF4-FFF2-40B4-BE49-F238E27FC236}">
                  <a16:creationId xmlns:a16="http://schemas.microsoft.com/office/drawing/2014/main" id="{00000000-0008-0000-0000-000002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94211" name="Button 3" hidden="1">
              <a:extLst>
                <a:ext uri="{63B3BB69-23CF-44E3-9099-C40C66FF867C}">
                  <a14:compatExt spid="_x0000_s94211"/>
                </a:ext>
                <a:ext uri="{FF2B5EF4-FFF2-40B4-BE49-F238E27FC236}">
                  <a16:creationId xmlns:a16="http://schemas.microsoft.com/office/drawing/2014/main" id="{00000000-0008-0000-0000-000003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94212" name="Button 4" hidden="1">
              <a:extLst>
                <a:ext uri="{63B3BB69-23CF-44E3-9099-C40C66FF867C}">
                  <a14:compatExt spid="_x0000_s94212"/>
                </a:ext>
                <a:ext uri="{FF2B5EF4-FFF2-40B4-BE49-F238E27FC236}">
                  <a16:creationId xmlns:a16="http://schemas.microsoft.com/office/drawing/2014/main" id="{00000000-0008-0000-0000-000004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94213" name="Button 5" hidden="1">
              <a:extLst>
                <a:ext uri="{63B3BB69-23CF-44E3-9099-C40C66FF867C}">
                  <a14:compatExt spid="_x0000_s94213"/>
                </a:ext>
                <a:ext uri="{FF2B5EF4-FFF2-40B4-BE49-F238E27FC236}">
                  <a16:creationId xmlns:a16="http://schemas.microsoft.com/office/drawing/2014/main" id="{00000000-0008-0000-0000-000005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94214" name="Button 6" hidden="1">
              <a:extLst>
                <a:ext uri="{63B3BB69-23CF-44E3-9099-C40C66FF867C}">
                  <a14:compatExt spid="_x0000_s94214"/>
                </a:ext>
                <a:ext uri="{FF2B5EF4-FFF2-40B4-BE49-F238E27FC236}">
                  <a16:creationId xmlns:a16="http://schemas.microsoft.com/office/drawing/2014/main" id="{00000000-0008-0000-0000-000006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94215" name="Button 7" hidden="1">
              <a:extLst>
                <a:ext uri="{63B3BB69-23CF-44E3-9099-C40C66FF867C}">
                  <a14:compatExt spid="_x0000_s94215"/>
                </a:ext>
                <a:ext uri="{FF2B5EF4-FFF2-40B4-BE49-F238E27FC236}">
                  <a16:creationId xmlns:a16="http://schemas.microsoft.com/office/drawing/2014/main" id="{00000000-0008-0000-0000-000007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94216" name="Button 8" hidden="1">
              <a:extLst>
                <a:ext uri="{63B3BB69-23CF-44E3-9099-C40C66FF867C}">
                  <a14:compatExt spid="_x0000_s94216"/>
                </a:ext>
                <a:ext uri="{FF2B5EF4-FFF2-40B4-BE49-F238E27FC236}">
                  <a16:creationId xmlns:a16="http://schemas.microsoft.com/office/drawing/2014/main" id="{00000000-0008-0000-0000-000008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94217" name="Button 9" hidden="1">
              <a:extLst>
                <a:ext uri="{63B3BB69-23CF-44E3-9099-C40C66FF867C}">
                  <a14:compatExt spid="_x0000_s94217"/>
                </a:ext>
                <a:ext uri="{FF2B5EF4-FFF2-40B4-BE49-F238E27FC236}">
                  <a16:creationId xmlns:a16="http://schemas.microsoft.com/office/drawing/2014/main" id="{00000000-0008-0000-0000-000009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94218" name="Button 10" hidden="1">
              <a:extLst>
                <a:ext uri="{63B3BB69-23CF-44E3-9099-C40C66FF867C}">
                  <a14:compatExt spid="_x0000_s94218"/>
                </a:ext>
                <a:ext uri="{FF2B5EF4-FFF2-40B4-BE49-F238E27FC236}">
                  <a16:creationId xmlns:a16="http://schemas.microsoft.com/office/drawing/2014/main" id="{00000000-0008-0000-0000-00000A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94219" name="Button 11" hidden="1">
              <a:extLst>
                <a:ext uri="{63B3BB69-23CF-44E3-9099-C40C66FF867C}">
                  <a14:compatExt spid="_x0000_s94219"/>
                </a:ext>
                <a:ext uri="{FF2B5EF4-FFF2-40B4-BE49-F238E27FC236}">
                  <a16:creationId xmlns:a16="http://schemas.microsoft.com/office/drawing/2014/main" id="{00000000-0008-0000-0000-00000B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94220" name="Button 12" hidden="1">
              <a:extLst>
                <a:ext uri="{63B3BB69-23CF-44E3-9099-C40C66FF867C}">
                  <a14:compatExt spid="_x0000_s94220"/>
                </a:ext>
                <a:ext uri="{FF2B5EF4-FFF2-40B4-BE49-F238E27FC236}">
                  <a16:creationId xmlns:a16="http://schemas.microsoft.com/office/drawing/2014/main" id="{00000000-0008-0000-0000-00000C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94221" name="Button 13" hidden="1">
              <a:extLst>
                <a:ext uri="{63B3BB69-23CF-44E3-9099-C40C66FF867C}">
                  <a14:compatExt spid="_x0000_s94221"/>
                </a:ext>
                <a:ext uri="{FF2B5EF4-FFF2-40B4-BE49-F238E27FC236}">
                  <a16:creationId xmlns:a16="http://schemas.microsoft.com/office/drawing/2014/main" id="{00000000-0008-0000-0000-00000D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94222" name="Button 14" hidden="1">
              <a:extLst>
                <a:ext uri="{63B3BB69-23CF-44E3-9099-C40C66FF867C}">
                  <a14:compatExt spid="_x0000_s94222"/>
                </a:ext>
                <a:ext uri="{FF2B5EF4-FFF2-40B4-BE49-F238E27FC236}">
                  <a16:creationId xmlns:a16="http://schemas.microsoft.com/office/drawing/2014/main" id="{00000000-0008-0000-0000-00000E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94223" name="Button 15" hidden="1">
              <a:extLst>
                <a:ext uri="{63B3BB69-23CF-44E3-9099-C40C66FF867C}">
                  <a14:compatExt spid="_x0000_s94223"/>
                </a:ext>
                <a:ext uri="{FF2B5EF4-FFF2-40B4-BE49-F238E27FC236}">
                  <a16:creationId xmlns:a16="http://schemas.microsoft.com/office/drawing/2014/main" id="{00000000-0008-0000-0000-00000F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94224" name="Button 16" hidden="1">
              <a:extLst>
                <a:ext uri="{63B3BB69-23CF-44E3-9099-C40C66FF867C}">
                  <a14:compatExt spid="_x0000_s94224"/>
                </a:ext>
                <a:ext uri="{FF2B5EF4-FFF2-40B4-BE49-F238E27FC236}">
                  <a16:creationId xmlns:a16="http://schemas.microsoft.com/office/drawing/2014/main" id="{00000000-0008-0000-0000-000010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94225" name="Button 17" hidden="1">
              <a:extLst>
                <a:ext uri="{63B3BB69-23CF-44E3-9099-C40C66FF867C}">
                  <a14:compatExt spid="_x0000_s94225"/>
                </a:ext>
                <a:ext uri="{FF2B5EF4-FFF2-40B4-BE49-F238E27FC236}">
                  <a16:creationId xmlns:a16="http://schemas.microsoft.com/office/drawing/2014/main" id="{00000000-0008-0000-0000-00001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94226" name="Button 18" hidden="1">
              <a:extLst>
                <a:ext uri="{63B3BB69-23CF-44E3-9099-C40C66FF867C}">
                  <a14:compatExt spid="_x0000_s94226"/>
                </a:ext>
                <a:ext uri="{FF2B5EF4-FFF2-40B4-BE49-F238E27FC236}">
                  <a16:creationId xmlns:a16="http://schemas.microsoft.com/office/drawing/2014/main" id="{00000000-0008-0000-0000-000012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94227" name="Button 19" hidden="1">
              <a:extLst>
                <a:ext uri="{63B3BB69-23CF-44E3-9099-C40C66FF867C}">
                  <a14:compatExt spid="_x0000_s94227"/>
                </a:ext>
                <a:ext uri="{FF2B5EF4-FFF2-40B4-BE49-F238E27FC236}">
                  <a16:creationId xmlns:a16="http://schemas.microsoft.com/office/drawing/2014/main" id="{00000000-0008-0000-0000-000013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94228" name="Button 20" hidden="1">
              <a:extLst>
                <a:ext uri="{63B3BB69-23CF-44E3-9099-C40C66FF867C}">
                  <a14:compatExt spid="_x0000_s94228"/>
                </a:ext>
                <a:ext uri="{FF2B5EF4-FFF2-40B4-BE49-F238E27FC236}">
                  <a16:creationId xmlns:a16="http://schemas.microsoft.com/office/drawing/2014/main" id="{00000000-0008-0000-0000-000014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94229" name="Button 21" hidden="1">
              <a:extLst>
                <a:ext uri="{63B3BB69-23CF-44E3-9099-C40C66FF867C}">
                  <a14:compatExt spid="_x0000_s94229"/>
                </a:ext>
                <a:ext uri="{FF2B5EF4-FFF2-40B4-BE49-F238E27FC236}">
                  <a16:creationId xmlns:a16="http://schemas.microsoft.com/office/drawing/2014/main" id="{00000000-0008-0000-0000-000015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94230" name="Button 22" hidden="1">
              <a:extLst>
                <a:ext uri="{63B3BB69-23CF-44E3-9099-C40C66FF867C}">
                  <a14:compatExt spid="_x0000_s94230"/>
                </a:ext>
                <a:ext uri="{FF2B5EF4-FFF2-40B4-BE49-F238E27FC236}">
                  <a16:creationId xmlns:a16="http://schemas.microsoft.com/office/drawing/2014/main" id="{00000000-0008-0000-0000-000016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94231" name="Button 23" hidden="1">
              <a:extLst>
                <a:ext uri="{63B3BB69-23CF-44E3-9099-C40C66FF867C}">
                  <a14:compatExt spid="_x0000_s94231"/>
                </a:ext>
                <a:ext uri="{FF2B5EF4-FFF2-40B4-BE49-F238E27FC236}">
                  <a16:creationId xmlns:a16="http://schemas.microsoft.com/office/drawing/2014/main" id="{00000000-0008-0000-0000-000017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94232" name="Button 24" hidden="1">
              <a:extLst>
                <a:ext uri="{63B3BB69-23CF-44E3-9099-C40C66FF867C}">
                  <a14:compatExt spid="_x0000_s94232"/>
                </a:ext>
                <a:ext uri="{FF2B5EF4-FFF2-40B4-BE49-F238E27FC236}">
                  <a16:creationId xmlns:a16="http://schemas.microsoft.com/office/drawing/2014/main" id="{00000000-0008-0000-0000-000018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94233" name="Button 25" hidden="1">
              <a:extLst>
                <a:ext uri="{63B3BB69-23CF-44E3-9099-C40C66FF867C}">
                  <a14:compatExt spid="_x0000_s94233"/>
                </a:ext>
                <a:ext uri="{FF2B5EF4-FFF2-40B4-BE49-F238E27FC236}">
                  <a16:creationId xmlns:a16="http://schemas.microsoft.com/office/drawing/2014/main" id="{00000000-0008-0000-0000-000019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94234" name="Button 26" hidden="1">
              <a:extLst>
                <a:ext uri="{63B3BB69-23CF-44E3-9099-C40C66FF867C}">
                  <a14:compatExt spid="_x0000_s94234"/>
                </a:ext>
                <a:ext uri="{FF2B5EF4-FFF2-40B4-BE49-F238E27FC236}">
                  <a16:creationId xmlns:a16="http://schemas.microsoft.com/office/drawing/2014/main" id="{00000000-0008-0000-0000-00001A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94235" name="Button 27" hidden="1">
              <a:extLst>
                <a:ext uri="{63B3BB69-23CF-44E3-9099-C40C66FF867C}">
                  <a14:compatExt spid="_x0000_s94235"/>
                </a:ext>
                <a:ext uri="{FF2B5EF4-FFF2-40B4-BE49-F238E27FC236}">
                  <a16:creationId xmlns:a16="http://schemas.microsoft.com/office/drawing/2014/main" id="{00000000-0008-0000-0000-00001B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94236" name="Button 28" hidden="1">
              <a:extLst>
                <a:ext uri="{63B3BB69-23CF-44E3-9099-C40C66FF867C}">
                  <a14:compatExt spid="_x0000_s94236"/>
                </a:ext>
                <a:ext uri="{FF2B5EF4-FFF2-40B4-BE49-F238E27FC236}">
                  <a16:creationId xmlns:a16="http://schemas.microsoft.com/office/drawing/2014/main" id="{00000000-0008-0000-0000-00001C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94237" name="Button 29" hidden="1">
              <a:extLst>
                <a:ext uri="{63B3BB69-23CF-44E3-9099-C40C66FF867C}">
                  <a14:compatExt spid="_x0000_s94237"/>
                </a:ext>
                <a:ext uri="{FF2B5EF4-FFF2-40B4-BE49-F238E27FC236}">
                  <a16:creationId xmlns:a16="http://schemas.microsoft.com/office/drawing/2014/main" id="{00000000-0008-0000-0000-00001D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94238" name="Button 30" hidden="1">
              <a:extLst>
                <a:ext uri="{63B3BB69-23CF-44E3-9099-C40C66FF867C}">
                  <a14:compatExt spid="_x0000_s94238"/>
                </a:ext>
                <a:ext uri="{FF2B5EF4-FFF2-40B4-BE49-F238E27FC236}">
                  <a16:creationId xmlns:a16="http://schemas.microsoft.com/office/drawing/2014/main" id="{00000000-0008-0000-0000-00001E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94239" name="Button 31" hidden="1">
              <a:extLst>
                <a:ext uri="{63B3BB69-23CF-44E3-9099-C40C66FF867C}">
                  <a14:compatExt spid="_x0000_s94239"/>
                </a:ext>
                <a:ext uri="{FF2B5EF4-FFF2-40B4-BE49-F238E27FC236}">
                  <a16:creationId xmlns:a16="http://schemas.microsoft.com/office/drawing/2014/main" id="{00000000-0008-0000-0000-00001F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94240" name="Button 32" hidden="1">
              <a:extLst>
                <a:ext uri="{63B3BB69-23CF-44E3-9099-C40C66FF867C}">
                  <a14:compatExt spid="_x0000_s94240"/>
                </a:ext>
                <a:ext uri="{FF2B5EF4-FFF2-40B4-BE49-F238E27FC236}">
                  <a16:creationId xmlns:a16="http://schemas.microsoft.com/office/drawing/2014/main" id="{00000000-0008-0000-0000-000020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94241" name="Button 33" hidden="1">
              <a:extLst>
                <a:ext uri="{63B3BB69-23CF-44E3-9099-C40C66FF867C}">
                  <a14:compatExt spid="_x0000_s94241"/>
                </a:ext>
                <a:ext uri="{FF2B5EF4-FFF2-40B4-BE49-F238E27FC236}">
                  <a16:creationId xmlns:a16="http://schemas.microsoft.com/office/drawing/2014/main" id="{00000000-0008-0000-0000-00002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94242" name="Button 34" hidden="1">
              <a:extLst>
                <a:ext uri="{63B3BB69-23CF-44E3-9099-C40C66FF867C}">
                  <a14:compatExt spid="_x0000_s94242"/>
                </a:ext>
                <a:ext uri="{FF2B5EF4-FFF2-40B4-BE49-F238E27FC236}">
                  <a16:creationId xmlns:a16="http://schemas.microsoft.com/office/drawing/2014/main" id="{00000000-0008-0000-0000-000022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94243" name="Button 35" hidden="1">
              <a:extLst>
                <a:ext uri="{63B3BB69-23CF-44E3-9099-C40C66FF867C}">
                  <a14:compatExt spid="_x0000_s94243"/>
                </a:ext>
                <a:ext uri="{FF2B5EF4-FFF2-40B4-BE49-F238E27FC236}">
                  <a16:creationId xmlns:a16="http://schemas.microsoft.com/office/drawing/2014/main" id="{00000000-0008-0000-0000-000023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94244" name="Button 36" hidden="1">
              <a:extLst>
                <a:ext uri="{63B3BB69-23CF-44E3-9099-C40C66FF867C}">
                  <a14:compatExt spid="_x0000_s94244"/>
                </a:ext>
                <a:ext uri="{FF2B5EF4-FFF2-40B4-BE49-F238E27FC236}">
                  <a16:creationId xmlns:a16="http://schemas.microsoft.com/office/drawing/2014/main" id="{00000000-0008-0000-0000-000024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94245" name="Button 37" hidden="1">
              <a:extLst>
                <a:ext uri="{63B3BB69-23CF-44E3-9099-C40C66FF867C}">
                  <a14:compatExt spid="_x0000_s94245"/>
                </a:ext>
                <a:ext uri="{FF2B5EF4-FFF2-40B4-BE49-F238E27FC236}">
                  <a16:creationId xmlns:a16="http://schemas.microsoft.com/office/drawing/2014/main" id="{00000000-0008-0000-0000-000025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94246" name="Button 38" hidden="1">
              <a:extLst>
                <a:ext uri="{63B3BB69-23CF-44E3-9099-C40C66FF867C}">
                  <a14:compatExt spid="_x0000_s94246"/>
                </a:ext>
                <a:ext uri="{FF2B5EF4-FFF2-40B4-BE49-F238E27FC236}">
                  <a16:creationId xmlns:a16="http://schemas.microsoft.com/office/drawing/2014/main" id="{00000000-0008-0000-0000-000026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94247" name="Button 39" hidden="1">
              <a:extLst>
                <a:ext uri="{63B3BB69-23CF-44E3-9099-C40C66FF867C}">
                  <a14:compatExt spid="_x0000_s94247"/>
                </a:ext>
                <a:ext uri="{FF2B5EF4-FFF2-40B4-BE49-F238E27FC236}">
                  <a16:creationId xmlns:a16="http://schemas.microsoft.com/office/drawing/2014/main" id="{00000000-0008-0000-0000-000027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94248" name="Button 40" hidden="1">
              <a:extLst>
                <a:ext uri="{63B3BB69-23CF-44E3-9099-C40C66FF867C}">
                  <a14:compatExt spid="_x0000_s94248"/>
                </a:ext>
                <a:ext uri="{FF2B5EF4-FFF2-40B4-BE49-F238E27FC236}">
                  <a16:creationId xmlns:a16="http://schemas.microsoft.com/office/drawing/2014/main" id="{00000000-0008-0000-0000-000028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94249" name="Button 41" hidden="1">
              <a:extLst>
                <a:ext uri="{63B3BB69-23CF-44E3-9099-C40C66FF867C}">
                  <a14:compatExt spid="_x0000_s94249"/>
                </a:ext>
                <a:ext uri="{FF2B5EF4-FFF2-40B4-BE49-F238E27FC236}">
                  <a16:creationId xmlns:a16="http://schemas.microsoft.com/office/drawing/2014/main" id="{00000000-0008-0000-0000-000029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94250" name="Button 42" hidden="1">
              <a:extLst>
                <a:ext uri="{63B3BB69-23CF-44E3-9099-C40C66FF867C}">
                  <a14:compatExt spid="_x0000_s94250"/>
                </a:ext>
                <a:ext uri="{FF2B5EF4-FFF2-40B4-BE49-F238E27FC236}">
                  <a16:creationId xmlns:a16="http://schemas.microsoft.com/office/drawing/2014/main" id="{00000000-0008-0000-0000-00002A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94251" name="Button 43" hidden="1">
              <a:extLst>
                <a:ext uri="{63B3BB69-23CF-44E3-9099-C40C66FF867C}">
                  <a14:compatExt spid="_x0000_s94251"/>
                </a:ext>
                <a:ext uri="{FF2B5EF4-FFF2-40B4-BE49-F238E27FC236}">
                  <a16:creationId xmlns:a16="http://schemas.microsoft.com/office/drawing/2014/main" id="{00000000-0008-0000-0000-00002B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94252" name="Button 44" hidden="1">
              <a:extLst>
                <a:ext uri="{63B3BB69-23CF-44E3-9099-C40C66FF867C}">
                  <a14:compatExt spid="_x0000_s94252"/>
                </a:ext>
                <a:ext uri="{FF2B5EF4-FFF2-40B4-BE49-F238E27FC236}">
                  <a16:creationId xmlns:a16="http://schemas.microsoft.com/office/drawing/2014/main" id="{00000000-0008-0000-0000-00002C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94253" name="Button 45" hidden="1">
              <a:extLst>
                <a:ext uri="{63B3BB69-23CF-44E3-9099-C40C66FF867C}">
                  <a14:compatExt spid="_x0000_s94253"/>
                </a:ext>
                <a:ext uri="{FF2B5EF4-FFF2-40B4-BE49-F238E27FC236}">
                  <a16:creationId xmlns:a16="http://schemas.microsoft.com/office/drawing/2014/main" id="{00000000-0008-0000-0000-00002D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94254" name="Button 46" hidden="1">
              <a:extLst>
                <a:ext uri="{63B3BB69-23CF-44E3-9099-C40C66FF867C}">
                  <a14:compatExt spid="_x0000_s94254"/>
                </a:ext>
                <a:ext uri="{FF2B5EF4-FFF2-40B4-BE49-F238E27FC236}">
                  <a16:creationId xmlns:a16="http://schemas.microsoft.com/office/drawing/2014/main" id="{00000000-0008-0000-0000-00002E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94255" name="Button 47" hidden="1">
              <a:extLst>
                <a:ext uri="{63B3BB69-23CF-44E3-9099-C40C66FF867C}">
                  <a14:compatExt spid="_x0000_s94255"/>
                </a:ext>
                <a:ext uri="{FF2B5EF4-FFF2-40B4-BE49-F238E27FC236}">
                  <a16:creationId xmlns:a16="http://schemas.microsoft.com/office/drawing/2014/main" id="{00000000-0008-0000-0000-00002F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94256" name="Button 48" hidden="1">
              <a:extLst>
                <a:ext uri="{63B3BB69-23CF-44E3-9099-C40C66FF867C}">
                  <a14:compatExt spid="_x0000_s94256"/>
                </a:ext>
                <a:ext uri="{FF2B5EF4-FFF2-40B4-BE49-F238E27FC236}">
                  <a16:creationId xmlns:a16="http://schemas.microsoft.com/office/drawing/2014/main" id="{00000000-0008-0000-0000-000030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94257" name="Button 49" hidden="1">
              <a:extLst>
                <a:ext uri="{63B3BB69-23CF-44E3-9099-C40C66FF867C}">
                  <a14:compatExt spid="_x0000_s94257"/>
                </a:ext>
                <a:ext uri="{FF2B5EF4-FFF2-40B4-BE49-F238E27FC236}">
                  <a16:creationId xmlns:a16="http://schemas.microsoft.com/office/drawing/2014/main" id="{00000000-0008-0000-0000-00003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94258" name="Button 50" hidden="1">
              <a:extLst>
                <a:ext uri="{63B3BB69-23CF-44E3-9099-C40C66FF867C}">
                  <a14:compatExt spid="_x0000_s94258"/>
                </a:ext>
                <a:ext uri="{FF2B5EF4-FFF2-40B4-BE49-F238E27FC236}">
                  <a16:creationId xmlns:a16="http://schemas.microsoft.com/office/drawing/2014/main" id="{00000000-0008-0000-0000-000032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94259" name="Button 51" hidden="1">
              <a:extLst>
                <a:ext uri="{63B3BB69-23CF-44E3-9099-C40C66FF867C}">
                  <a14:compatExt spid="_x0000_s94259"/>
                </a:ext>
                <a:ext uri="{FF2B5EF4-FFF2-40B4-BE49-F238E27FC236}">
                  <a16:creationId xmlns:a16="http://schemas.microsoft.com/office/drawing/2014/main" id="{00000000-0008-0000-0000-000033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94260" name="Button 52" hidden="1">
              <a:extLst>
                <a:ext uri="{63B3BB69-23CF-44E3-9099-C40C66FF867C}">
                  <a14:compatExt spid="_x0000_s94260"/>
                </a:ext>
                <a:ext uri="{FF2B5EF4-FFF2-40B4-BE49-F238E27FC236}">
                  <a16:creationId xmlns:a16="http://schemas.microsoft.com/office/drawing/2014/main" id="{00000000-0008-0000-0000-000034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94261" name="Button 53" hidden="1">
              <a:extLst>
                <a:ext uri="{63B3BB69-23CF-44E3-9099-C40C66FF867C}">
                  <a14:compatExt spid="_x0000_s94261"/>
                </a:ext>
                <a:ext uri="{FF2B5EF4-FFF2-40B4-BE49-F238E27FC236}">
                  <a16:creationId xmlns:a16="http://schemas.microsoft.com/office/drawing/2014/main" id="{00000000-0008-0000-0000-000035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94262" name="Button 54" hidden="1">
              <a:extLst>
                <a:ext uri="{63B3BB69-23CF-44E3-9099-C40C66FF867C}">
                  <a14:compatExt spid="_x0000_s94262"/>
                </a:ext>
                <a:ext uri="{FF2B5EF4-FFF2-40B4-BE49-F238E27FC236}">
                  <a16:creationId xmlns:a16="http://schemas.microsoft.com/office/drawing/2014/main" id="{00000000-0008-0000-0000-000036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94263" name="Button 55" hidden="1">
              <a:extLst>
                <a:ext uri="{63B3BB69-23CF-44E3-9099-C40C66FF867C}">
                  <a14:compatExt spid="_x0000_s94263"/>
                </a:ext>
                <a:ext uri="{FF2B5EF4-FFF2-40B4-BE49-F238E27FC236}">
                  <a16:creationId xmlns:a16="http://schemas.microsoft.com/office/drawing/2014/main" id="{00000000-0008-0000-0000-000037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94264" name="Button 56" hidden="1">
              <a:extLst>
                <a:ext uri="{63B3BB69-23CF-44E3-9099-C40C66FF867C}">
                  <a14:compatExt spid="_x0000_s94264"/>
                </a:ext>
                <a:ext uri="{FF2B5EF4-FFF2-40B4-BE49-F238E27FC236}">
                  <a16:creationId xmlns:a16="http://schemas.microsoft.com/office/drawing/2014/main" id="{00000000-0008-0000-0000-000038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94265" name="Button 57" hidden="1">
              <a:extLst>
                <a:ext uri="{63B3BB69-23CF-44E3-9099-C40C66FF867C}">
                  <a14:compatExt spid="_x0000_s94265"/>
                </a:ext>
                <a:ext uri="{FF2B5EF4-FFF2-40B4-BE49-F238E27FC236}">
                  <a16:creationId xmlns:a16="http://schemas.microsoft.com/office/drawing/2014/main" id="{00000000-0008-0000-0000-000039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94266" name="Button 58" hidden="1">
              <a:extLst>
                <a:ext uri="{63B3BB69-23CF-44E3-9099-C40C66FF867C}">
                  <a14:compatExt spid="_x0000_s94266"/>
                </a:ext>
                <a:ext uri="{FF2B5EF4-FFF2-40B4-BE49-F238E27FC236}">
                  <a16:creationId xmlns:a16="http://schemas.microsoft.com/office/drawing/2014/main" id="{00000000-0008-0000-0000-00003A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94267" name="Button 59" hidden="1">
              <a:extLst>
                <a:ext uri="{63B3BB69-23CF-44E3-9099-C40C66FF867C}">
                  <a14:compatExt spid="_x0000_s94267"/>
                </a:ext>
                <a:ext uri="{FF2B5EF4-FFF2-40B4-BE49-F238E27FC236}">
                  <a16:creationId xmlns:a16="http://schemas.microsoft.com/office/drawing/2014/main" id="{00000000-0008-0000-0000-00003B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94268" name="Button 60" hidden="1">
              <a:extLst>
                <a:ext uri="{63B3BB69-23CF-44E3-9099-C40C66FF867C}">
                  <a14:compatExt spid="_x0000_s94268"/>
                </a:ext>
                <a:ext uri="{FF2B5EF4-FFF2-40B4-BE49-F238E27FC236}">
                  <a16:creationId xmlns:a16="http://schemas.microsoft.com/office/drawing/2014/main" id="{00000000-0008-0000-0000-00003C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94269" name="Button 61" hidden="1">
              <a:extLst>
                <a:ext uri="{63B3BB69-23CF-44E3-9099-C40C66FF867C}">
                  <a14:compatExt spid="_x0000_s94269"/>
                </a:ext>
                <a:ext uri="{FF2B5EF4-FFF2-40B4-BE49-F238E27FC236}">
                  <a16:creationId xmlns:a16="http://schemas.microsoft.com/office/drawing/2014/main" id="{00000000-0008-0000-0000-00003D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94270" name="Button 62" hidden="1">
              <a:extLst>
                <a:ext uri="{63B3BB69-23CF-44E3-9099-C40C66FF867C}">
                  <a14:compatExt spid="_x0000_s94270"/>
                </a:ext>
                <a:ext uri="{FF2B5EF4-FFF2-40B4-BE49-F238E27FC236}">
                  <a16:creationId xmlns:a16="http://schemas.microsoft.com/office/drawing/2014/main" id="{00000000-0008-0000-0000-00003E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94271" name="Button 63" hidden="1">
              <a:extLst>
                <a:ext uri="{63B3BB69-23CF-44E3-9099-C40C66FF867C}">
                  <a14:compatExt spid="_x0000_s94271"/>
                </a:ext>
                <a:ext uri="{FF2B5EF4-FFF2-40B4-BE49-F238E27FC236}">
                  <a16:creationId xmlns:a16="http://schemas.microsoft.com/office/drawing/2014/main" id="{00000000-0008-0000-0000-00003F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94272" name="Button 64" hidden="1">
              <a:extLst>
                <a:ext uri="{63B3BB69-23CF-44E3-9099-C40C66FF867C}">
                  <a14:compatExt spid="_x0000_s94272"/>
                </a:ext>
                <a:ext uri="{FF2B5EF4-FFF2-40B4-BE49-F238E27FC236}">
                  <a16:creationId xmlns:a16="http://schemas.microsoft.com/office/drawing/2014/main" id="{00000000-0008-0000-0000-000040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94273" name="Button 65" hidden="1">
              <a:extLst>
                <a:ext uri="{63B3BB69-23CF-44E3-9099-C40C66FF867C}">
                  <a14:compatExt spid="_x0000_s94273"/>
                </a:ext>
                <a:ext uri="{FF2B5EF4-FFF2-40B4-BE49-F238E27FC236}">
                  <a16:creationId xmlns:a16="http://schemas.microsoft.com/office/drawing/2014/main" id="{00000000-0008-0000-0000-00004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94274" name="Button 66" hidden="1">
              <a:extLst>
                <a:ext uri="{63B3BB69-23CF-44E3-9099-C40C66FF867C}">
                  <a14:compatExt spid="_x0000_s94274"/>
                </a:ext>
                <a:ext uri="{FF2B5EF4-FFF2-40B4-BE49-F238E27FC236}">
                  <a16:creationId xmlns:a16="http://schemas.microsoft.com/office/drawing/2014/main" id="{00000000-0008-0000-0000-000042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94275" name="Button 67" hidden="1">
              <a:extLst>
                <a:ext uri="{63B3BB69-23CF-44E3-9099-C40C66FF867C}">
                  <a14:compatExt spid="_x0000_s94275"/>
                </a:ext>
                <a:ext uri="{FF2B5EF4-FFF2-40B4-BE49-F238E27FC236}">
                  <a16:creationId xmlns:a16="http://schemas.microsoft.com/office/drawing/2014/main" id="{00000000-0008-0000-0000-000043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94276" name="Button 68" hidden="1">
              <a:extLst>
                <a:ext uri="{63B3BB69-23CF-44E3-9099-C40C66FF867C}">
                  <a14:compatExt spid="_x0000_s94276"/>
                </a:ext>
                <a:ext uri="{FF2B5EF4-FFF2-40B4-BE49-F238E27FC236}">
                  <a16:creationId xmlns:a16="http://schemas.microsoft.com/office/drawing/2014/main" id="{00000000-0008-0000-0000-000044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94277" name="Button 69" hidden="1">
              <a:extLst>
                <a:ext uri="{63B3BB69-23CF-44E3-9099-C40C66FF867C}">
                  <a14:compatExt spid="_x0000_s94277"/>
                </a:ext>
                <a:ext uri="{FF2B5EF4-FFF2-40B4-BE49-F238E27FC236}">
                  <a16:creationId xmlns:a16="http://schemas.microsoft.com/office/drawing/2014/main" id="{00000000-0008-0000-0000-000045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94278" name="Button 70" hidden="1">
              <a:extLst>
                <a:ext uri="{63B3BB69-23CF-44E3-9099-C40C66FF867C}">
                  <a14:compatExt spid="_x0000_s94278"/>
                </a:ext>
                <a:ext uri="{FF2B5EF4-FFF2-40B4-BE49-F238E27FC236}">
                  <a16:creationId xmlns:a16="http://schemas.microsoft.com/office/drawing/2014/main" id="{00000000-0008-0000-0000-000046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94279" name="Button 71" hidden="1">
              <a:extLst>
                <a:ext uri="{63B3BB69-23CF-44E3-9099-C40C66FF867C}">
                  <a14:compatExt spid="_x0000_s94279"/>
                </a:ext>
                <a:ext uri="{FF2B5EF4-FFF2-40B4-BE49-F238E27FC236}">
                  <a16:creationId xmlns:a16="http://schemas.microsoft.com/office/drawing/2014/main" id="{00000000-0008-0000-0000-000047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94280" name="Button 72" hidden="1">
              <a:extLst>
                <a:ext uri="{63B3BB69-23CF-44E3-9099-C40C66FF867C}">
                  <a14:compatExt spid="_x0000_s94280"/>
                </a:ext>
                <a:ext uri="{FF2B5EF4-FFF2-40B4-BE49-F238E27FC236}">
                  <a16:creationId xmlns:a16="http://schemas.microsoft.com/office/drawing/2014/main" id="{00000000-0008-0000-0000-000048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94281" name="Button 73" hidden="1">
              <a:extLst>
                <a:ext uri="{63B3BB69-23CF-44E3-9099-C40C66FF867C}">
                  <a14:compatExt spid="_x0000_s94281"/>
                </a:ext>
                <a:ext uri="{FF2B5EF4-FFF2-40B4-BE49-F238E27FC236}">
                  <a16:creationId xmlns:a16="http://schemas.microsoft.com/office/drawing/2014/main" id="{00000000-0008-0000-0000-000049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94282" name="Button 74" hidden="1">
              <a:extLst>
                <a:ext uri="{63B3BB69-23CF-44E3-9099-C40C66FF867C}">
                  <a14:compatExt spid="_x0000_s94282"/>
                </a:ext>
                <a:ext uri="{FF2B5EF4-FFF2-40B4-BE49-F238E27FC236}">
                  <a16:creationId xmlns:a16="http://schemas.microsoft.com/office/drawing/2014/main" id="{00000000-0008-0000-0000-00004A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94283" name="Button 75" hidden="1">
              <a:extLst>
                <a:ext uri="{63B3BB69-23CF-44E3-9099-C40C66FF867C}">
                  <a14:compatExt spid="_x0000_s94283"/>
                </a:ext>
                <a:ext uri="{FF2B5EF4-FFF2-40B4-BE49-F238E27FC236}">
                  <a16:creationId xmlns:a16="http://schemas.microsoft.com/office/drawing/2014/main" id="{00000000-0008-0000-0000-00004B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94284" name="Button 76" hidden="1">
              <a:extLst>
                <a:ext uri="{63B3BB69-23CF-44E3-9099-C40C66FF867C}">
                  <a14:compatExt spid="_x0000_s94284"/>
                </a:ext>
                <a:ext uri="{FF2B5EF4-FFF2-40B4-BE49-F238E27FC236}">
                  <a16:creationId xmlns:a16="http://schemas.microsoft.com/office/drawing/2014/main" id="{00000000-0008-0000-0000-00004C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94285" name="Button 77" hidden="1">
              <a:extLst>
                <a:ext uri="{63B3BB69-23CF-44E3-9099-C40C66FF867C}">
                  <a14:compatExt spid="_x0000_s94285"/>
                </a:ext>
                <a:ext uri="{FF2B5EF4-FFF2-40B4-BE49-F238E27FC236}">
                  <a16:creationId xmlns:a16="http://schemas.microsoft.com/office/drawing/2014/main" id="{00000000-0008-0000-0000-00004D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94286" name="Button 78" hidden="1">
              <a:extLst>
                <a:ext uri="{63B3BB69-23CF-44E3-9099-C40C66FF867C}">
                  <a14:compatExt spid="_x0000_s94286"/>
                </a:ext>
                <a:ext uri="{FF2B5EF4-FFF2-40B4-BE49-F238E27FC236}">
                  <a16:creationId xmlns:a16="http://schemas.microsoft.com/office/drawing/2014/main" id="{00000000-0008-0000-0000-00004E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94287" name="Button 79" hidden="1">
              <a:extLst>
                <a:ext uri="{63B3BB69-23CF-44E3-9099-C40C66FF867C}">
                  <a14:compatExt spid="_x0000_s94287"/>
                </a:ext>
                <a:ext uri="{FF2B5EF4-FFF2-40B4-BE49-F238E27FC236}">
                  <a16:creationId xmlns:a16="http://schemas.microsoft.com/office/drawing/2014/main" id="{00000000-0008-0000-0000-00004F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94288" name="Button 80" hidden="1">
              <a:extLst>
                <a:ext uri="{63B3BB69-23CF-44E3-9099-C40C66FF867C}">
                  <a14:compatExt spid="_x0000_s94288"/>
                </a:ext>
                <a:ext uri="{FF2B5EF4-FFF2-40B4-BE49-F238E27FC236}">
                  <a16:creationId xmlns:a16="http://schemas.microsoft.com/office/drawing/2014/main" id="{00000000-0008-0000-0000-000050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94289" name="Button 81" hidden="1">
              <a:extLst>
                <a:ext uri="{63B3BB69-23CF-44E3-9099-C40C66FF867C}">
                  <a14:compatExt spid="_x0000_s94289"/>
                </a:ext>
                <a:ext uri="{FF2B5EF4-FFF2-40B4-BE49-F238E27FC236}">
                  <a16:creationId xmlns:a16="http://schemas.microsoft.com/office/drawing/2014/main" id="{00000000-0008-0000-0000-00005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94290" name="Button 82" hidden="1">
              <a:extLst>
                <a:ext uri="{63B3BB69-23CF-44E3-9099-C40C66FF867C}">
                  <a14:compatExt spid="_x0000_s94290"/>
                </a:ext>
                <a:ext uri="{FF2B5EF4-FFF2-40B4-BE49-F238E27FC236}">
                  <a16:creationId xmlns:a16="http://schemas.microsoft.com/office/drawing/2014/main" id="{00000000-0008-0000-0000-000052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94291" name="Button 83" hidden="1">
              <a:extLst>
                <a:ext uri="{63B3BB69-23CF-44E3-9099-C40C66FF867C}">
                  <a14:compatExt spid="_x0000_s94291"/>
                </a:ext>
                <a:ext uri="{FF2B5EF4-FFF2-40B4-BE49-F238E27FC236}">
                  <a16:creationId xmlns:a16="http://schemas.microsoft.com/office/drawing/2014/main" id="{00000000-0008-0000-0000-000053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94292" name="Button 84" hidden="1">
              <a:extLst>
                <a:ext uri="{63B3BB69-23CF-44E3-9099-C40C66FF867C}">
                  <a14:compatExt spid="_x0000_s94292"/>
                </a:ext>
                <a:ext uri="{FF2B5EF4-FFF2-40B4-BE49-F238E27FC236}">
                  <a16:creationId xmlns:a16="http://schemas.microsoft.com/office/drawing/2014/main" id="{00000000-0008-0000-0000-000054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94293" name="Button 85" hidden="1">
              <a:extLst>
                <a:ext uri="{63B3BB69-23CF-44E3-9099-C40C66FF867C}">
                  <a14:compatExt spid="_x0000_s94293"/>
                </a:ext>
                <a:ext uri="{FF2B5EF4-FFF2-40B4-BE49-F238E27FC236}">
                  <a16:creationId xmlns:a16="http://schemas.microsoft.com/office/drawing/2014/main" id="{00000000-0008-0000-0000-000055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94294" name="Button 86" hidden="1">
              <a:extLst>
                <a:ext uri="{63B3BB69-23CF-44E3-9099-C40C66FF867C}">
                  <a14:compatExt spid="_x0000_s94294"/>
                </a:ext>
                <a:ext uri="{FF2B5EF4-FFF2-40B4-BE49-F238E27FC236}">
                  <a16:creationId xmlns:a16="http://schemas.microsoft.com/office/drawing/2014/main" id="{00000000-0008-0000-0000-000056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94295" name="Button 87" hidden="1">
              <a:extLst>
                <a:ext uri="{63B3BB69-23CF-44E3-9099-C40C66FF867C}">
                  <a14:compatExt spid="_x0000_s94295"/>
                </a:ext>
                <a:ext uri="{FF2B5EF4-FFF2-40B4-BE49-F238E27FC236}">
                  <a16:creationId xmlns:a16="http://schemas.microsoft.com/office/drawing/2014/main" id="{00000000-0008-0000-0000-000057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94296" name="Button 88" hidden="1">
              <a:extLst>
                <a:ext uri="{63B3BB69-23CF-44E3-9099-C40C66FF867C}">
                  <a14:compatExt spid="_x0000_s94296"/>
                </a:ext>
                <a:ext uri="{FF2B5EF4-FFF2-40B4-BE49-F238E27FC236}">
                  <a16:creationId xmlns:a16="http://schemas.microsoft.com/office/drawing/2014/main" id="{00000000-0008-0000-0000-000058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94297" name="Button 89" hidden="1">
              <a:extLst>
                <a:ext uri="{63B3BB69-23CF-44E3-9099-C40C66FF867C}">
                  <a14:compatExt spid="_x0000_s94297"/>
                </a:ext>
                <a:ext uri="{FF2B5EF4-FFF2-40B4-BE49-F238E27FC236}">
                  <a16:creationId xmlns:a16="http://schemas.microsoft.com/office/drawing/2014/main" id="{00000000-0008-0000-0000-000059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94298" name="Button 90" hidden="1">
              <a:extLst>
                <a:ext uri="{63B3BB69-23CF-44E3-9099-C40C66FF867C}">
                  <a14:compatExt spid="_x0000_s94298"/>
                </a:ext>
                <a:ext uri="{FF2B5EF4-FFF2-40B4-BE49-F238E27FC236}">
                  <a16:creationId xmlns:a16="http://schemas.microsoft.com/office/drawing/2014/main" id="{00000000-0008-0000-0000-00005A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94299" name="Button 91" hidden="1">
              <a:extLst>
                <a:ext uri="{63B3BB69-23CF-44E3-9099-C40C66FF867C}">
                  <a14:compatExt spid="_x0000_s94299"/>
                </a:ext>
                <a:ext uri="{FF2B5EF4-FFF2-40B4-BE49-F238E27FC236}">
                  <a16:creationId xmlns:a16="http://schemas.microsoft.com/office/drawing/2014/main" id="{00000000-0008-0000-0000-00005B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94300" name="Button 92" hidden="1">
              <a:extLst>
                <a:ext uri="{63B3BB69-23CF-44E3-9099-C40C66FF867C}">
                  <a14:compatExt spid="_x0000_s94300"/>
                </a:ext>
                <a:ext uri="{FF2B5EF4-FFF2-40B4-BE49-F238E27FC236}">
                  <a16:creationId xmlns:a16="http://schemas.microsoft.com/office/drawing/2014/main" id="{00000000-0008-0000-0000-00005C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94301" name="Button 93" hidden="1">
              <a:extLst>
                <a:ext uri="{63B3BB69-23CF-44E3-9099-C40C66FF867C}">
                  <a14:compatExt spid="_x0000_s94301"/>
                </a:ext>
                <a:ext uri="{FF2B5EF4-FFF2-40B4-BE49-F238E27FC236}">
                  <a16:creationId xmlns:a16="http://schemas.microsoft.com/office/drawing/2014/main" id="{00000000-0008-0000-0000-00005D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94302" name="Button 94" hidden="1">
              <a:extLst>
                <a:ext uri="{63B3BB69-23CF-44E3-9099-C40C66FF867C}">
                  <a14:compatExt spid="_x0000_s94302"/>
                </a:ext>
                <a:ext uri="{FF2B5EF4-FFF2-40B4-BE49-F238E27FC236}">
                  <a16:creationId xmlns:a16="http://schemas.microsoft.com/office/drawing/2014/main" id="{00000000-0008-0000-0000-00005E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94303" name="Button 95" hidden="1">
              <a:extLst>
                <a:ext uri="{63B3BB69-23CF-44E3-9099-C40C66FF867C}">
                  <a14:compatExt spid="_x0000_s94303"/>
                </a:ext>
                <a:ext uri="{FF2B5EF4-FFF2-40B4-BE49-F238E27FC236}">
                  <a16:creationId xmlns:a16="http://schemas.microsoft.com/office/drawing/2014/main" id="{00000000-0008-0000-0000-00005F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94304" name="Button 96" hidden="1">
              <a:extLst>
                <a:ext uri="{63B3BB69-23CF-44E3-9099-C40C66FF867C}">
                  <a14:compatExt spid="_x0000_s94304"/>
                </a:ext>
                <a:ext uri="{FF2B5EF4-FFF2-40B4-BE49-F238E27FC236}">
                  <a16:creationId xmlns:a16="http://schemas.microsoft.com/office/drawing/2014/main" id="{00000000-0008-0000-0000-000060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94305" name="Button 97" hidden="1">
              <a:extLst>
                <a:ext uri="{63B3BB69-23CF-44E3-9099-C40C66FF867C}">
                  <a14:compatExt spid="_x0000_s94305"/>
                </a:ext>
                <a:ext uri="{FF2B5EF4-FFF2-40B4-BE49-F238E27FC236}">
                  <a16:creationId xmlns:a16="http://schemas.microsoft.com/office/drawing/2014/main" id="{00000000-0008-0000-0000-00006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94306" name="Button 98" hidden="1">
              <a:extLst>
                <a:ext uri="{63B3BB69-23CF-44E3-9099-C40C66FF867C}">
                  <a14:compatExt spid="_x0000_s94306"/>
                </a:ext>
                <a:ext uri="{FF2B5EF4-FFF2-40B4-BE49-F238E27FC236}">
                  <a16:creationId xmlns:a16="http://schemas.microsoft.com/office/drawing/2014/main" id="{00000000-0008-0000-0000-000062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94307" name="Button 99" hidden="1">
              <a:extLst>
                <a:ext uri="{63B3BB69-23CF-44E3-9099-C40C66FF867C}">
                  <a14:compatExt spid="_x0000_s94307"/>
                </a:ext>
                <a:ext uri="{FF2B5EF4-FFF2-40B4-BE49-F238E27FC236}">
                  <a16:creationId xmlns:a16="http://schemas.microsoft.com/office/drawing/2014/main" id="{00000000-0008-0000-0000-000063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94308" name="Button 100" hidden="1">
              <a:extLst>
                <a:ext uri="{63B3BB69-23CF-44E3-9099-C40C66FF867C}">
                  <a14:compatExt spid="_x0000_s94308"/>
                </a:ext>
                <a:ext uri="{FF2B5EF4-FFF2-40B4-BE49-F238E27FC236}">
                  <a16:creationId xmlns:a16="http://schemas.microsoft.com/office/drawing/2014/main" id="{00000000-0008-0000-0000-000064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94309" name="Button 101" hidden="1">
              <a:extLst>
                <a:ext uri="{63B3BB69-23CF-44E3-9099-C40C66FF867C}">
                  <a14:compatExt spid="_x0000_s94309"/>
                </a:ext>
                <a:ext uri="{FF2B5EF4-FFF2-40B4-BE49-F238E27FC236}">
                  <a16:creationId xmlns:a16="http://schemas.microsoft.com/office/drawing/2014/main" id="{00000000-0008-0000-0000-000065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94310" name="Button 102" hidden="1">
              <a:extLst>
                <a:ext uri="{63B3BB69-23CF-44E3-9099-C40C66FF867C}">
                  <a14:compatExt spid="_x0000_s94310"/>
                </a:ext>
                <a:ext uri="{FF2B5EF4-FFF2-40B4-BE49-F238E27FC236}">
                  <a16:creationId xmlns:a16="http://schemas.microsoft.com/office/drawing/2014/main" id="{00000000-0008-0000-0000-000066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94311" name="Button 103" hidden="1">
              <a:extLst>
                <a:ext uri="{63B3BB69-23CF-44E3-9099-C40C66FF867C}">
                  <a14:compatExt spid="_x0000_s94311"/>
                </a:ext>
                <a:ext uri="{FF2B5EF4-FFF2-40B4-BE49-F238E27FC236}">
                  <a16:creationId xmlns:a16="http://schemas.microsoft.com/office/drawing/2014/main" id="{00000000-0008-0000-0000-000067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94312" name="Button 104" hidden="1">
              <a:extLst>
                <a:ext uri="{63B3BB69-23CF-44E3-9099-C40C66FF867C}">
                  <a14:compatExt spid="_x0000_s94312"/>
                </a:ext>
                <a:ext uri="{FF2B5EF4-FFF2-40B4-BE49-F238E27FC236}">
                  <a16:creationId xmlns:a16="http://schemas.microsoft.com/office/drawing/2014/main" id="{00000000-0008-0000-0000-000068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94313" name="Button 105" hidden="1">
              <a:extLst>
                <a:ext uri="{63B3BB69-23CF-44E3-9099-C40C66FF867C}">
                  <a14:compatExt spid="_x0000_s94313"/>
                </a:ext>
                <a:ext uri="{FF2B5EF4-FFF2-40B4-BE49-F238E27FC236}">
                  <a16:creationId xmlns:a16="http://schemas.microsoft.com/office/drawing/2014/main" id="{00000000-0008-0000-0000-000069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94314" name="Button 106" hidden="1">
              <a:extLst>
                <a:ext uri="{63B3BB69-23CF-44E3-9099-C40C66FF867C}">
                  <a14:compatExt spid="_x0000_s94314"/>
                </a:ext>
                <a:ext uri="{FF2B5EF4-FFF2-40B4-BE49-F238E27FC236}">
                  <a16:creationId xmlns:a16="http://schemas.microsoft.com/office/drawing/2014/main" id="{00000000-0008-0000-0000-00006A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94315" name="Button 107" hidden="1">
              <a:extLst>
                <a:ext uri="{63B3BB69-23CF-44E3-9099-C40C66FF867C}">
                  <a14:compatExt spid="_x0000_s94315"/>
                </a:ext>
                <a:ext uri="{FF2B5EF4-FFF2-40B4-BE49-F238E27FC236}">
                  <a16:creationId xmlns:a16="http://schemas.microsoft.com/office/drawing/2014/main" id="{00000000-0008-0000-0000-00006B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94316" name="Button 108" hidden="1">
              <a:extLst>
                <a:ext uri="{63B3BB69-23CF-44E3-9099-C40C66FF867C}">
                  <a14:compatExt spid="_x0000_s94316"/>
                </a:ext>
                <a:ext uri="{FF2B5EF4-FFF2-40B4-BE49-F238E27FC236}">
                  <a16:creationId xmlns:a16="http://schemas.microsoft.com/office/drawing/2014/main" id="{00000000-0008-0000-0000-00006C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94317" name="Button 109" hidden="1">
              <a:extLst>
                <a:ext uri="{63B3BB69-23CF-44E3-9099-C40C66FF867C}">
                  <a14:compatExt spid="_x0000_s94317"/>
                </a:ext>
                <a:ext uri="{FF2B5EF4-FFF2-40B4-BE49-F238E27FC236}">
                  <a16:creationId xmlns:a16="http://schemas.microsoft.com/office/drawing/2014/main" id="{00000000-0008-0000-0000-00006D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94318" name="Button 110" hidden="1">
              <a:extLst>
                <a:ext uri="{63B3BB69-23CF-44E3-9099-C40C66FF867C}">
                  <a14:compatExt spid="_x0000_s94318"/>
                </a:ext>
                <a:ext uri="{FF2B5EF4-FFF2-40B4-BE49-F238E27FC236}">
                  <a16:creationId xmlns:a16="http://schemas.microsoft.com/office/drawing/2014/main" id="{00000000-0008-0000-0000-00006E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94319" name="Button 111" hidden="1">
              <a:extLst>
                <a:ext uri="{63B3BB69-23CF-44E3-9099-C40C66FF867C}">
                  <a14:compatExt spid="_x0000_s94319"/>
                </a:ext>
                <a:ext uri="{FF2B5EF4-FFF2-40B4-BE49-F238E27FC236}">
                  <a16:creationId xmlns:a16="http://schemas.microsoft.com/office/drawing/2014/main" id="{00000000-0008-0000-0000-00006F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94320" name="Button 112" hidden="1">
              <a:extLst>
                <a:ext uri="{63B3BB69-23CF-44E3-9099-C40C66FF867C}">
                  <a14:compatExt spid="_x0000_s94320"/>
                </a:ext>
                <a:ext uri="{FF2B5EF4-FFF2-40B4-BE49-F238E27FC236}">
                  <a16:creationId xmlns:a16="http://schemas.microsoft.com/office/drawing/2014/main" id="{00000000-0008-0000-0000-000070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94321" name="Button 113" hidden="1">
              <a:extLst>
                <a:ext uri="{63B3BB69-23CF-44E3-9099-C40C66FF867C}">
                  <a14:compatExt spid="_x0000_s94321"/>
                </a:ext>
                <a:ext uri="{FF2B5EF4-FFF2-40B4-BE49-F238E27FC236}">
                  <a16:creationId xmlns:a16="http://schemas.microsoft.com/office/drawing/2014/main" id="{00000000-0008-0000-0000-00007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94322" name="Button 114" hidden="1">
              <a:extLst>
                <a:ext uri="{63B3BB69-23CF-44E3-9099-C40C66FF867C}">
                  <a14:compatExt spid="_x0000_s94322"/>
                </a:ext>
                <a:ext uri="{FF2B5EF4-FFF2-40B4-BE49-F238E27FC236}">
                  <a16:creationId xmlns:a16="http://schemas.microsoft.com/office/drawing/2014/main" id="{00000000-0008-0000-0000-000072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94323" name="Button 115" hidden="1">
              <a:extLst>
                <a:ext uri="{63B3BB69-23CF-44E3-9099-C40C66FF867C}">
                  <a14:compatExt spid="_x0000_s94323"/>
                </a:ext>
                <a:ext uri="{FF2B5EF4-FFF2-40B4-BE49-F238E27FC236}">
                  <a16:creationId xmlns:a16="http://schemas.microsoft.com/office/drawing/2014/main" id="{00000000-0008-0000-0000-000073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94324" name="Button 116" hidden="1">
              <a:extLst>
                <a:ext uri="{63B3BB69-23CF-44E3-9099-C40C66FF867C}">
                  <a14:compatExt spid="_x0000_s94324"/>
                </a:ext>
                <a:ext uri="{FF2B5EF4-FFF2-40B4-BE49-F238E27FC236}">
                  <a16:creationId xmlns:a16="http://schemas.microsoft.com/office/drawing/2014/main" id="{00000000-0008-0000-0000-000074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94325" name="Button 117" hidden="1">
              <a:extLst>
                <a:ext uri="{63B3BB69-23CF-44E3-9099-C40C66FF867C}">
                  <a14:compatExt spid="_x0000_s94325"/>
                </a:ext>
                <a:ext uri="{FF2B5EF4-FFF2-40B4-BE49-F238E27FC236}">
                  <a16:creationId xmlns:a16="http://schemas.microsoft.com/office/drawing/2014/main" id="{00000000-0008-0000-0000-000075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94326" name="Button 118" hidden="1">
              <a:extLst>
                <a:ext uri="{63B3BB69-23CF-44E3-9099-C40C66FF867C}">
                  <a14:compatExt spid="_x0000_s94326"/>
                </a:ext>
                <a:ext uri="{FF2B5EF4-FFF2-40B4-BE49-F238E27FC236}">
                  <a16:creationId xmlns:a16="http://schemas.microsoft.com/office/drawing/2014/main" id="{00000000-0008-0000-0000-000076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94327" name="Button 119" hidden="1">
              <a:extLst>
                <a:ext uri="{63B3BB69-23CF-44E3-9099-C40C66FF867C}">
                  <a14:compatExt spid="_x0000_s94327"/>
                </a:ext>
                <a:ext uri="{FF2B5EF4-FFF2-40B4-BE49-F238E27FC236}">
                  <a16:creationId xmlns:a16="http://schemas.microsoft.com/office/drawing/2014/main" id="{00000000-0008-0000-0000-000077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94328" name="Button 120" hidden="1">
              <a:extLst>
                <a:ext uri="{63B3BB69-23CF-44E3-9099-C40C66FF867C}">
                  <a14:compatExt spid="_x0000_s94328"/>
                </a:ext>
                <a:ext uri="{FF2B5EF4-FFF2-40B4-BE49-F238E27FC236}">
                  <a16:creationId xmlns:a16="http://schemas.microsoft.com/office/drawing/2014/main" id="{00000000-0008-0000-0000-000078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94329" name="Button 121" hidden="1">
              <a:extLst>
                <a:ext uri="{63B3BB69-23CF-44E3-9099-C40C66FF867C}">
                  <a14:compatExt spid="_x0000_s94329"/>
                </a:ext>
                <a:ext uri="{FF2B5EF4-FFF2-40B4-BE49-F238E27FC236}">
                  <a16:creationId xmlns:a16="http://schemas.microsoft.com/office/drawing/2014/main" id="{00000000-0008-0000-0000-000079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94330" name="Button 122" hidden="1">
              <a:extLst>
                <a:ext uri="{63B3BB69-23CF-44E3-9099-C40C66FF867C}">
                  <a14:compatExt spid="_x0000_s94330"/>
                </a:ext>
                <a:ext uri="{FF2B5EF4-FFF2-40B4-BE49-F238E27FC236}">
                  <a16:creationId xmlns:a16="http://schemas.microsoft.com/office/drawing/2014/main" id="{00000000-0008-0000-0000-00007A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94331" name="Button 123" hidden="1">
              <a:extLst>
                <a:ext uri="{63B3BB69-23CF-44E3-9099-C40C66FF867C}">
                  <a14:compatExt spid="_x0000_s94331"/>
                </a:ext>
                <a:ext uri="{FF2B5EF4-FFF2-40B4-BE49-F238E27FC236}">
                  <a16:creationId xmlns:a16="http://schemas.microsoft.com/office/drawing/2014/main" id="{00000000-0008-0000-0000-00007B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94332" name="Button 124" hidden="1">
              <a:extLst>
                <a:ext uri="{63B3BB69-23CF-44E3-9099-C40C66FF867C}">
                  <a14:compatExt spid="_x0000_s94332"/>
                </a:ext>
                <a:ext uri="{FF2B5EF4-FFF2-40B4-BE49-F238E27FC236}">
                  <a16:creationId xmlns:a16="http://schemas.microsoft.com/office/drawing/2014/main" id="{00000000-0008-0000-0000-00007C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94333" name="Button 125" hidden="1">
              <a:extLst>
                <a:ext uri="{63B3BB69-23CF-44E3-9099-C40C66FF867C}">
                  <a14:compatExt spid="_x0000_s94333"/>
                </a:ext>
                <a:ext uri="{FF2B5EF4-FFF2-40B4-BE49-F238E27FC236}">
                  <a16:creationId xmlns:a16="http://schemas.microsoft.com/office/drawing/2014/main" id="{00000000-0008-0000-0000-00007D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94334" name="Button 126" hidden="1">
              <a:extLst>
                <a:ext uri="{63B3BB69-23CF-44E3-9099-C40C66FF867C}">
                  <a14:compatExt spid="_x0000_s94334"/>
                </a:ext>
                <a:ext uri="{FF2B5EF4-FFF2-40B4-BE49-F238E27FC236}">
                  <a16:creationId xmlns:a16="http://schemas.microsoft.com/office/drawing/2014/main" id="{00000000-0008-0000-0000-00007E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94335" name="Button 127" hidden="1">
              <a:extLst>
                <a:ext uri="{63B3BB69-23CF-44E3-9099-C40C66FF867C}">
                  <a14:compatExt spid="_x0000_s94335"/>
                </a:ext>
                <a:ext uri="{FF2B5EF4-FFF2-40B4-BE49-F238E27FC236}">
                  <a16:creationId xmlns:a16="http://schemas.microsoft.com/office/drawing/2014/main" id="{00000000-0008-0000-0000-00007F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94336" name="Button 128" hidden="1">
              <a:extLst>
                <a:ext uri="{63B3BB69-23CF-44E3-9099-C40C66FF867C}">
                  <a14:compatExt spid="_x0000_s94336"/>
                </a:ext>
                <a:ext uri="{FF2B5EF4-FFF2-40B4-BE49-F238E27FC236}">
                  <a16:creationId xmlns:a16="http://schemas.microsoft.com/office/drawing/2014/main" id="{00000000-0008-0000-0000-000080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94337" name="Button 129" hidden="1">
              <a:extLst>
                <a:ext uri="{63B3BB69-23CF-44E3-9099-C40C66FF867C}">
                  <a14:compatExt spid="_x0000_s94337"/>
                </a:ext>
                <a:ext uri="{FF2B5EF4-FFF2-40B4-BE49-F238E27FC236}">
                  <a16:creationId xmlns:a16="http://schemas.microsoft.com/office/drawing/2014/main" id="{00000000-0008-0000-0000-00008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94338" name="Button 130" hidden="1">
              <a:extLst>
                <a:ext uri="{63B3BB69-23CF-44E3-9099-C40C66FF867C}">
                  <a14:compatExt spid="_x0000_s94338"/>
                </a:ext>
                <a:ext uri="{FF2B5EF4-FFF2-40B4-BE49-F238E27FC236}">
                  <a16:creationId xmlns:a16="http://schemas.microsoft.com/office/drawing/2014/main" id="{00000000-0008-0000-0000-000082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94339" name="Button 131" hidden="1">
              <a:extLst>
                <a:ext uri="{63B3BB69-23CF-44E3-9099-C40C66FF867C}">
                  <a14:compatExt spid="_x0000_s94339"/>
                </a:ext>
                <a:ext uri="{FF2B5EF4-FFF2-40B4-BE49-F238E27FC236}">
                  <a16:creationId xmlns:a16="http://schemas.microsoft.com/office/drawing/2014/main" id="{00000000-0008-0000-0000-000083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94340" name="Button 132" hidden="1">
              <a:extLst>
                <a:ext uri="{63B3BB69-23CF-44E3-9099-C40C66FF867C}">
                  <a14:compatExt spid="_x0000_s94340"/>
                </a:ext>
                <a:ext uri="{FF2B5EF4-FFF2-40B4-BE49-F238E27FC236}">
                  <a16:creationId xmlns:a16="http://schemas.microsoft.com/office/drawing/2014/main" id="{00000000-0008-0000-0000-000084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94341" name="Button 133" hidden="1">
              <a:extLst>
                <a:ext uri="{63B3BB69-23CF-44E3-9099-C40C66FF867C}">
                  <a14:compatExt spid="_x0000_s94341"/>
                </a:ext>
                <a:ext uri="{FF2B5EF4-FFF2-40B4-BE49-F238E27FC236}">
                  <a16:creationId xmlns:a16="http://schemas.microsoft.com/office/drawing/2014/main" id="{00000000-0008-0000-0000-000085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94342" name="Button 134" hidden="1">
              <a:extLst>
                <a:ext uri="{63B3BB69-23CF-44E3-9099-C40C66FF867C}">
                  <a14:compatExt spid="_x0000_s94342"/>
                </a:ext>
                <a:ext uri="{FF2B5EF4-FFF2-40B4-BE49-F238E27FC236}">
                  <a16:creationId xmlns:a16="http://schemas.microsoft.com/office/drawing/2014/main" id="{00000000-0008-0000-0000-000086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94343" name="Button 135" hidden="1">
              <a:extLst>
                <a:ext uri="{63B3BB69-23CF-44E3-9099-C40C66FF867C}">
                  <a14:compatExt spid="_x0000_s94343"/>
                </a:ext>
                <a:ext uri="{FF2B5EF4-FFF2-40B4-BE49-F238E27FC236}">
                  <a16:creationId xmlns:a16="http://schemas.microsoft.com/office/drawing/2014/main" id="{00000000-0008-0000-0000-000087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94344" name="Button 136" hidden="1">
              <a:extLst>
                <a:ext uri="{63B3BB69-23CF-44E3-9099-C40C66FF867C}">
                  <a14:compatExt spid="_x0000_s94344"/>
                </a:ext>
                <a:ext uri="{FF2B5EF4-FFF2-40B4-BE49-F238E27FC236}">
                  <a16:creationId xmlns:a16="http://schemas.microsoft.com/office/drawing/2014/main" id="{00000000-0008-0000-0000-000088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94345" name="Button 137" hidden="1">
              <a:extLst>
                <a:ext uri="{63B3BB69-23CF-44E3-9099-C40C66FF867C}">
                  <a14:compatExt spid="_x0000_s94345"/>
                </a:ext>
                <a:ext uri="{FF2B5EF4-FFF2-40B4-BE49-F238E27FC236}">
                  <a16:creationId xmlns:a16="http://schemas.microsoft.com/office/drawing/2014/main" id="{00000000-0008-0000-0000-000089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94346" name="Button 138" hidden="1">
              <a:extLst>
                <a:ext uri="{63B3BB69-23CF-44E3-9099-C40C66FF867C}">
                  <a14:compatExt spid="_x0000_s94346"/>
                </a:ext>
                <a:ext uri="{FF2B5EF4-FFF2-40B4-BE49-F238E27FC236}">
                  <a16:creationId xmlns:a16="http://schemas.microsoft.com/office/drawing/2014/main" id="{00000000-0008-0000-0000-00008A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94347" name="Button 139" hidden="1">
              <a:extLst>
                <a:ext uri="{63B3BB69-23CF-44E3-9099-C40C66FF867C}">
                  <a14:compatExt spid="_x0000_s94347"/>
                </a:ext>
                <a:ext uri="{FF2B5EF4-FFF2-40B4-BE49-F238E27FC236}">
                  <a16:creationId xmlns:a16="http://schemas.microsoft.com/office/drawing/2014/main" id="{00000000-0008-0000-0000-00008B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94348" name="Button 140" hidden="1">
              <a:extLst>
                <a:ext uri="{63B3BB69-23CF-44E3-9099-C40C66FF867C}">
                  <a14:compatExt spid="_x0000_s94348"/>
                </a:ext>
                <a:ext uri="{FF2B5EF4-FFF2-40B4-BE49-F238E27FC236}">
                  <a16:creationId xmlns:a16="http://schemas.microsoft.com/office/drawing/2014/main" id="{00000000-0008-0000-0000-00008C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94349" name="Button 141" hidden="1">
              <a:extLst>
                <a:ext uri="{63B3BB69-23CF-44E3-9099-C40C66FF867C}">
                  <a14:compatExt spid="_x0000_s94349"/>
                </a:ext>
                <a:ext uri="{FF2B5EF4-FFF2-40B4-BE49-F238E27FC236}">
                  <a16:creationId xmlns:a16="http://schemas.microsoft.com/office/drawing/2014/main" id="{00000000-0008-0000-0000-00008D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94350" name="Button 142" hidden="1">
              <a:extLst>
                <a:ext uri="{63B3BB69-23CF-44E3-9099-C40C66FF867C}">
                  <a14:compatExt spid="_x0000_s94350"/>
                </a:ext>
                <a:ext uri="{FF2B5EF4-FFF2-40B4-BE49-F238E27FC236}">
                  <a16:creationId xmlns:a16="http://schemas.microsoft.com/office/drawing/2014/main" id="{00000000-0008-0000-0000-00008E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94351" name="Button 143" hidden="1">
              <a:extLst>
                <a:ext uri="{63B3BB69-23CF-44E3-9099-C40C66FF867C}">
                  <a14:compatExt spid="_x0000_s94351"/>
                </a:ext>
                <a:ext uri="{FF2B5EF4-FFF2-40B4-BE49-F238E27FC236}">
                  <a16:creationId xmlns:a16="http://schemas.microsoft.com/office/drawing/2014/main" id="{00000000-0008-0000-0000-00008F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94352" name="Button 144" hidden="1">
              <a:extLst>
                <a:ext uri="{63B3BB69-23CF-44E3-9099-C40C66FF867C}">
                  <a14:compatExt spid="_x0000_s94352"/>
                </a:ext>
                <a:ext uri="{FF2B5EF4-FFF2-40B4-BE49-F238E27FC236}">
                  <a16:creationId xmlns:a16="http://schemas.microsoft.com/office/drawing/2014/main" id="{00000000-0008-0000-0000-000090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94353" name="Button 145" hidden="1">
              <a:extLst>
                <a:ext uri="{63B3BB69-23CF-44E3-9099-C40C66FF867C}">
                  <a14:compatExt spid="_x0000_s94353"/>
                </a:ext>
                <a:ext uri="{FF2B5EF4-FFF2-40B4-BE49-F238E27FC236}">
                  <a16:creationId xmlns:a16="http://schemas.microsoft.com/office/drawing/2014/main" id="{00000000-0008-0000-0000-00009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94354" name="Button 146" hidden="1">
              <a:extLst>
                <a:ext uri="{63B3BB69-23CF-44E3-9099-C40C66FF867C}">
                  <a14:compatExt spid="_x0000_s94354"/>
                </a:ext>
                <a:ext uri="{FF2B5EF4-FFF2-40B4-BE49-F238E27FC236}">
                  <a16:creationId xmlns:a16="http://schemas.microsoft.com/office/drawing/2014/main" id="{00000000-0008-0000-0000-000092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94355" name="Button 147" hidden="1">
              <a:extLst>
                <a:ext uri="{63B3BB69-23CF-44E3-9099-C40C66FF867C}">
                  <a14:compatExt spid="_x0000_s94355"/>
                </a:ext>
                <a:ext uri="{FF2B5EF4-FFF2-40B4-BE49-F238E27FC236}">
                  <a16:creationId xmlns:a16="http://schemas.microsoft.com/office/drawing/2014/main" id="{00000000-0008-0000-0000-000093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94356" name="Button 148" hidden="1">
              <a:extLst>
                <a:ext uri="{63B3BB69-23CF-44E3-9099-C40C66FF867C}">
                  <a14:compatExt spid="_x0000_s94356"/>
                </a:ext>
                <a:ext uri="{FF2B5EF4-FFF2-40B4-BE49-F238E27FC236}">
                  <a16:creationId xmlns:a16="http://schemas.microsoft.com/office/drawing/2014/main" id="{00000000-0008-0000-0000-000094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94357" name="Button 149" hidden="1">
              <a:extLst>
                <a:ext uri="{63B3BB69-23CF-44E3-9099-C40C66FF867C}">
                  <a14:compatExt spid="_x0000_s94357"/>
                </a:ext>
                <a:ext uri="{FF2B5EF4-FFF2-40B4-BE49-F238E27FC236}">
                  <a16:creationId xmlns:a16="http://schemas.microsoft.com/office/drawing/2014/main" id="{00000000-0008-0000-0000-000095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94358" name="Button 150" hidden="1">
              <a:extLst>
                <a:ext uri="{63B3BB69-23CF-44E3-9099-C40C66FF867C}">
                  <a14:compatExt spid="_x0000_s94358"/>
                </a:ext>
                <a:ext uri="{FF2B5EF4-FFF2-40B4-BE49-F238E27FC236}">
                  <a16:creationId xmlns:a16="http://schemas.microsoft.com/office/drawing/2014/main" id="{00000000-0008-0000-0000-000096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94359" name="Button 151" hidden="1">
              <a:extLst>
                <a:ext uri="{63B3BB69-23CF-44E3-9099-C40C66FF867C}">
                  <a14:compatExt spid="_x0000_s94359"/>
                </a:ext>
                <a:ext uri="{FF2B5EF4-FFF2-40B4-BE49-F238E27FC236}">
                  <a16:creationId xmlns:a16="http://schemas.microsoft.com/office/drawing/2014/main" id="{00000000-0008-0000-0000-000097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94360" name="Button 152" hidden="1">
              <a:extLst>
                <a:ext uri="{63B3BB69-23CF-44E3-9099-C40C66FF867C}">
                  <a14:compatExt spid="_x0000_s94360"/>
                </a:ext>
                <a:ext uri="{FF2B5EF4-FFF2-40B4-BE49-F238E27FC236}">
                  <a16:creationId xmlns:a16="http://schemas.microsoft.com/office/drawing/2014/main" id="{00000000-0008-0000-0000-000098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94361" name="Button 153" hidden="1">
              <a:extLst>
                <a:ext uri="{63B3BB69-23CF-44E3-9099-C40C66FF867C}">
                  <a14:compatExt spid="_x0000_s94361"/>
                </a:ext>
                <a:ext uri="{FF2B5EF4-FFF2-40B4-BE49-F238E27FC236}">
                  <a16:creationId xmlns:a16="http://schemas.microsoft.com/office/drawing/2014/main" id="{00000000-0008-0000-0000-000099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94362" name="Button 154" hidden="1">
              <a:extLst>
                <a:ext uri="{63B3BB69-23CF-44E3-9099-C40C66FF867C}">
                  <a14:compatExt spid="_x0000_s94362"/>
                </a:ext>
                <a:ext uri="{FF2B5EF4-FFF2-40B4-BE49-F238E27FC236}">
                  <a16:creationId xmlns:a16="http://schemas.microsoft.com/office/drawing/2014/main" id="{00000000-0008-0000-0000-00009A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94363" name="Button 155" hidden="1">
              <a:extLst>
                <a:ext uri="{63B3BB69-23CF-44E3-9099-C40C66FF867C}">
                  <a14:compatExt spid="_x0000_s94363"/>
                </a:ext>
                <a:ext uri="{FF2B5EF4-FFF2-40B4-BE49-F238E27FC236}">
                  <a16:creationId xmlns:a16="http://schemas.microsoft.com/office/drawing/2014/main" id="{00000000-0008-0000-0000-00009B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94364" name="Button 156" hidden="1">
              <a:extLst>
                <a:ext uri="{63B3BB69-23CF-44E3-9099-C40C66FF867C}">
                  <a14:compatExt spid="_x0000_s94364"/>
                </a:ext>
                <a:ext uri="{FF2B5EF4-FFF2-40B4-BE49-F238E27FC236}">
                  <a16:creationId xmlns:a16="http://schemas.microsoft.com/office/drawing/2014/main" id="{00000000-0008-0000-0000-00009C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94365" name="Button 157" hidden="1">
              <a:extLst>
                <a:ext uri="{63B3BB69-23CF-44E3-9099-C40C66FF867C}">
                  <a14:compatExt spid="_x0000_s94365"/>
                </a:ext>
                <a:ext uri="{FF2B5EF4-FFF2-40B4-BE49-F238E27FC236}">
                  <a16:creationId xmlns:a16="http://schemas.microsoft.com/office/drawing/2014/main" id="{00000000-0008-0000-0000-00009D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94366" name="Button 158" hidden="1">
              <a:extLst>
                <a:ext uri="{63B3BB69-23CF-44E3-9099-C40C66FF867C}">
                  <a14:compatExt spid="_x0000_s94366"/>
                </a:ext>
                <a:ext uri="{FF2B5EF4-FFF2-40B4-BE49-F238E27FC236}">
                  <a16:creationId xmlns:a16="http://schemas.microsoft.com/office/drawing/2014/main" id="{00000000-0008-0000-0000-00009E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94367" name="Button 159" hidden="1">
              <a:extLst>
                <a:ext uri="{63B3BB69-23CF-44E3-9099-C40C66FF867C}">
                  <a14:compatExt spid="_x0000_s94367"/>
                </a:ext>
                <a:ext uri="{FF2B5EF4-FFF2-40B4-BE49-F238E27FC236}">
                  <a16:creationId xmlns:a16="http://schemas.microsoft.com/office/drawing/2014/main" id="{00000000-0008-0000-0000-00009F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94368" name="Button 160" hidden="1">
              <a:extLst>
                <a:ext uri="{63B3BB69-23CF-44E3-9099-C40C66FF867C}">
                  <a14:compatExt spid="_x0000_s94368"/>
                </a:ext>
                <a:ext uri="{FF2B5EF4-FFF2-40B4-BE49-F238E27FC236}">
                  <a16:creationId xmlns:a16="http://schemas.microsoft.com/office/drawing/2014/main" id="{00000000-0008-0000-0000-0000A0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94369" name="Button 161" hidden="1">
              <a:extLst>
                <a:ext uri="{63B3BB69-23CF-44E3-9099-C40C66FF867C}">
                  <a14:compatExt spid="_x0000_s94369"/>
                </a:ext>
                <a:ext uri="{FF2B5EF4-FFF2-40B4-BE49-F238E27FC236}">
                  <a16:creationId xmlns:a16="http://schemas.microsoft.com/office/drawing/2014/main" id="{00000000-0008-0000-0000-0000A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94370" name="Button 162" hidden="1">
              <a:extLst>
                <a:ext uri="{63B3BB69-23CF-44E3-9099-C40C66FF867C}">
                  <a14:compatExt spid="_x0000_s94370"/>
                </a:ext>
                <a:ext uri="{FF2B5EF4-FFF2-40B4-BE49-F238E27FC236}">
                  <a16:creationId xmlns:a16="http://schemas.microsoft.com/office/drawing/2014/main" id="{00000000-0008-0000-0000-0000A2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94371" name="Button 163" hidden="1">
              <a:extLst>
                <a:ext uri="{63B3BB69-23CF-44E3-9099-C40C66FF867C}">
                  <a14:compatExt spid="_x0000_s94371"/>
                </a:ext>
                <a:ext uri="{FF2B5EF4-FFF2-40B4-BE49-F238E27FC236}">
                  <a16:creationId xmlns:a16="http://schemas.microsoft.com/office/drawing/2014/main" id="{00000000-0008-0000-0000-0000A3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94372" name="Button 164" hidden="1">
              <a:extLst>
                <a:ext uri="{63B3BB69-23CF-44E3-9099-C40C66FF867C}">
                  <a14:compatExt spid="_x0000_s94372"/>
                </a:ext>
                <a:ext uri="{FF2B5EF4-FFF2-40B4-BE49-F238E27FC236}">
                  <a16:creationId xmlns:a16="http://schemas.microsoft.com/office/drawing/2014/main" id="{00000000-0008-0000-0000-0000A4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94373" name="Button 165" hidden="1">
              <a:extLst>
                <a:ext uri="{63B3BB69-23CF-44E3-9099-C40C66FF867C}">
                  <a14:compatExt spid="_x0000_s94373"/>
                </a:ext>
                <a:ext uri="{FF2B5EF4-FFF2-40B4-BE49-F238E27FC236}">
                  <a16:creationId xmlns:a16="http://schemas.microsoft.com/office/drawing/2014/main" id="{00000000-0008-0000-0000-0000A5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94374" name="Button 166" hidden="1">
              <a:extLst>
                <a:ext uri="{63B3BB69-23CF-44E3-9099-C40C66FF867C}">
                  <a14:compatExt spid="_x0000_s94374"/>
                </a:ext>
                <a:ext uri="{FF2B5EF4-FFF2-40B4-BE49-F238E27FC236}">
                  <a16:creationId xmlns:a16="http://schemas.microsoft.com/office/drawing/2014/main" id="{00000000-0008-0000-0000-0000A6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94375" name="Button 167" hidden="1">
              <a:extLst>
                <a:ext uri="{63B3BB69-23CF-44E3-9099-C40C66FF867C}">
                  <a14:compatExt spid="_x0000_s94375"/>
                </a:ext>
                <a:ext uri="{FF2B5EF4-FFF2-40B4-BE49-F238E27FC236}">
                  <a16:creationId xmlns:a16="http://schemas.microsoft.com/office/drawing/2014/main" id="{00000000-0008-0000-0000-0000A7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94376" name="Button 168" hidden="1">
              <a:extLst>
                <a:ext uri="{63B3BB69-23CF-44E3-9099-C40C66FF867C}">
                  <a14:compatExt spid="_x0000_s94376"/>
                </a:ext>
                <a:ext uri="{FF2B5EF4-FFF2-40B4-BE49-F238E27FC236}">
                  <a16:creationId xmlns:a16="http://schemas.microsoft.com/office/drawing/2014/main" id="{00000000-0008-0000-0000-0000A8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94377" name="Button 169" hidden="1">
              <a:extLst>
                <a:ext uri="{63B3BB69-23CF-44E3-9099-C40C66FF867C}">
                  <a14:compatExt spid="_x0000_s94377"/>
                </a:ext>
                <a:ext uri="{FF2B5EF4-FFF2-40B4-BE49-F238E27FC236}">
                  <a16:creationId xmlns:a16="http://schemas.microsoft.com/office/drawing/2014/main" id="{00000000-0008-0000-0000-0000A9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94378" name="Button 170" hidden="1">
              <a:extLst>
                <a:ext uri="{63B3BB69-23CF-44E3-9099-C40C66FF867C}">
                  <a14:compatExt spid="_x0000_s94378"/>
                </a:ext>
                <a:ext uri="{FF2B5EF4-FFF2-40B4-BE49-F238E27FC236}">
                  <a16:creationId xmlns:a16="http://schemas.microsoft.com/office/drawing/2014/main" id="{00000000-0008-0000-0000-0000AA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94379" name="Button 171" hidden="1">
              <a:extLst>
                <a:ext uri="{63B3BB69-23CF-44E3-9099-C40C66FF867C}">
                  <a14:compatExt spid="_x0000_s94379"/>
                </a:ext>
                <a:ext uri="{FF2B5EF4-FFF2-40B4-BE49-F238E27FC236}">
                  <a16:creationId xmlns:a16="http://schemas.microsoft.com/office/drawing/2014/main" id="{00000000-0008-0000-0000-0000AB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94380" name="Button 172" hidden="1">
              <a:extLst>
                <a:ext uri="{63B3BB69-23CF-44E3-9099-C40C66FF867C}">
                  <a14:compatExt spid="_x0000_s94380"/>
                </a:ext>
                <a:ext uri="{FF2B5EF4-FFF2-40B4-BE49-F238E27FC236}">
                  <a16:creationId xmlns:a16="http://schemas.microsoft.com/office/drawing/2014/main" id="{00000000-0008-0000-0000-0000AC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94381" name="Button 173" hidden="1">
              <a:extLst>
                <a:ext uri="{63B3BB69-23CF-44E3-9099-C40C66FF867C}">
                  <a14:compatExt spid="_x0000_s94381"/>
                </a:ext>
                <a:ext uri="{FF2B5EF4-FFF2-40B4-BE49-F238E27FC236}">
                  <a16:creationId xmlns:a16="http://schemas.microsoft.com/office/drawing/2014/main" id="{00000000-0008-0000-0000-0000AD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94382" name="Button 174" hidden="1">
              <a:extLst>
                <a:ext uri="{63B3BB69-23CF-44E3-9099-C40C66FF867C}">
                  <a14:compatExt spid="_x0000_s94382"/>
                </a:ext>
                <a:ext uri="{FF2B5EF4-FFF2-40B4-BE49-F238E27FC236}">
                  <a16:creationId xmlns:a16="http://schemas.microsoft.com/office/drawing/2014/main" id="{00000000-0008-0000-0000-0000AE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94383" name="Button 175" hidden="1">
              <a:extLst>
                <a:ext uri="{63B3BB69-23CF-44E3-9099-C40C66FF867C}">
                  <a14:compatExt spid="_x0000_s94383"/>
                </a:ext>
                <a:ext uri="{FF2B5EF4-FFF2-40B4-BE49-F238E27FC236}">
                  <a16:creationId xmlns:a16="http://schemas.microsoft.com/office/drawing/2014/main" id="{00000000-0008-0000-0000-0000AF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94384" name="Button 176" hidden="1">
              <a:extLst>
                <a:ext uri="{63B3BB69-23CF-44E3-9099-C40C66FF867C}">
                  <a14:compatExt spid="_x0000_s94384"/>
                </a:ext>
                <a:ext uri="{FF2B5EF4-FFF2-40B4-BE49-F238E27FC236}">
                  <a16:creationId xmlns:a16="http://schemas.microsoft.com/office/drawing/2014/main" id="{00000000-0008-0000-0000-0000B0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94385" name="Button 177" hidden="1">
              <a:extLst>
                <a:ext uri="{63B3BB69-23CF-44E3-9099-C40C66FF867C}">
                  <a14:compatExt spid="_x0000_s94385"/>
                </a:ext>
                <a:ext uri="{FF2B5EF4-FFF2-40B4-BE49-F238E27FC236}">
                  <a16:creationId xmlns:a16="http://schemas.microsoft.com/office/drawing/2014/main" id="{00000000-0008-0000-0000-0000B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94386" name="Button 178" hidden="1">
              <a:extLst>
                <a:ext uri="{63B3BB69-23CF-44E3-9099-C40C66FF867C}">
                  <a14:compatExt spid="_x0000_s94386"/>
                </a:ext>
                <a:ext uri="{FF2B5EF4-FFF2-40B4-BE49-F238E27FC236}">
                  <a16:creationId xmlns:a16="http://schemas.microsoft.com/office/drawing/2014/main" id="{00000000-0008-0000-0000-0000B2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94387" name="Button 179" hidden="1">
              <a:extLst>
                <a:ext uri="{63B3BB69-23CF-44E3-9099-C40C66FF867C}">
                  <a14:compatExt spid="_x0000_s94387"/>
                </a:ext>
                <a:ext uri="{FF2B5EF4-FFF2-40B4-BE49-F238E27FC236}">
                  <a16:creationId xmlns:a16="http://schemas.microsoft.com/office/drawing/2014/main" id="{00000000-0008-0000-0000-0000B3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94388" name="Button 180" hidden="1">
              <a:extLst>
                <a:ext uri="{63B3BB69-23CF-44E3-9099-C40C66FF867C}">
                  <a14:compatExt spid="_x0000_s94388"/>
                </a:ext>
                <a:ext uri="{FF2B5EF4-FFF2-40B4-BE49-F238E27FC236}">
                  <a16:creationId xmlns:a16="http://schemas.microsoft.com/office/drawing/2014/main" id="{00000000-0008-0000-0000-0000B4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94389" name="Button 181" hidden="1">
              <a:extLst>
                <a:ext uri="{63B3BB69-23CF-44E3-9099-C40C66FF867C}">
                  <a14:compatExt spid="_x0000_s94389"/>
                </a:ext>
                <a:ext uri="{FF2B5EF4-FFF2-40B4-BE49-F238E27FC236}">
                  <a16:creationId xmlns:a16="http://schemas.microsoft.com/office/drawing/2014/main" id="{00000000-0008-0000-0000-0000B5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94390" name="Button 182" hidden="1">
              <a:extLst>
                <a:ext uri="{63B3BB69-23CF-44E3-9099-C40C66FF867C}">
                  <a14:compatExt spid="_x0000_s94390"/>
                </a:ext>
                <a:ext uri="{FF2B5EF4-FFF2-40B4-BE49-F238E27FC236}">
                  <a16:creationId xmlns:a16="http://schemas.microsoft.com/office/drawing/2014/main" id="{00000000-0008-0000-0000-0000B6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94391" name="Button 183" hidden="1">
              <a:extLst>
                <a:ext uri="{63B3BB69-23CF-44E3-9099-C40C66FF867C}">
                  <a14:compatExt spid="_x0000_s94391"/>
                </a:ext>
                <a:ext uri="{FF2B5EF4-FFF2-40B4-BE49-F238E27FC236}">
                  <a16:creationId xmlns:a16="http://schemas.microsoft.com/office/drawing/2014/main" id="{00000000-0008-0000-0000-0000B7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94392" name="Button 184" hidden="1">
              <a:extLst>
                <a:ext uri="{63B3BB69-23CF-44E3-9099-C40C66FF867C}">
                  <a14:compatExt spid="_x0000_s94392"/>
                </a:ext>
                <a:ext uri="{FF2B5EF4-FFF2-40B4-BE49-F238E27FC236}">
                  <a16:creationId xmlns:a16="http://schemas.microsoft.com/office/drawing/2014/main" id="{00000000-0008-0000-0000-0000B8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94393" name="Button 185" hidden="1">
              <a:extLst>
                <a:ext uri="{63B3BB69-23CF-44E3-9099-C40C66FF867C}">
                  <a14:compatExt spid="_x0000_s94393"/>
                </a:ext>
                <a:ext uri="{FF2B5EF4-FFF2-40B4-BE49-F238E27FC236}">
                  <a16:creationId xmlns:a16="http://schemas.microsoft.com/office/drawing/2014/main" id="{00000000-0008-0000-0000-0000B9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94394" name="Button 186" hidden="1">
              <a:extLst>
                <a:ext uri="{63B3BB69-23CF-44E3-9099-C40C66FF867C}">
                  <a14:compatExt spid="_x0000_s94394"/>
                </a:ext>
                <a:ext uri="{FF2B5EF4-FFF2-40B4-BE49-F238E27FC236}">
                  <a16:creationId xmlns:a16="http://schemas.microsoft.com/office/drawing/2014/main" id="{00000000-0008-0000-0000-0000BA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94395" name="Button 187" hidden="1">
              <a:extLst>
                <a:ext uri="{63B3BB69-23CF-44E3-9099-C40C66FF867C}">
                  <a14:compatExt spid="_x0000_s94395"/>
                </a:ext>
                <a:ext uri="{FF2B5EF4-FFF2-40B4-BE49-F238E27FC236}">
                  <a16:creationId xmlns:a16="http://schemas.microsoft.com/office/drawing/2014/main" id="{00000000-0008-0000-0000-0000BB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94396" name="Button 188" hidden="1">
              <a:extLst>
                <a:ext uri="{63B3BB69-23CF-44E3-9099-C40C66FF867C}">
                  <a14:compatExt spid="_x0000_s94396"/>
                </a:ext>
                <a:ext uri="{FF2B5EF4-FFF2-40B4-BE49-F238E27FC236}">
                  <a16:creationId xmlns:a16="http://schemas.microsoft.com/office/drawing/2014/main" id="{00000000-0008-0000-0000-0000BC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94397" name="Button 189" hidden="1">
              <a:extLst>
                <a:ext uri="{63B3BB69-23CF-44E3-9099-C40C66FF867C}">
                  <a14:compatExt spid="_x0000_s94397"/>
                </a:ext>
                <a:ext uri="{FF2B5EF4-FFF2-40B4-BE49-F238E27FC236}">
                  <a16:creationId xmlns:a16="http://schemas.microsoft.com/office/drawing/2014/main" id="{00000000-0008-0000-0000-0000BD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94398" name="Button 190" hidden="1">
              <a:extLst>
                <a:ext uri="{63B3BB69-23CF-44E3-9099-C40C66FF867C}">
                  <a14:compatExt spid="_x0000_s94398"/>
                </a:ext>
                <a:ext uri="{FF2B5EF4-FFF2-40B4-BE49-F238E27FC236}">
                  <a16:creationId xmlns:a16="http://schemas.microsoft.com/office/drawing/2014/main" id="{00000000-0008-0000-0000-0000BE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94399" name="Button 191" hidden="1">
              <a:extLst>
                <a:ext uri="{63B3BB69-23CF-44E3-9099-C40C66FF867C}">
                  <a14:compatExt spid="_x0000_s94399"/>
                </a:ext>
                <a:ext uri="{FF2B5EF4-FFF2-40B4-BE49-F238E27FC236}">
                  <a16:creationId xmlns:a16="http://schemas.microsoft.com/office/drawing/2014/main" id="{00000000-0008-0000-0000-0000BF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94400" name="Button 192" hidden="1">
              <a:extLst>
                <a:ext uri="{63B3BB69-23CF-44E3-9099-C40C66FF867C}">
                  <a14:compatExt spid="_x0000_s94400"/>
                </a:ext>
                <a:ext uri="{FF2B5EF4-FFF2-40B4-BE49-F238E27FC236}">
                  <a16:creationId xmlns:a16="http://schemas.microsoft.com/office/drawing/2014/main" id="{00000000-0008-0000-0000-0000C0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94401" name="Button 193" hidden="1">
              <a:extLst>
                <a:ext uri="{63B3BB69-23CF-44E3-9099-C40C66FF867C}">
                  <a14:compatExt spid="_x0000_s94401"/>
                </a:ext>
                <a:ext uri="{FF2B5EF4-FFF2-40B4-BE49-F238E27FC236}">
                  <a16:creationId xmlns:a16="http://schemas.microsoft.com/office/drawing/2014/main" id="{00000000-0008-0000-0000-0000C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94402" name="Button 194" hidden="1">
              <a:extLst>
                <a:ext uri="{63B3BB69-23CF-44E3-9099-C40C66FF867C}">
                  <a14:compatExt spid="_x0000_s94402"/>
                </a:ext>
                <a:ext uri="{FF2B5EF4-FFF2-40B4-BE49-F238E27FC236}">
                  <a16:creationId xmlns:a16="http://schemas.microsoft.com/office/drawing/2014/main" id="{00000000-0008-0000-0000-0000C2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94403" name="Button 195" hidden="1">
              <a:extLst>
                <a:ext uri="{63B3BB69-23CF-44E3-9099-C40C66FF867C}">
                  <a14:compatExt spid="_x0000_s94403"/>
                </a:ext>
                <a:ext uri="{FF2B5EF4-FFF2-40B4-BE49-F238E27FC236}">
                  <a16:creationId xmlns:a16="http://schemas.microsoft.com/office/drawing/2014/main" id="{00000000-0008-0000-0000-0000C3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94404" name="Button 196" hidden="1">
              <a:extLst>
                <a:ext uri="{63B3BB69-23CF-44E3-9099-C40C66FF867C}">
                  <a14:compatExt spid="_x0000_s94404"/>
                </a:ext>
                <a:ext uri="{FF2B5EF4-FFF2-40B4-BE49-F238E27FC236}">
                  <a16:creationId xmlns:a16="http://schemas.microsoft.com/office/drawing/2014/main" id="{00000000-0008-0000-0000-0000C4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94405" name="Button 197" hidden="1">
              <a:extLst>
                <a:ext uri="{63B3BB69-23CF-44E3-9099-C40C66FF867C}">
                  <a14:compatExt spid="_x0000_s94405"/>
                </a:ext>
                <a:ext uri="{FF2B5EF4-FFF2-40B4-BE49-F238E27FC236}">
                  <a16:creationId xmlns:a16="http://schemas.microsoft.com/office/drawing/2014/main" id="{00000000-0008-0000-0000-0000C5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94406" name="Button 198" hidden="1">
              <a:extLst>
                <a:ext uri="{63B3BB69-23CF-44E3-9099-C40C66FF867C}">
                  <a14:compatExt spid="_x0000_s94406"/>
                </a:ext>
                <a:ext uri="{FF2B5EF4-FFF2-40B4-BE49-F238E27FC236}">
                  <a16:creationId xmlns:a16="http://schemas.microsoft.com/office/drawing/2014/main" id="{00000000-0008-0000-0000-0000C6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94407" name="Button 199" hidden="1">
              <a:extLst>
                <a:ext uri="{63B3BB69-23CF-44E3-9099-C40C66FF867C}">
                  <a14:compatExt spid="_x0000_s94407"/>
                </a:ext>
                <a:ext uri="{FF2B5EF4-FFF2-40B4-BE49-F238E27FC236}">
                  <a16:creationId xmlns:a16="http://schemas.microsoft.com/office/drawing/2014/main" id="{00000000-0008-0000-0000-0000C7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94408" name="Button 200" hidden="1">
              <a:extLst>
                <a:ext uri="{63B3BB69-23CF-44E3-9099-C40C66FF867C}">
                  <a14:compatExt spid="_x0000_s94408"/>
                </a:ext>
                <a:ext uri="{FF2B5EF4-FFF2-40B4-BE49-F238E27FC236}">
                  <a16:creationId xmlns:a16="http://schemas.microsoft.com/office/drawing/2014/main" id="{00000000-0008-0000-0000-0000C8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94409" name="Button 201" hidden="1">
              <a:extLst>
                <a:ext uri="{63B3BB69-23CF-44E3-9099-C40C66FF867C}">
                  <a14:compatExt spid="_x0000_s94409"/>
                </a:ext>
                <a:ext uri="{FF2B5EF4-FFF2-40B4-BE49-F238E27FC236}">
                  <a16:creationId xmlns:a16="http://schemas.microsoft.com/office/drawing/2014/main" id="{00000000-0008-0000-0000-0000C9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94410" name="Button 202" hidden="1">
              <a:extLst>
                <a:ext uri="{63B3BB69-23CF-44E3-9099-C40C66FF867C}">
                  <a14:compatExt spid="_x0000_s94410"/>
                </a:ext>
                <a:ext uri="{FF2B5EF4-FFF2-40B4-BE49-F238E27FC236}">
                  <a16:creationId xmlns:a16="http://schemas.microsoft.com/office/drawing/2014/main" id="{00000000-0008-0000-0000-0000CA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94411" name="Button 203" hidden="1">
              <a:extLst>
                <a:ext uri="{63B3BB69-23CF-44E3-9099-C40C66FF867C}">
                  <a14:compatExt spid="_x0000_s94411"/>
                </a:ext>
                <a:ext uri="{FF2B5EF4-FFF2-40B4-BE49-F238E27FC236}">
                  <a16:creationId xmlns:a16="http://schemas.microsoft.com/office/drawing/2014/main" id="{00000000-0008-0000-0000-0000CB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94412" name="Button 204" hidden="1">
              <a:extLst>
                <a:ext uri="{63B3BB69-23CF-44E3-9099-C40C66FF867C}">
                  <a14:compatExt spid="_x0000_s94412"/>
                </a:ext>
                <a:ext uri="{FF2B5EF4-FFF2-40B4-BE49-F238E27FC236}">
                  <a16:creationId xmlns:a16="http://schemas.microsoft.com/office/drawing/2014/main" id="{00000000-0008-0000-0000-0000CC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94413" name="Button 205" hidden="1">
              <a:extLst>
                <a:ext uri="{63B3BB69-23CF-44E3-9099-C40C66FF867C}">
                  <a14:compatExt spid="_x0000_s94413"/>
                </a:ext>
                <a:ext uri="{FF2B5EF4-FFF2-40B4-BE49-F238E27FC236}">
                  <a16:creationId xmlns:a16="http://schemas.microsoft.com/office/drawing/2014/main" id="{00000000-0008-0000-0000-0000CD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94414" name="Button 206" hidden="1">
              <a:extLst>
                <a:ext uri="{63B3BB69-23CF-44E3-9099-C40C66FF867C}">
                  <a14:compatExt spid="_x0000_s94414"/>
                </a:ext>
                <a:ext uri="{FF2B5EF4-FFF2-40B4-BE49-F238E27FC236}">
                  <a16:creationId xmlns:a16="http://schemas.microsoft.com/office/drawing/2014/main" id="{00000000-0008-0000-0000-0000CE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94415" name="Button 207" hidden="1">
              <a:extLst>
                <a:ext uri="{63B3BB69-23CF-44E3-9099-C40C66FF867C}">
                  <a14:compatExt spid="_x0000_s94415"/>
                </a:ext>
                <a:ext uri="{FF2B5EF4-FFF2-40B4-BE49-F238E27FC236}">
                  <a16:creationId xmlns:a16="http://schemas.microsoft.com/office/drawing/2014/main" id="{00000000-0008-0000-0000-0000CF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94416" name="Button 208" hidden="1">
              <a:extLst>
                <a:ext uri="{63B3BB69-23CF-44E3-9099-C40C66FF867C}">
                  <a14:compatExt spid="_x0000_s94416"/>
                </a:ext>
                <a:ext uri="{FF2B5EF4-FFF2-40B4-BE49-F238E27FC236}">
                  <a16:creationId xmlns:a16="http://schemas.microsoft.com/office/drawing/2014/main" id="{00000000-0008-0000-0000-0000D0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94417" name="Button 209" hidden="1">
              <a:extLst>
                <a:ext uri="{63B3BB69-23CF-44E3-9099-C40C66FF867C}">
                  <a14:compatExt spid="_x0000_s94417"/>
                </a:ext>
                <a:ext uri="{FF2B5EF4-FFF2-40B4-BE49-F238E27FC236}">
                  <a16:creationId xmlns:a16="http://schemas.microsoft.com/office/drawing/2014/main" id="{00000000-0008-0000-0000-0000D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94418" name="Button 210" hidden="1">
              <a:extLst>
                <a:ext uri="{63B3BB69-23CF-44E3-9099-C40C66FF867C}">
                  <a14:compatExt spid="_x0000_s94418"/>
                </a:ext>
                <a:ext uri="{FF2B5EF4-FFF2-40B4-BE49-F238E27FC236}">
                  <a16:creationId xmlns:a16="http://schemas.microsoft.com/office/drawing/2014/main" id="{00000000-0008-0000-0000-0000D2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94419" name="Button 211" hidden="1">
              <a:extLst>
                <a:ext uri="{63B3BB69-23CF-44E3-9099-C40C66FF867C}">
                  <a14:compatExt spid="_x0000_s94419"/>
                </a:ext>
                <a:ext uri="{FF2B5EF4-FFF2-40B4-BE49-F238E27FC236}">
                  <a16:creationId xmlns:a16="http://schemas.microsoft.com/office/drawing/2014/main" id="{00000000-0008-0000-0000-0000D3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94420" name="Button 212" hidden="1">
              <a:extLst>
                <a:ext uri="{63B3BB69-23CF-44E3-9099-C40C66FF867C}">
                  <a14:compatExt spid="_x0000_s94420"/>
                </a:ext>
                <a:ext uri="{FF2B5EF4-FFF2-40B4-BE49-F238E27FC236}">
                  <a16:creationId xmlns:a16="http://schemas.microsoft.com/office/drawing/2014/main" id="{00000000-0008-0000-0000-0000D4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94421" name="Button 213" hidden="1">
              <a:extLst>
                <a:ext uri="{63B3BB69-23CF-44E3-9099-C40C66FF867C}">
                  <a14:compatExt spid="_x0000_s94421"/>
                </a:ext>
                <a:ext uri="{FF2B5EF4-FFF2-40B4-BE49-F238E27FC236}">
                  <a16:creationId xmlns:a16="http://schemas.microsoft.com/office/drawing/2014/main" id="{00000000-0008-0000-0000-0000D5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94422" name="Button 214" hidden="1">
              <a:extLst>
                <a:ext uri="{63B3BB69-23CF-44E3-9099-C40C66FF867C}">
                  <a14:compatExt spid="_x0000_s94422"/>
                </a:ext>
                <a:ext uri="{FF2B5EF4-FFF2-40B4-BE49-F238E27FC236}">
                  <a16:creationId xmlns:a16="http://schemas.microsoft.com/office/drawing/2014/main" id="{00000000-0008-0000-0000-0000D6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94423" name="Button 215" hidden="1">
              <a:extLst>
                <a:ext uri="{63B3BB69-23CF-44E3-9099-C40C66FF867C}">
                  <a14:compatExt spid="_x0000_s94423"/>
                </a:ext>
                <a:ext uri="{FF2B5EF4-FFF2-40B4-BE49-F238E27FC236}">
                  <a16:creationId xmlns:a16="http://schemas.microsoft.com/office/drawing/2014/main" id="{00000000-0008-0000-0000-0000D7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93185" name="Button 1" hidden="1">
              <a:extLst>
                <a:ext uri="{63B3BB69-23CF-44E3-9099-C40C66FF867C}">
                  <a14:compatExt spid="_x0000_s93185"/>
                </a:ext>
                <a:ext uri="{FF2B5EF4-FFF2-40B4-BE49-F238E27FC236}">
                  <a16:creationId xmlns:a16="http://schemas.microsoft.com/office/drawing/2014/main" id="{00000000-0008-0000-0100-00000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93186" name="Button 2" hidden="1">
              <a:extLst>
                <a:ext uri="{63B3BB69-23CF-44E3-9099-C40C66FF867C}">
                  <a14:compatExt spid="_x0000_s93186"/>
                </a:ext>
                <a:ext uri="{FF2B5EF4-FFF2-40B4-BE49-F238E27FC236}">
                  <a16:creationId xmlns:a16="http://schemas.microsoft.com/office/drawing/2014/main" id="{00000000-0008-0000-0100-000002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93187" name="Button 3" hidden="1">
              <a:extLst>
                <a:ext uri="{63B3BB69-23CF-44E3-9099-C40C66FF867C}">
                  <a14:compatExt spid="_x0000_s93187"/>
                </a:ext>
                <a:ext uri="{FF2B5EF4-FFF2-40B4-BE49-F238E27FC236}">
                  <a16:creationId xmlns:a16="http://schemas.microsoft.com/office/drawing/2014/main" id="{00000000-0008-0000-0100-000003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93188" name="Button 4" hidden="1">
              <a:extLst>
                <a:ext uri="{63B3BB69-23CF-44E3-9099-C40C66FF867C}">
                  <a14:compatExt spid="_x0000_s93188"/>
                </a:ext>
                <a:ext uri="{FF2B5EF4-FFF2-40B4-BE49-F238E27FC236}">
                  <a16:creationId xmlns:a16="http://schemas.microsoft.com/office/drawing/2014/main" id="{00000000-0008-0000-0100-000004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93189" name="Button 5" hidden="1">
              <a:extLst>
                <a:ext uri="{63B3BB69-23CF-44E3-9099-C40C66FF867C}">
                  <a14:compatExt spid="_x0000_s93189"/>
                </a:ext>
                <a:ext uri="{FF2B5EF4-FFF2-40B4-BE49-F238E27FC236}">
                  <a16:creationId xmlns:a16="http://schemas.microsoft.com/office/drawing/2014/main" id="{00000000-0008-0000-0100-000005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93190" name="Button 6" hidden="1">
              <a:extLst>
                <a:ext uri="{63B3BB69-23CF-44E3-9099-C40C66FF867C}">
                  <a14:compatExt spid="_x0000_s93190"/>
                </a:ext>
                <a:ext uri="{FF2B5EF4-FFF2-40B4-BE49-F238E27FC236}">
                  <a16:creationId xmlns:a16="http://schemas.microsoft.com/office/drawing/2014/main" id="{00000000-0008-0000-0100-000006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93191" name="Button 7" hidden="1">
              <a:extLst>
                <a:ext uri="{63B3BB69-23CF-44E3-9099-C40C66FF867C}">
                  <a14:compatExt spid="_x0000_s93191"/>
                </a:ext>
                <a:ext uri="{FF2B5EF4-FFF2-40B4-BE49-F238E27FC236}">
                  <a16:creationId xmlns:a16="http://schemas.microsoft.com/office/drawing/2014/main" id="{00000000-0008-0000-0100-000007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93192" name="Button 8" hidden="1">
              <a:extLst>
                <a:ext uri="{63B3BB69-23CF-44E3-9099-C40C66FF867C}">
                  <a14:compatExt spid="_x0000_s93192"/>
                </a:ext>
                <a:ext uri="{FF2B5EF4-FFF2-40B4-BE49-F238E27FC236}">
                  <a16:creationId xmlns:a16="http://schemas.microsoft.com/office/drawing/2014/main" id="{00000000-0008-0000-0100-000008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93193" name="Button 9" hidden="1">
              <a:extLst>
                <a:ext uri="{63B3BB69-23CF-44E3-9099-C40C66FF867C}">
                  <a14:compatExt spid="_x0000_s93193"/>
                </a:ext>
                <a:ext uri="{FF2B5EF4-FFF2-40B4-BE49-F238E27FC236}">
                  <a16:creationId xmlns:a16="http://schemas.microsoft.com/office/drawing/2014/main" id="{00000000-0008-0000-0100-000009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93194" name="Button 10" hidden="1">
              <a:extLst>
                <a:ext uri="{63B3BB69-23CF-44E3-9099-C40C66FF867C}">
                  <a14:compatExt spid="_x0000_s93194"/>
                </a:ext>
                <a:ext uri="{FF2B5EF4-FFF2-40B4-BE49-F238E27FC236}">
                  <a16:creationId xmlns:a16="http://schemas.microsoft.com/office/drawing/2014/main" id="{00000000-0008-0000-0100-00000A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93195" name="Button 11" hidden="1">
              <a:extLst>
                <a:ext uri="{63B3BB69-23CF-44E3-9099-C40C66FF867C}">
                  <a14:compatExt spid="_x0000_s93195"/>
                </a:ext>
                <a:ext uri="{FF2B5EF4-FFF2-40B4-BE49-F238E27FC236}">
                  <a16:creationId xmlns:a16="http://schemas.microsoft.com/office/drawing/2014/main" id="{00000000-0008-0000-0100-00000B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93196" name="Button 12" hidden="1">
              <a:extLst>
                <a:ext uri="{63B3BB69-23CF-44E3-9099-C40C66FF867C}">
                  <a14:compatExt spid="_x0000_s93196"/>
                </a:ext>
                <a:ext uri="{FF2B5EF4-FFF2-40B4-BE49-F238E27FC236}">
                  <a16:creationId xmlns:a16="http://schemas.microsoft.com/office/drawing/2014/main" id="{00000000-0008-0000-0100-00000C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93197" name="Button 13" hidden="1">
              <a:extLst>
                <a:ext uri="{63B3BB69-23CF-44E3-9099-C40C66FF867C}">
                  <a14:compatExt spid="_x0000_s93197"/>
                </a:ext>
                <a:ext uri="{FF2B5EF4-FFF2-40B4-BE49-F238E27FC236}">
                  <a16:creationId xmlns:a16="http://schemas.microsoft.com/office/drawing/2014/main" id="{00000000-0008-0000-0100-00000D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93198" name="Button 14" hidden="1">
              <a:extLst>
                <a:ext uri="{63B3BB69-23CF-44E3-9099-C40C66FF867C}">
                  <a14:compatExt spid="_x0000_s93198"/>
                </a:ext>
                <a:ext uri="{FF2B5EF4-FFF2-40B4-BE49-F238E27FC236}">
                  <a16:creationId xmlns:a16="http://schemas.microsoft.com/office/drawing/2014/main" id="{00000000-0008-0000-0100-00000E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93199" name="Button 15" hidden="1">
              <a:extLst>
                <a:ext uri="{63B3BB69-23CF-44E3-9099-C40C66FF867C}">
                  <a14:compatExt spid="_x0000_s93199"/>
                </a:ext>
                <a:ext uri="{FF2B5EF4-FFF2-40B4-BE49-F238E27FC236}">
                  <a16:creationId xmlns:a16="http://schemas.microsoft.com/office/drawing/2014/main" id="{00000000-0008-0000-0100-00000F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93200" name="Button 16" hidden="1">
              <a:extLst>
                <a:ext uri="{63B3BB69-23CF-44E3-9099-C40C66FF867C}">
                  <a14:compatExt spid="_x0000_s93200"/>
                </a:ext>
                <a:ext uri="{FF2B5EF4-FFF2-40B4-BE49-F238E27FC236}">
                  <a16:creationId xmlns:a16="http://schemas.microsoft.com/office/drawing/2014/main" id="{00000000-0008-0000-0100-000010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93201" name="Button 17" hidden="1">
              <a:extLst>
                <a:ext uri="{63B3BB69-23CF-44E3-9099-C40C66FF867C}">
                  <a14:compatExt spid="_x0000_s93201"/>
                </a:ext>
                <a:ext uri="{FF2B5EF4-FFF2-40B4-BE49-F238E27FC236}">
                  <a16:creationId xmlns:a16="http://schemas.microsoft.com/office/drawing/2014/main" id="{00000000-0008-0000-0100-00001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93202" name="Button 18" hidden="1">
              <a:extLst>
                <a:ext uri="{63B3BB69-23CF-44E3-9099-C40C66FF867C}">
                  <a14:compatExt spid="_x0000_s93202"/>
                </a:ext>
                <a:ext uri="{FF2B5EF4-FFF2-40B4-BE49-F238E27FC236}">
                  <a16:creationId xmlns:a16="http://schemas.microsoft.com/office/drawing/2014/main" id="{00000000-0008-0000-0100-000012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93203" name="Button 19" hidden="1">
              <a:extLst>
                <a:ext uri="{63B3BB69-23CF-44E3-9099-C40C66FF867C}">
                  <a14:compatExt spid="_x0000_s93203"/>
                </a:ext>
                <a:ext uri="{FF2B5EF4-FFF2-40B4-BE49-F238E27FC236}">
                  <a16:creationId xmlns:a16="http://schemas.microsoft.com/office/drawing/2014/main" id="{00000000-0008-0000-0100-000013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93204" name="Button 20" hidden="1">
              <a:extLst>
                <a:ext uri="{63B3BB69-23CF-44E3-9099-C40C66FF867C}">
                  <a14:compatExt spid="_x0000_s93204"/>
                </a:ext>
                <a:ext uri="{FF2B5EF4-FFF2-40B4-BE49-F238E27FC236}">
                  <a16:creationId xmlns:a16="http://schemas.microsoft.com/office/drawing/2014/main" id="{00000000-0008-0000-0100-000014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93205" name="Button 21" hidden="1">
              <a:extLst>
                <a:ext uri="{63B3BB69-23CF-44E3-9099-C40C66FF867C}">
                  <a14:compatExt spid="_x0000_s93205"/>
                </a:ext>
                <a:ext uri="{FF2B5EF4-FFF2-40B4-BE49-F238E27FC236}">
                  <a16:creationId xmlns:a16="http://schemas.microsoft.com/office/drawing/2014/main" id="{00000000-0008-0000-0100-000015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93206" name="Button 22" hidden="1">
              <a:extLst>
                <a:ext uri="{63B3BB69-23CF-44E3-9099-C40C66FF867C}">
                  <a14:compatExt spid="_x0000_s93206"/>
                </a:ext>
                <a:ext uri="{FF2B5EF4-FFF2-40B4-BE49-F238E27FC236}">
                  <a16:creationId xmlns:a16="http://schemas.microsoft.com/office/drawing/2014/main" id="{00000000-0008-0000-0100-000016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93207" name="Button 23" hidden="1">
              <a:extLst>
                <a:ext uri="{63B3BB69-23CF-44E3-9099-C40C66FF867C}">
                  <a14:compatExt spid="_x0000_s93207"/>
                </a:ext>
                <a:ext uri="{FF2B5EF4-FFF2-40B4-BE49-F238E27FC236}">
                  <a16:creationId xmlns:a16="http://schemas.microsoft.com/office/drawing/2014/main" id="{00000000-0008-0000-0100-000017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93208" name="Button 24" hidden="1">
              <a:extLst>
                <a:ext uri="{63B3BB69-23CF-44E3-9099-C40C66FF867C}">
                  <a14:compatExt spid="_x0000_s93208"/>
                </a:ext>
                <a:ext uri="{FF2B5EF4-FFF2-40B4-BE49-F238E27FC236}">
                  <a16:creationId xmlns:a16="http://schemas.microsoft.com/office/drawing/2014/main" id="{00000000-0008-0000-0100-000018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93209" name="Button 25" hidden="1">
              <a:extLst>
                <a:ext uri="{63B3BB69-23CF-44E3-9099-C40C66FF867C}">
                  <a14:compatExt spid="_x0000_s93209"/>
                </a:ext>
                <a:ext uri="{FF2B5EF4-FFF2-40B4-BE49-F238E27FC236}">
                  <a16:creationId xmlns:a16="http://schemas.microsoft.com/office/drawing/2014/main" id="{00000000-0008-0000-0100-000019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93210" name="Button 26" hidden="1">
              <a:extLst>
                <a:ext uri="{63B3BB69-23CF-44E3-9099-C40C66FF867C}">
                  <a14:compatExt spid="_x0000_s93210"/>
                </a:ext>
                <a:ext uri="{FF2B5EF4-FFF2-40B4-BE49-F238E27FC236}">
                  <a16:creationId xmlns:a16="http://schemas.microsoft.com/office/drawing/2014/main" id="{00000000-0008-0000-0100-00001A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93211" name="Button 27" hidden="1">
              <a:extLst>
                <a:ext uri="{63B3BB69-23CF-44E3-9099-C40C66FF867C}">
                  <a14:compatExt spid="_x0000_s93211"/>
                </a:ext>
                <a:ext uri="{FF2B5EF4-FFF2-40B4-BE49-F238E27FC236}">
                  <a16:creationId xmlns:a16="http://schemas.microsoft.com/office/drawing/2014/main" id="{00000000-0008-0000-0100-00001B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93212" name="Button 28" hidden="1">
              <a:extLst>
                <a:ext uri="{63B3BB69-23CF-44E3-9099-C40C66FF867C}">
                  <a14:compatExt spid="_x0000_s93212"/>
                </a:ext>
                <a:ext uri="{FF2B5EF4-FFF2-40B4-BE49-F238E27FC236}">
                  <a16:creationId xmlns:a16="http://schemas.microsoft.com/office/drawing/2014/main" id="{00000000-0008-0000-0100-00001C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93213" name="Button 29" hidden="1">
              <a:extLst>
                <a:ext uri="{63B3BB69-23CF-44E3-9099-C40C66FF867C}">
                  <a14:compatExt spid="_x0000_s93213"/>
                </a:ext>
                <a:ext uri="{FF2B5EF4-FFF2-40B4-BE49-F238E27FC236}">
                  <a16:creationId xmlns:a16="http://schemas.microsoft.com/office/drawing/2014/main" id="{00000000-0008-0000-0100-00001D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93214" name="Button 30" hidden="1">
              <a:extLst>
                <a:ext uri="{63B3BB69-23CF-44E3-9099-C40C66FF867C}">
                  <a14:compatExt spid="_x0000_s93214"/>
                </a:ext>
                <a:ext uri="{FF2B5EF4-FFF2-40B4-BE49-F238E27FC236}">
                  <a16:creationId xmlns:a16="http://schemas.microsoft.com/office/drawing/2014/main" id="{00000000-0008-0000-0100-00001E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93215" name="Button 31" hidden="1">
              <a:extLst>
                <a:ext uri="{63B3BB69-23CF-44E3-9099-C40C66FF867C}">
                  <a14:compatExt spid="_x0000_s93215"/>
                </a:ext>
                <a:ext uri="{FF2B5EF4-FFF2-40B4-BE49-F238E27FC236}">
                  <a16:creationId xmlns:a16="http://schemas.microsoft.com/office/drawing/2014/main" id="{00000000-0008-0000-0100-00001F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93216" name="Button 32" hidden="1">
              <a:extLst>
                <a:ext uri="{63B3BB69-23CF-44E3-9099-C40C66FF867C}">
                  <a14:compatExt spid="_x0000_s93216"/>
                </a:ext>
                <a:ext uri="{FF2B5EF4-FFF2-40B4-BE49-F238E27FC236}">
                  <a16:creationId xmlns:a16="http://schemas.microsoft.com/office/drawing/2014/main" id="{00000000-0008-0000-0100-000020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93217" name="Button 33" hidden="1">
              <a:extLst>
                <a:ext uri="{63B3BB69-23CF-44E3-9099-C40C66FF867C}">
                  <a14:compatExt spid="_x0000_s93217"/>
                </a:ext>
                <a:ext uri="{FF2B5EF4-FFF2-40B4-BE49-F238E27FC236}">
                  <a16:creationId xmlns:a16="http://schemas.microsoft.com/office/drawing/2014/main" id="{00000000-0008-0000-0100-00002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93218" name="Button 34" hidden="1">
              <a:extLst>
                <a:ext uri="{63B3BB69-23CF-44E3-9099-C40C66FF867C}">
                  <a14:compatExt spid="_x0000_s93218"/>
                </a:ext>
                <a:ext uri="{FF2B5EF4-FFF2-40B4-BE49-F238E27FC236}">
                  <a16:creationId xmlns:a16="http://schemas.microsoft.com/office/drawing/2014/main" id="{00000000-0008-0000-0100-000022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93219" name="Button 35" hidden="1">
              <a:extLst>
                <a:ext uri="{63B3BB69-23CF-44E3-9099-C40C66FF867C}">
                  <a14:compatExt spid="_x0000_s93219"/>
                </a:ext>
                <a:ext uri="{FF2B5EF4-FFF2-40B4-BE49-F238E27FC236}">
                  <a16:creationId xmlns:a16="http://schemas.microsoft.com/office/drawing/2014/main" id="{00000000-0008-0000-0100-000023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93220" name="Button 36" hidden="1">
              <a:extLst>
                <a:ext uri="{63B3BB69-23CF-44E3-9099-C40C66FF867C}">
                  <a14:compatExt spid="_x0000_s93220"/>
                </a:ext>
                <a:ext uri="{FF2B5EF4-FFF2-40B4-BE49-F238E27FC236}">
                  <a16:creationId xmlns:a16="http://schemas.microsoft.com/office/drawing/2014/main" id="{00000000-0008-0000-0100-000024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93221" name="Button 37" hidden="1">
              <a:extLst>
                <a:ext uri="{63B3BB69-23CF-44E3-9099-C40C66FF867C}">
                  <a14:compatExt spid="_x0000_s93221"/>
                </a:ext>
                <a:ext uri="{FF2B5EF4-FFF2-40B4-BE49-F238E27FC236}">
                  <a16:creationId xmlns:a16="http://schemas.microsoft.com/office/drawing/2014/main" id="{00000000-0008-0000-0100-000025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93222" name="Button 38" hidden="1">
              <a:extLst>
                <a:ext uri="{63B3BB69-23CF-44E3-9099-C40C66FF867C}">
                  <a14:compatExt spid="_x0000_s93222"/>
                </a:ext>
                <a:ext uri="{FF2B5EF4-FFF2-40B4-BE49-F238E27FC236}">
                  <a16:creationId xmlns:a16="http://schemas.microsoft.com/office/drawing/2014/main" id="{00000000-0008-0000-0100-000026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93223" name="Button 39" hidden="1">
              <a:extLst>
                <a:ext uri="{63B3BB69-23CF-44E3-9099-C40C66FF867C}">
                  <a14:compatExt spid="_x0000_s93223"/>
                </a:ext>
                <a:ext uri="{FF2B5EF4-FFF2-40B4-BE49-F238E27FC236}">
                  <a16:creationId xmlns:a16="http://schemas.microsoft.com/office/drawing/2014/main" id="{00000000-0008-0000-0100-000027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93224" name="Button 40" hidden="1">
              <a:extLst>
                <a:ext uri="{63B3BB69-23CF-44E3-9099-C40C66FF867C}">
                  <a14:compatExt spid="_x0000_s93224"/>
                </a:ext>
                <a:ext uri="{FF2B5EF4-FFF2-40B4-BE49-F238E27FC236}">
                  <a16:creationId xmlns:a16="http://schemas.microsoft.com/office/drawing/2014/main" id="{00000000-0008-0000-0100-000028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93225" name="Button 41" hidden="1">
              <a:extLst>
                <a:ext uri="{63B3BB69-23CF-44E3-9099-C40C66FF867C}">
                  <a14:compatExt spid="_x0000_s93225"/>
                </a:ext>
                <a:ext uri="{FF2B5EF4-FFF2-40B4-BE49-F238E27FC236}">
                  <a16:creationId xmlns:a16="http://schemas.microsoft.com/office/drawing/2014/main" id="{00000000-0008-0000-0100-000029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93226" name="Button 42" hidden="1">
              <a:extLst>
                <a:ext uri="{63B3BB69-23CF-44E3-9099-C40C66FF867C}">
                  <a14:compatExt spid="_x0000_s93226"/>
                </a:ext>
                <a:ext uri="{FF2B5EF4-FFF2-40B4-BE49-F238E27FC236}">
                  <a16:creationId xmlns:a16="http://schemas.microsoft.com/office/drawing/2014/main" id="{00000000-0008-0000-0100-00002A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93227" name="Button 43" hidden="1">
              <a:extLst>
                <a:ext uri="{63B3BB69-23CF-44E3-9099-C40C66FF867C}">
                  <a14:compatExt spid="_x0000_s93227"/>
                </a:ext>
                <a:ext uri="{FF2B5EF4-FFF2-40B4-BE49-F238E27FC236}">
                  <a16:creationId xmlns:a16="http://schemas.microsoft.com/office/drawing/2014/main" id="{00000000-0008-0000-0100-00002B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93228" name="Button 44" hidden="1">
              <a:extLst>
                <a:ext uri="{63B3BB69-23CF-44E3-9099-C40C66FF867C}">
                  <a14:compatExt spid="_x0000_s93228"/>
                </a:ext>
                <a:ext uri="{FF2B5EF4-FFF2-40B4-BE49-F238E27FC236}">
                  <a16:creationId xmlns:a16="http://schemas.microsoft.com/office/drawing/2014/main" id="{00000000-0008-0000-0100-00002C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93229" name="Button 45" hidden="1">
              <a:extLst>
                <a:ext uri="{63B3BB69-23CF-44E3-9099-C40C66FF867C}">
                  <a14:compatExt spid="_x0000_s93229"/>
                </a:ext>
                <a:ext uri="{FF2B5EF4-FFF2-40B4-BE49-F238E27FC236}">
                  <a16:creationId xmlns:a16="http://schemas.microsoft.com/office/drawing/2014/main" id="{00000000-0008-0000-0100-00002D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93230" name="Button 46" hidden="1">
              <a:extLst>
                <a:ext uri="{63B3BB69-23CF-44E3-9099-C40C66FF867C}">
                  <a14:compatExt spid="_x0000_s93230"/>
                </a:ext>
                <a:ext uri="{FF2B5EF4-FFF2-40B4-BE49-F238E27FC236}">
                  <a16:creationId xmlns:a16="http://schemas.microsoft.com/office/drawing/2014/main" id="{00000000-0008-0000-0100-00002E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93231" name="Button 47" hidden="1">
              <a:extLst>
                <a:ext uri="{63B3BB69-23CF-44E3-9099-C40C66FF867C}">
                  <a14:compatExt spid="_x0000_s93231"/>
                </a:ext>
                <a:ext uri="{FF2B5EF4-FFF2-40B4-BE49-F238E27FC236}">
                  <a16:creationId xmlns:a16="http://schemas.microsoft.com/office/drawing/2014/main" id="{00000000-0008-0000-0100-00002F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93232" name="Button 48" hidden="1">
              <a:extLst>
                <a:ext uri="{63B3BB69-23CF-44E3-9099-C40C66FF867C}">
                  <a14:compatExt spid="_x0000_s93232"/>
                </a:ext>
                <a:ext uri="{FF2B5EF4-FFF2-40B4-BE49-F238E27FC236}">
                  <a16:creationId xmlns:a16="http://schemas.microsoft.com/office/drawing/2014/main" id="{00000000-0008-0000-0100-000030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93233" name="Button 49" hidden="1">
              <a:extLst>
                <a:ext uri="{63B3BB69-23CF-44E3-9099-C40C66FF867C}">
                  <a14:compatExt spid="_x0000_s93233"/>
                </a:ext>
                <a:ext uri="{FF2B5EF4-FFF2-40B4-BE49-F238E27FC236}">
                  <a16:creationId xmlns:a16="http://schemas.microsoft.com/office/drawing/2014/main" id="{00000000-0008-0000-0100-00003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93234" name="Button 50" hidden="1">
              <a:extLst>
                <a:ext uri="{63B3BB69-23CF-44E3-9099-C40C66FF867C}">
                  <a14:compatExt spid="_x0000_s93234"/>
                </a:ext>
                <a:ext uri="{FF2B5EF4-FFF2-40B4-BE49-F238E27FC236}">
                  <a16:creationId xmlns:a16="http://schemas.microsoft.com/office/drawing/2014/main" id="{00000000-0008-0000-0100-000032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93235" name="Button 51" hidden="1">
              <a:extLst>
                <a:ext uri="{63B3BB69-23CF-44E3-9099-C40C66FF867C}">
                  <a14:compatExt spid="_x0000_s93235"/>
                </a:ext>
                <a:ext uri="{FF2B5EF4-FFF2-40B4-BE49-F238E27FC236}">
                  <a16:creationId xmlns:a16="http://schemas.microsoft.com/office/drawing/2014/main" id="{00000000-0008-0000-0100-000033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93236" name="Button 52" hidden="1">
              <a:extLst>
                <a:ext uri="{63B3BB69-23CF-44E3-9099-C40C66FF867C}">
                  <a14:compatExt spid="_x0000_s93236"/>
                </a:ext>
                <a:ext uri="{FF2B5EF4-FFF2-40B4-BE49-F238E27FC236}">
                  <a16:creationId xmlns:a16="http://schemas.microsoft.com/office/drawing/2014/main" id="{00000000-0008-0000-0100-000034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93237" name="Button 53" hidden="1">
              <a:extLst>
                <a:ext uri="{63B3BB69-23CF-44E3-9099-C40C66FF867C}">
                  <a14:compatExt spid="_x0000_s93237"/>
                </a:ext>
                <a:ext uri="{FF2B5EF4-FFF2-40B4-BE49-F238E27FC236}">
                  <a16:creationId xmlns:a16="http://schemas.microsoft.com/office/drawing/2014/main" id="{00000000-0008-0000-0100-000035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93238" name="Button 54" hidden="1">
              <a:extLst>
                <a:ext uri="{63B3BB69-23CF-44E3-9099-C40C66FF867C}">
                  <a14:compatExt spid="_x0000_s93238"/>
                </a:ext>
                <a:ext uri="{FF2B5EF4-FFF2-40B4-BE49-F238E27FC236}">
                  <a16:creationId xmlns:a16="http://schemas.microsoft.com/office/drawing/2014/main" id="{00000000-0008-0000-0100-000036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93239" name="Button 55" hidden="1">
              <a:extLst>
                <a:ext uri="{63B3BB69-23CF-44E3-9099-C40C66FF867C}">
                  <a14:compatExt spid="_x0000_s93239"/>
                </a:ext>
                <a:ext uri="{FF2B5EF4-FFF2-40B4-BE49-F238E27FC236}">
                  <a16:creationId xmlns:a16="http://schemas.microsoft.com/office/drawing/2014/main" id="{00000000-0008-0000-0100-000037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93240" name="Button 56" hidden="1">
              <a:extLst>
                <a:ext uri="{63B3BB69-23CF-44E3-9099-C40C66FF867C}">
                  <a14:compatExt spid="_x0000_s93240"/>
                </a:ext>
                <a:ext uri="{FF2B5EF4-FFF2-40B4-BE49-F238E27FC236}">
                  <a16:creationId xmlns:a16="http://schemas.microsoft.com/office/drawing/2014/main" id="{00000000-0008-0000-0100-000038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93241" name="Button 57" hidden="1">
              <a:extLst>
                <a:ext uri="{63B3BB69-23CF-44E3-9099-C40C66FF867C}">
                  <a14:compatExt spid="_x0000_s93241"/>
                </a:ext>
                <a:ext uri="{FF2B5EF4-FFF2-40B4-BE49-F238E27FC236}">
                  <a16:creationId xmlns:a16="http://schemas.microsoft.com/office/drawing/2014/main" id="{00000000-0008-0000-0100-000039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93242" name="Button 58" hidden="1">
              <a:extLst>
                <a:ext uri="{63B3BB69-23CF-44E3-9099-C40C66FF867C}">
                  <a14:compatExt spid="_x0000_s93242"/>
                </a:ext>
                <a:ext uri="{FF2B5EF4-FFF2-40B4-BE49-F238E27FC236}">
                  <a16:creationId xmlns:a16="http://schemas.microsoft.com/office/drawing/2014/main" id="{00000000-0008-0000-0100-00003A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93243" name="Button 59" hidden="1">
              <a:extLst>
                <a:ext uri="{63B3BB69-23CF-44E3-9099-C40C66FF867C}">
                  <a14:compatExt spid="_x0000_s93243"/>
                </a:ext>
                <a:ext uri="{FF2B5EF4-FFF2-40B4-BE49-F238E27FC236}">
                  <a16:creationId xmlns:a16="http://schemas.microsoft.com/office/drawing/2014/main" id="{00000000-0008-0000-0100-00003B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93244" name="Button 60" hidden="1">
              <a:extLst>
                <a:ext uri="{63B3BB69-23CF-44E3-9099-C40C66FF867C}">
                  <a14:compatExt spid="_x0000_s93244"/>
                </a:ext>
                <a:ext uri="{FF2B5EF4-FFF2-40B4-BE49-F238E27FC236}">
                  <a16:creationId xmlns:a16="http://schemas.microsoft.com/office/drawing/2014/main" id="{00000000-0008-0000-0100-00003C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93245" name="Button 61" hidden="1">
              <a:extLst>
                <a:ext uri="{63B3BB69-23CF-44E3-9099-C40C66FF867C}">
                  <a14:compatExt spid="_x0000_s93245"/>
                </a:ext>
                <a:ext uri="{FF2B5EF4-FFF2-40B4-BE49-F238E27FC236}">
                  <a16:creationId xmlns:a16="http://schemas.microsoft.com/office/drawing/2014/main" id="{00000000-0008-0000-0100-00003D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93246" name="Button 62" hidden="1">
              <a:extLst>
                <a:ext uri="{63B3BB69-23CF-44E3-9099-C40C66FF867C}">
                  <a14:compatExt spid="_x0000_s93246"/>
                </a:ext>
                <a:ext uri="{FF2B5EF4-FFF2-40B4-BE49-F238E27FC236}">
                  <a16:creationId xmlns:a16="http://schemas.microsoft.com/office/drawing/2014/main" id="{00000000-0008-0000-0100-00003E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93247" name="Button 63" hidden="1">
              <a:extLst>
                <a:ext uri="{63B3BB69-23CF-44E3-9099-C40C66FF867C}">
                  <a14:compatExt spid="_x0000_s93247"/>
                </a:ext>
                <a:ext uri="{FF2B5EF4-FFF2-40B4-BE49-F238E27FC236}">
                  <a16:creationId xmlns:a16="http://schemas.microsoft.com/office/drawing/2014/main" id="{00000000-0008-0000-0100-00003F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93248" name="Button 64" hidden="1">
              <a:extLst>
                <a:ext uri="{63B3BB69-23CF-44E3-9099-C40C66FF867C}">
                  <a14:compatExt spid="_x0000_s93248"/>
                </a:ext>
                <a:ext uri="{FF2B5EF4-FFF2-40B4-BE49-F238E27FC236}">
                  <a16:creationId xmlns:a16="http://schemas.microsoft.com/office/drawing/2014/main" id="{00000000-0008-0000-0100-000040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93249" name="Button 65" hidden="1">
              <a:extLst>
                <a:ext uri="{63B3BB69-23CF-44E3-9099-C40C66FF867C}">
                  <a14:compatExt spid="_x0000_s93249"/>
                </a:ext>
                <a:ext uri="{FF2B5EF4-FFF2-40B4-BE49-F238E27FC236}">
                  <a16:creationId xmlns:a16="http://schemas.microsoft.com/office/drawing/2014/main" id="{00000000-0008-0000-0100-00004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93250" name="Button 66" hidden="1">
              <a:extLst>
                <a:ext uri="{63B3BB69-23CF-44E3-9099-C40C66FF867C}">
                  <a14:compatExt spid="_x0000_s93250"/>
                </a:ext>
                <a:ext uri="{FF2B5EF4-FFF2-40B4-BE49-F238E27FC236}">
                  <a16:creationId xmlns:a16="http://schemas.microsoft.com/office/drawing/2014/main" id="{00000000-0008-0000-0100-000042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93251" name="Button 67" hidden="1">
              <a:extLst>
                <a:ext uri="{63B3BB69-23CF-44E3-9099-C40C66FF867C}">
                  <a14:compatExt spid="_x0000_s93251"/>
                </a:ext>
                <a:ext uri="{FF2B5EF4-FFF2-40B4-BE49-F238E27FC236}">
                  <a16:creationId xmlns:a16="http://schemas.microsoft.com/office/drawing/2014/main" id="{00000000-0008-0000-0100-000043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93252" name="Button 68" hidden="1">
              <a:extLst>
                <a:ext uri="{63B3BB69-23CF-44E3-9099-C40C66FF867C}">
                  <a14:compatExt spid="_x0000_s93252"/>
                </a:ext>
                <a:ext uri="{FF2B5EF4-FFF2-40B4-BE49-F238E27FC236}">
                  <a16:creationId xmlns:a16="http://schemas.microsoft.com/office/drawing/2014/main" id="{00000000-0008-0000-0100-000044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93253" name="Button 69" hidden="1">
              <a:extLst>
                <a:ext uri="{63B3BB69-23CF-44E3-9099-C40C66FF867C}">
                  <a14:compatExt spid="_x0000_s93253"/>
                </a:ext>
                <a:ext uri="{FF2B5EF4-FFF2-40B4-BE49-F238E27FC236}">
                  <a16:creationId xmlns:a16="http://schemas.microsoft.com/office/drawing/2014/main" id="{00000000-0008-0000-0100-000045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93254" name="Button 70" hidden="1">
              <a:extLst>
                <a:ext uri="{63B3BB69-23CF-44E3-9099-C40C66FF867C}">
                  <a14:compatExt spid="_x0000_s93254"/>
                </a:ext>
                <a:ext uri="{FF2B5EF4-FFF2-40B4-BE49-F238E27FC236}">
                  <a16:creationId xmlns:a16="http://schemas.microsoft.com/office/drawing/2014/main" id="{00000000-0008-0000-0100-000046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93255" name="Button 71" hidden="1">
              <a:extLst>
                <a:ext uri="{63B3BB69-23CF-44E3-9099-C40C66FF867C}">
                  <a14:compatExt spid="_x0000_s93255"/>
                </a:ext>
                <a:ext uri="{FF2B5EF4-FFF2-40B4-BE49-F238E27FC236}">
                  <a16:creationId xmlns:a16="http://schemas.microsoft.com/office/drawing/2014/main" id="{00000000-0008-0000-0100-000047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93256" name="Button 72" hidden="1">
              <a:extLst>
                <a:ext uri="{63B3BB69-23CF-44E3-9099-C40C66FF867C}">
                  <a14:compatExt spid="_x0000_s93256"/>
                </a:ext>
                <a:ext uri="{FF2B5EF4-FFF2-40B4-BE49-F238E27FC236}">
                  <a16:creationId xmlns:a16="http://schemas.microsoft.com/office/drawing/2014/main" id="{00000000-0008-0000-0100-000048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93257" name="Button 73" hidden="1">
              <a:extLst>
                <a:ext uri="{63B3BB69-23CF-44E3-9099-C40C66FF867C}">
                  <a14:compatExt spid="_x0000_s93257"/>
                </a:ext>
                <a:ext uri="{FF2B5EF4-FFF2-40B4-BE49-F238E27FC236}">
                  <a16:creationId xmlns:a16="http://schemas.microsoft.com/office/drawing/2014/main" id="{00000000-0008-0000-0100-000049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93258" name="Button 74" hidden="1">
              <a:extLst>
                <a:ext uri="{63B3BB69-23CF-44E3-9099-C40C66FF867C}">
                  <a14:compatExt spid="_x0000_s93258"/>
                </a:ext>
                <a:ext uri="{FF2B5EF4-FFF2-40B4-BE49-F238E27FC236}">
                  <a16:creationId xmlns:a16="http://schemas.microsoft.com/office/drawing/2014/main" id="{00000000-0008-0000-0100-00004A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93259" name="Button 75" hidden="1">
              <a:extLst>
                <a:ext uri="{63B3BB69-23CF-44E3-9099-C40C66FF867C}">
                  <a14:compatExt spid="_x0000_s93259"/>
                </a:ext>
                <a:ext uri="{FF2B5EF4-FFF2-40B4-BE49-F238E27FC236}">
                  <a16:creationId xmlns:a16="http://schemas.microsoft.com/office/drawing/2014/main" id="{00000000-0008-0000-0100-00004B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93260" name="Button 76" hidden="1">
              <a:extLst>
                <a:ext uri="{63B3BB69-23CF-44E3-9099-C40C66FF867C}">
                  <a14:compatExt spid="_x0000_s93260"/>
                </a:ext>
                <a:ext uri="{FF2B5EF4-FFF2-40B4-BE49-F238E27FC236}">
                  <a16:creationId xmlns:a16="http://schemas.microsoft.com/office/drawing/2014/main" id="{00000000-0008-0000-0100-00004C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93261" name="Button 77" hidden="1">
              <a:extLst>
                <a:ext uri="{63B3BB69-23CF-44E3-9099-C40C66FF867C}">
                  <a14:compatExt spid="_x0000_s93261"/>
                </a:ext>
                <a:ext uri="{FF2B5EF4-FFF2-40B4-BE49-F238E27FC236}">
                  <a16:creationId xmlns:a16="http://schemas.microsoft.com/office/drawing/2014/main" id="{00000000-0008-0000-0100-00004D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93262" name="Button 78" hidden="1">
              <a:extLst>
                <a:ext uri="{63B3BB69-23CF-44E3-9099-C40C66FF867C}">
                  <a14:compatExt spid="_x0000_s93262"/>
                </a:ext>
                <a:ext uri="{FF2B5EF4-FFF2-40B4-BE49-F238E27FC236}">
                  <a16:creationId xmlns:a16="http://schemas.microsoft.com/office/drawing/2014/main" id="{00000000-0008-0000-0100-00004E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93263" name="Button 79" hidden="1">
              <a:extLst>
                <a:ext uri="{63B3BB69-23CF-44E3-9099-C40C66FF867C}">
                  <a14:compatExt spid="_x0000_s93263"/>
                </a:ext>
                <a:ext uri="{FF2B5EF4-FFF2-40B4-BE49-F238E27FC236}">
                  <a16:creationId xmlns:a16="http://schemas.microsoft.com/office/drawing/2014/main" id="{00000000-0008-0000-0100-00004F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93264" name="Button 80" hidden="1">
              <a:extLst>
                <a:ext uri="{63B3BB69-23CF-44E3-9099-C40C66FF867C}">
                  <a14:compatExt spid="_x0000_s93264"/>
                </a:ext>
                <a:ext uri="{FF2B5EF4-FFF2-40B4-BE49-F238E27FC236}">
                  <a16:creationId xmlns:a16="http://schemas.microsoft.com/office/drawing/2014/main" id="{00000000-0008-0000-0100-000050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93265" name="Button 81" hidden="1">
              <a:extLst>
                <a:ext uri="{63B3BB69-23CF-44E3-9099-C40C66FF867C}">
                  <a14:compatExt spid="_x0000_s93265"/>
                </a:ext>
                <a:ext uri="{FF2B5EF4-FFF2-40B4-BE49-F238E27FC236}">
                  <a16:creationId xmlns:a16="http://schemas.microsoft.com/office/drawing/2014/main" id="{00000000-0008-0000-0100-00005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93266" name="Button 82" hidden="1">
              <a:extLst>
                <a:ext uri="{63B3BB69-23CF-44E3-9099-C40C66FF867C}">
                  <a14:compatExt spid="_x0000_s93266"/>
                </a:ext>
                <a:ext uri="{FF2B5EF4-FFF2-40B4-BE49-F238E27FC236}">
                  <a16:creationId xmlns:a16="http://schemas.microsoft.com/office/drawing/2014/main" id="{00000000-0008-0000-0100-000052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93267" name="Button 83" hidden="1">
              <a:extLst>
                <a:ext uri="{63B3BB69-23CF-44E3-9099-C40C66FF867C}">
                  <a14:compatExt spid="_x0000_s93267"/>
                </a:ext>
                <a:ext uri="{FF2B5EF4-FFF2-40B4-BE49-F238E27FC236}">
                  <a16:creationId xmlns:a16="http://schemas.microsoft.com/office/drawing/2014/main" id="{00000000-0008-0000-0100-000053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93268" name="Button 84" hidden="1">
              <a:extLst>
                <a:ext uri="{63B3BB69-23CF-44E3-9099-C40C66FF867C}">
                  <a14:compatExt spid="_x0000_s93268"/>
                </a:ext>
                <a:ext uri="{FF2B5EF4-FFF2-40B4-BE49-F238E27FC236}">
                  <a16:creationId xmlns:a16="http://schemas.microsoft.com/office/drawing/2014/main" id="{00000000-0008-0000-0100-000054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93269" name="Button 85" hidden="1">
              <a:extLst>
                <a:ext uri="{63B3BB69-23CF-44E3-9099-C40C66FF867C}">
                  <a14:compatExt spid="_x0000_s93269"/>
                </a:ext>
                <a:ext uri="{FF2B5EF4-FFF2-40B4-BE49-F238E27FC236}">
                  <a16:creationId xmlns:a16="http://schemas.microsoft.com/office/drawing/2014/main" id="{00000000-0008-0000-0100-000055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93270" name="Button 86" hidden="1">
              <a:extLst>
                <a:ext uri="{63B3BB69-23CF-44E3-9099-C40C66FF867C}">
                  <a14:compatExt spid="_x0000_s93270"/>
                </a:ext>
                <a:ext uri="{FF2B5EF4-FFF2-40B4-BE49-F238E27FC236}">
                  <a16:creationId xmlns:a16="http://schemas.microsoft.com/office/drawing/2014/main" id="{00000000-0008-0000-0100-000056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93271" name="Button 87" hidden="1">
              <a:extLst>
                <a:ext uri="{63B3BB69-23CF-44E3-9099-C40C66FF867C}">
                  <a14:compatExt spid="_x0000_s93271"/>
                </a:ext>
                <a:ext uri="{FF2B5EF4-FFF2-40B4-BE49-F238E27FC236}">
                  <a16:creationId xmlns:a16="http://schemas.microsoft.com/office/drawing/2014/main" id="{00000000-0008-0000-0100-000057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93272" name="Button 88" hidden="1">
              <a:extLst>
                <a:ext uri="{63B3BB69-23CF-44E3-9099-C40C66FF867C}">
                  <a14:compatExt spid="_x0000_s93272"/>
                </a:ext>
                <a:ext uri="{FF2B5EF4-FFF2-40B4-BE49-F238E27FC236}">
                  <a16:creationId xmlns:a16="http://schemas.microsoft.com/office/drawing/2014/main" id="{00000000-0008-0000-0100-000058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93273" name="Button 89" hidden="1">
              <a:extLst>
                <a:ext uri="{63B3BB69-23CF-44E3-9099-C40C66FF867C}">
                  <a14:compatExt spid="_x0000_s93273"/>
                </a:ext>
                <a:ext uri="{FF2B5EF4-FFF2-40B4-BE49-F238E27FC236}">
                  <a16:creationId xmlns:a16="http://schemas.microsoft.com/office/drawing/2014/main" id="{00000000-0008-0000-0100-000059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93274" name="Button 90" hidden="1">
              <a:extLst>
                <a:ext uri="{63B3BB69-23CF-44E3-9099-C40C66FF867C}">
                  <a14:compatExt spid="_x0000_s93274"/>
                </a:ext>
                <a:ext uri="{FF2B5EF4-FFF2-40B4-BE49-F238E27FC236}">
                  <a16:creationId xmlns:a16="http://schemas.microsoft.com/office/drawing/2014/main" id="{00000000-0008-0000-0100-00005A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93275" name="Button 91" hidden="1">
              <a:extLst>
                <a:ext uri="{63B3BB69-23CF-44E3-9099-C40C66FF867C}">
                  <a14:compatExt spid="_x0000_s93275"/>
                </a:ext>
                <a:ext uri="{FF2B5EF4-FFF2-40B4-BE49-F238E27FC236}">
                  <a16:creationId xmlns:a16="http://schemas.microsoft.com/office/drawing/2014/main" id="{00000000-0008-0000-0100-00005B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93276" name="Button 92" hidden="1">
              <a:extLst>
                <a:ext uri="{63B3BB69-23CF-44E3-9099-C40C66FF867C}">
                  <a14:compatExt spid="_x0000_s93276"/>
                </a:ext>
                <a:ext uri="{FF2B5EF4-FFF2-40B4-BE49-F238E27FC236}">
                  <a16:creationId xmlns:a16="http://schemas.microsoft.com/office/drawing/2014/main" id="{00000000-0008-0000-0100-00005C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93277" name="Button 93" hidden="1">
              <a:extLst>
                <a:ext uri="{63B3BB69-23CF-44E3-9099-C40C66FF867C}">
                  <a14:compatExt spid="_x0000_s93277"/>
                </a:ext>
                <a:ext uri="{FF2B5EF4-FFF2-40B4-BE49-F238E27FC236}">
                  <a16:creationId xmlns:a16="http://schemas.microsoft.com/office/drawing/2014/main" id="{00000000-0008-0000-0100-00005D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93278" name="Button 94" hidden="1">
              <a:extLst>
                <a:ext uri="{63B3BB69-23CF-44E3-9099-C40C66FF867C}">
                  <a14:compatExt spid="_x0000_s93278"/>
                </a:ext>
                <a:ext uri="{FF2B5EF4-FFF2-40B4-BE49-F238E27FC236}">
                  <a16:creationId xmlns:a16="http://schemas.microsoft.com/office/drawing/2014/main" id="{00000000-0008-0000-0100-00005E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93279" name="Button 95" hidden="1">
              <a:extLst>
                <a:ext uri="{63B3BB69-23CF-44E3-9099-C40C66FF867C}">
                  <a14:compatExt spid="_x0000_s93279"/>
                </a:ext>
                <a:ext uri="{FF2B5EF4-FFF2-40B4-BE49-F238E27FC236}">
                  <a16:creationId xmlns:a16="http://schemas.microsoft.com/office/drawing/2014/main" id="{00000000-0008-0000-0100-00005F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93280" name="Button 96" hidden="1">
              <a:extLst>
                <a:ext uri="{63B3BB69-23CF-44E3-9099-C40C66FF867C}">
                  <a14:compatExt spid="_x0000_s93280"/>
                </a:ext>
                <a:ext uri="{FF2B5EF4-FFF2-40B4-BE49-F238E27FC236}">
                  <a16:creationId xmlns:a16="http://schemas.microsoft.com/office/drawing/2014/main" id="{00000000-0008-0000-0100-000060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93281" name="Button 97" hidden="1">
              <a:extLst>
                <a:ext uri="{63B3BB69-23CF-44E3-9099-C40C66FF867C}">
                  <a14:compatExt spid="_x0000_s93281"/>
                </a:ext>
                <a:ext uri="{FF2B5EF4-FFF2-40B4-BE49-F238E27FC236}">
                  <a16:creationId xmlns:a16="http://schemas.microsoft.com/office/drawing/2014/main" id="{00000000-0008-0000-0100-00006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93282" name="Button 98" hidden="1">
              <a:extLst>
                <a:ext uri="{63B3BB69-23CF-44E3-9099-C40C66FF867C}">
                  <a14:compatExt spid="_x0000_s93282"/>
                </a:ext>
                <a:ext uri="{FF2B5EF4-FFF2-40B4-BE49-F238E27FC236}">
                  <a16:creationId xmlns:a16="http://schemas.microsoft.com/office/drawing/2014/main" id="{00000000-0008-0000-0100-000062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93283" name="Button 99" hidden="1">
              <a:extLst>
                <a:ext uri="{63B3BB69-23CF-44E3-9099-C40C66FF867C}">
                  <a14:compatExt spid="_x0000_s93283"/>
                </a:ext>
                <a:ext uri="{FF2B5EF4-FFF2-40B4-BE49-F238E27FC236}">
                  <a16:creationId xmlns:a16="http://schemas.microsoft.com/office/drawing/2014/main" id="{00000000-0008-0000-0100-000063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93284" name="Button 100" hidden="1">
              <a:extLst>
                <a:ext uri="{63B3BB69-23CF-44E3-9099-C40C66FF867C}">
                  <a14:compatExt spid="_x0000_s93284"/>
                </a:ext>
                <a:ext uri="{FF2B5EF4-FFF2-40B4-BE49-F238E27FC236}">
                  <a16:creationId xmlns:a16="http://schemas.microsoft.com/office/drawing/2014/main" id="{00000000-0008-0000-0100-000064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93285" name="Button 101" hidden="1">
              <a:extLst>
                <a:ext uri="{63B3BB69-23CF-44E3-9099-C40C66FF867C}">
                  <a14:compatExt spid="_x0000_s93285"/>
                </a:ext>
                <a:ext uri="{FF2B5EF4-FFF2-40B4-BE49-F238E27FC236}">
                  <a16:creationId xmlns:a16="http://schemas.microsoft.com/office/drawing/2014/main" id="{00000000-0008-0000-0100-000065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93286" name="Button 102" hidden="1">
              <a:extLst>
                <a:ext uri="{63B3BB69-23CF-44E3-9099-C40C66FF867C}">
                  <a14:compatExt spid="_x0000_s93286"/>
                </a:ext>
                <a:ext uri="{FF2B5EF4-FFF2-40B4-BE49-F238E27FC236}">
                  <a16:creationId xmlns:a16="http://schemas.microsoft.com/office/drawing/2014/main" id="{00000000-0008-0000-0100-000066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93287" name="Button 103" hidden="1">
              <a:extLst>
                <a:ext uri="{63B3BB69-23CF-44E3-9099-C40C66FF867C}">
                  <a14:compatExt spid="_x0000_s93287"/>
                </a:ext>
                <a:ext uri="{FF2B5EF4-FFF2-40B4-BE49-F238E27FC236}">
                  <a16:creationId xmlns:a16="http://schemas.microsoft.com/office/drawing/2014/main" id="{00000000-0008-0000-0100-000067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93288" name="Button 104" hidden="1">
              <a:extLst>
                <a:ext uri="{63B3BB69-23CF-44E3-9099-C40C66FF867C}">
                  <a14:compatExt spid="_x0000_s93288"/>
                </a:ext>
                <a:ext uri="{FF2B5EF4-FFF2-40B4-BE49-F238E27FC236}">
                  <a16:creationId xmlns:a16="http://schemas.microsoft.com/office/drawing/2014/main" id="{00000000-0008-0000-0100-000068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93289" name="Button 105" hidden="1">
              <a:extLst>
                <a:ext uri="{63B3BB69-23CF-44E3-9099-C40C66FF867C}">
                  <a14:compatExt spid="_x0000_s93289"/>
                </a:ext>
                <a:ext uri="{FF2B5EF4-FFF2-40B4-BE49-F238E27FC236}">
                  <a16:creationId xmlns:a16="http://schemas.microsoft.com/office/drawing/2014/main" id="{00000000-0008-0000-0100-000069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93290" name="Button 106" hidden="1">
              <a:extLst>
                <a:ext uri="{63B3BB69-23CF-44E3-9099-C40C66FF867C}">
                  <a14:compatExt spid="_x0000_s93290"/>
                </a:ext>
                <a:ext uri="{FF2B5EF4-FFF2-40B4-BE49-F238E27FC236}">
                  <a16:creationId xmlns:a16="http://schemas.microsoft.com/office/drawing/2014/main" id="{00000000-0008-0000-0100-00006A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93291" name="Button 107" hidden="1">
              <a:extLst>
                <a:ext uri="{63B3BB69-23CF-44E3-9099-C40C66FF867C}">
                  <a14:compatExt spid="_x0000_s93291"/>
                </a:ext>
                <a:ext uri="{FF2B5EF4-FFF2-40B4-BE49-F238E27FC236}">
                  <a16:creationId xmlns:a16="http://schemas.microsoft.com/office/drawing/2014/main" id="{00000000-0008-0000-0100-00006B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93292" name="Button 108" hidden="1">
              <a:extLst>
                <a:ext uri="{63B3BB69-23CF-44E3-9099-C40C66FF867C}">
                  <a14:compatExt spid="_x0000_s93292"/>
                </a:ext>
                <a:ext uri="{FF2B5EF4-FFF2-40B4-BE49-F238E27FC236}">
                  <a16:creationId xmlns:a16="http://schemas.microsoft.com/office/drawing/2014/main" id="{00000000-0008-0000-0100-00006C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93293" name="Button 109" hidden="1">
              <a:extLst>
                <a:ext uri="{63B3BB69-23CF-44E3-9099-C40C66FF867C}">
                  <a14:compatExt spid="_x0000_s93293"/>
                </a:ext>
                <a:ext uri="{FF2B5EF4-FFF2-40B4-BE49-F238E27FC236}">
                  <a16:creationId xmlns:a16="http://schemas.microsoft.com/office/drawing/2014/main" id="{00000000-0008-0000-0100-00006D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93294" name="Button 110" hidden="1">
              <a:extLst>
                <a:ext uri="{63B3BB69-23CF-44E3-9099-C40C66FF867C}">
                  <a14:compatExt spid="_x0000_s93294"/>
                </a:ext>
                <a:ext uri="{FF2B5EF4-FFF2-40B4-BE49-F238E27FC236}">
                  <a16:creationId xmlns:a16="http://schemas.microsoft.com/office/drawing/2014/main" id="{00000000-0008-0000-0100-00006E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93295" name="Button 111" hidden="1">
              <a:extLst>
                <a:ext uri="{63B3BB69-23CF-44E3-9099-C40C66FF867C}">
                  <a14:compatExt spid="_x0000_s93295"/>
                </a:ext>
                <a:ext uri="{FF2B5EF4-FFF2-40B4-BE49-F238E27FC236}">
                  <a16:creationId xmlns:a16="http://schemas.microsoft.com/office/drawing/2014/main" id="{00000000-0008-0000-0100-00006F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93296" name="Button 112" hidden="1">
              <a:extLst>
                <a:ext uri="{63B3BB69-23CF-44E3-9099-C40C66FF867C}">
                  <a14:compatExt spid="_x0000_s93296"/>
                </a:ext>
                <a:ext uri="{FF2B5EF4-FFF2-40B4-BE49-F238E27FC236}">
                  <a16:creationId xmlns:a16="http://schemas.microsoft.com/office/drawing/2014/main" id="{00000000-0008-0000-0100-000070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93297" name="Button 113" hidden="1">
              <a:extLst>
                <a:ext uri="{63B3BB69-23CF-44E3-9099-C40C66FF867C}">
                  <a14:compatExt spid="_x0000_s93297"/>
                </a:ext>
                <a:ext uri="{FF2B5EF4-FFF2-40B4-BE49-F238E27FC236}">
                  <a16:creationId xmlns:a16="http://schemas.microsoft.com/office/drawing/2014/main" id="{00000000-0008-0000-0100-00007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93298" name="Button 114" hidden="1">
              <a:extLst>
                <a:ext uri="{63B3BB69-23CF-44E3-9099-C40C66FF867C}">
                  <a14:compatExt spid="_x0000_s93298"/>
                </a:ext>
                <a:ext uri="{FF2B5EF4-FFF2-40B4-BE49-F238E27FC236}">
                  <a16:creationId xmlns:a16="http://schemas.microsoft.com/office/drawing/2014/main" id="{00000000-0008-0000-0100-000072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93299" name="Button 115" hidden="1">
              <a:extLst>
                <a:ext uri="{63B3BB69-23CF-44E3-9099-C40C66FF867C}">
                  <a14:compatExt spid="_x0000_s93299"/>
                </a:ext>
                <a:ext uri="{FF2B5EF4-FFF2-40B4-BE49-F238E27FC236}">
                  <a16:creationId xmlns:a16="http://schemas.microsoft.com/office/drawing/2014/main" id="{00000000-0008-0000-0100-000073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93300" name="Button 116" hidden="1">
              <a:extLst>
                <a:ext uri="{63B3BB69-23CF-44E3-9099-C40C66FF867C}">
                  <a14:compatExt spid="_x0000_s93300"/>
                </a:ext>
                <a:ext uri="{FF2B5EF4-FFF2-40B4-BE49-F238E27FC236}">
                  <a16:creationId xmlns:a16="http://schemas.microsoft.com/office/drawing/2014/main" id="{00000000-0008-0000-0100-000074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93301" name="Button 117" hidden="1">
              <a:extLst>
                <a:ext uri="{63B3BB69-23CF-44E3-9099-C40C66FF867C}">
                  <a14:compatExt spid="_x0000_s93301"/>
                </a:ext>
                <a:ext uri="{FF2B5EF4-FFF2-40B4-BE49-F238E27FC236}">
                  <a16:creationId xmlns:a16="http://schemas.microsoft.com/office/drawing/2014/main" id="{00000000-0008-0000-0100-000075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93302" name="Button 118" hidden="1">
              <a:extLst>
                <a:ext uri="{63B3BB69-23CF-44E3-9099-C40C66FF867C}">
                  <a14:compatExt spid="_x0000_s93302"/>
                </a:ext>
                <a:ext uri="{FF2B5EF4-FFF2-40B4-BE49-F238E27FC236}">
                  <a16:creationId xmlns:a16="http://schemas.microsoft.com/office/drawing/2014/main" id="{00000000-0008-0000-0100-000076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93303" name="Button 119" hidden="1">
              <a:extLst>
                <a:ext uri="{63B3BB69-23CF-44E3-9099-C40C66FF867C}">
                  <a14:compatExt spid="_x0000_s93303"/>
                </a:ext>
                <a:ext uri="{FF2B5EF4-FFF2-40B4-BE49-F238E27FC236}">
                  <a16:creationId xmlns:a16="http://schemas.microsoft.com/office/drawing/2014/main" id="{00000000-0008-0000-0100-000077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93304" name="Button 120" hidden="1">
              <a:extLst>
                <a:ext uri="{63B3BB69-23CF-44E3-9099-C40C66FF867C}">
                  <a14:compatExt spid="_x0000_s93304"/>
                </a:ext>
                <a:ext uri="{FF2B5EF4-FFF2-40B4-BE49-F238E27FC236}">
                  <a16:creationId xmlns:a16="http://schemas.microsoft.com/office/drawing/2014/main" id="{00000000-0008-0000-0100-000078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93305" name="Button 121" hidden="1">
              <a:extLst>
                <a:ext uri="{63B3BB69-23CF-44E3-9099-C40C66FF867C}">
                  <a14:compatExt spid="_x0000_s93305"/>
                </a:ext>
                <a:ext uri="{FF2B5EF4-FFF2-40B4-BE49-F238E27FC236}">
                  <a16:creationId xmlns:a16="http://schemas.microsoft.com/office/drawing/2014/main" id="{00000000-0008-0000-0100-000079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93306" name="Button 122" hidden="1">
              <a:extLst>
                <a:ext uri="{63B3BB69-23CF-44E3-9099-C40C66FF867C}">
                  <a14:compatExt spid="_x0000_s93306"/>
                </a:ext>
                <a:ext uri="{FF2B5EF4-FFF2-40B4-BE49-F238E27FC236}">
                  <a16:creationId xmlns:a16="http://schemas.microsoft.com/office/drawing/2014/main" id="{00000000-0008-0000-0100-00007A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93307" name="Button 123" hidden="1">
              <a:extLst>
                <a:ext uri="{63B3BB69-23CF-44E3-9099-C40C66FF867C}">
                  <a14:compatExt spid="_x0000_s93307"/>
                </a:ext>
                <a:ext uri="{FF2B5EF4-FFF2-40B4-BE49-F238E27FC236}">
                  <a16:creationId xmlns:a16="http://schemas.microsoft.com/office/drawing/2014/main" id="{00000000-0008-0000-0100-00007B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93308" name="Button 124" hidden="1">
              <a:extLst>
                <a:ext uri="{63B3BB69-23CF-44E3-9099-C40C66FF867C}">
                  <a14:compatExt spid="_x0000_s93308"/>
                </a:ext>
                <a:ext uri="{FF2B5EF4-FFF2-40B4-BE49-F238E27FC236}">
                  <a16:creationId xmlns:a16="http://schemas.microsoft.com/office/drawing/2014/main" id="{00000000-0008-0000-0100-00007C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93309" name="Button 125" hidden="1">
              <a:extLst>
                <a:ext uri="{63B3BB69-23CF-44E3-9099-C40C66FF867C}">
                  <a14:compatExt spid="_x0000_s93309"/>
                </a:ext>
                <a:ext uri="{FF2B5EF4-FFF2-40B4-BE49-F238E27FC236}">
                  <a16:creationId xmlns:a16="http://schemas.microsoft.com/office/drawing/2014/main" id="{00000000-0008-0000-0100-00007D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93310" name="Button 126" hidden="1">
              <a:extLst>
                <a:ext uri="{63B3BB69-23CF-44E3-9099-C40C66FF867C}">
                  <a14:compatExt spid="_x0000_s93310"/>
                </a:ext>
                <a:ext uri="{FF2B5EF4-FFF2-40B4-BE49-F238E27FC236}">
                  <a16:creationId xmlns:a16="http://schemas.microsoft.com/office/drawing/2014/main" id="{00000000-0008-0000-0100-00007E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93311" name="Button 127" hidden="1">
              <a:extLst>
                <a:ext uri="{63B3BB69-23CF-44E3-9099-C40C66FF867C}">
                  <a14:compatExt spid="_x0000_s93311"/>
                </a:ext>
                <a:ext uri="{FF2B5EF4-FFF2-40B4-BE49-F238E27FC236}">
                  <a16:creationId xmlns:a16="http://schemas.microsoft.com/office/drawing/2014/main" id="{00000000-0008-0000-0100-00007F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93312" name="Button 128" hidden="1">
              <a:extLst>
                <a:ext uri="{63B3BB69-23CF-44E3-9099-C40C66FF867C}">
                  <a14:compatExt spid="_x0000_s93312"/>
                </a:ext>
                <a:ext uri="{FF2B5EF4-FFF2-40B4-BE49-F238E27FC236}">
                  <a16:creationId xmlns:a16="http://schemas.microsoft.com/office/drawing/2014/main" id="{00000000-0008-0000-0100-000080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93313" name="Button 129" hidden="1">
              <a:extLst>
                <a:ext uri="{63B3BB69-23CF-44E3-9099-C40C66FF867C}">
                  <a14:compatExt spid="_x0000_s93313"/>
                </a:ext>
                <a:ext uri="{FF2B5EF4-FFF2-40B4-BE49-F238E27FC236}">
                  <a16:creationId xmlns:a16="http://schemas.microsoft.com/office/drawing/2014/main" id="{00000000-0008-0000-0100-00008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93314" name="Button 130" hidden="1">
              <a:extLst>
                <a:ext uri="{63B3BB69-23CF-44E3-9099-C40C66FF867C}">
                  <a14:compatExt spid="_x0000_s93314"/>
                </a:ext>
                <a:ext uri="{FF2B5EF4-FFF2-40B4-BE49-F238E27FC236}">
                  <a16:creationId xmlns:a16="http://schemas.microsoft.com/office/drawing/2014/main" id="{00000000-0008-0000-0100-000082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93315" name="Button 131" hidden="1">
              <a:extLst>
                <a:ext uri="{63B3BB69-23CF-44E3-9099-C40C66FF867C}">
                  <a14:compatExt spid="_x0000_s93315"/>
                </a:ext>
                <a:ext uri="{FF2B5EF4-FFF2-40B4-BE49-F238E27FC236}">
                  <a16:creationId xmlns:a16="http://schemas.microsoft.com/office/drawing/2014/main" id="{00000000-0008-0000-0100-000083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93316" name="Button 132" hidden="1">
              <a:extLst>
                <a:ext uri="{63B3BB69-23CF-44E3-9099-C40C66FF867C}">
                  <a14:compatExt spid="_x0000_s93316"/>
                </a:ext>
                <a:ext uri="{FF2B5EF4-FFF2-40B4-BE49-F238E27FC236}">
                  <a16:creationId xmlns:a16="http://schemas.microsoft.com/office/drawing/2014/main" id="{00000000-0008-0000-0100-000084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93317" name="Button 133" hidden="1">
              <a:extLst>
                <a:ext uri="{63B3BB69-23CF-44E3-9099-C40C66FF867C}">
                  <a14:compatExt spid="_x0000_s93317"/>
                </a:ext>
                <a:ext uri="{FF2B5EF4-FFF2-40B4-BE49-F238E27FC236}">
                  <a16:creationId xmlns:a16="http://schemas.microsoft.com/office/drawing/2014/main" id="{00000000-0008-0000-0100-000085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93318" name="Button 134" hidden="1">
              <a:extLst>
                <a:ext uri="{63B3BB69-23CF-44E3-9099-C40C66FF867C}">
                  <a14:compatExt spid="_x0000_s93318"/>
                </a:ext>
                <a:ext uri="{FF2B5EF4-FFF2-40B4-BE49-F238E27FC236}">
                  <a16:creationId xmlns:a16="http://schemas.microsoft.com/office/drawing/2014/main" id="{00000000-0008-0000-0100-000086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93319" name="Button 135" hidden="1">
              <a:extLst>
                <a:ext uri="{63B3BB69-23CF-44E3-9099-C40C66FF867C}">
                  <a14:compatExt spid="_x0000_s93319"/>
                </a:ext>
                <a:ext uri="{FF2B5EF4-FFF2-40B4-BE49-F238E27FC236}">
                  <a16:creationId xmlns:a16="http://schemas.microsoft.com/office/drawing/2014/main" id="{00000000-0008-0000-0100-000087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93320" name="Button 136" hidden="1">
              <a:extLst>
                <a:ext uri="{63B3BB69-23CF-44E3-9099-C40C66FF867C}">
                  <a14:compatExt spid="_x0000_s93320"/>
                </a:ext>
                <a:ext uri="{FF2B5EF4-FFF2-40B4-BE49-F238E27FC236}">
                  <a16:creationId xmlns:a16="http://schemas.microsoft.com/office/drawing/2014/main" id="{00000000-0008-0000-0100-000088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93321" name="Button 137" hidden="1">
              <a:extLst>
                <a:ext uri="{63B3BB69-23CF-44E3-9099-C40C66FF867C}">
                  <a14:compatExt spid="_x0000_s93321"/>
                </a:ext>
                <a:ext uri="{FF2B5EF4-FFF2-40B4-BE49-F238E27FC236}">
                  <a16:creationId xmlns:a16="http://schemas.microsoft.com/office/drawing/2014/main" id="{00000000-0008-0000-0100-000089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93322" name="Button 138" hidden="1">
              <a:extLst>
                <a:ext uri="{63B3BB69-23CF-44E3-9099-C40C66FF867C}">
                  <a14:compatExt spid="_x0000_s93322"/>
                </a:ext>
                <a:ext uri="{FF2B5EF4-FFF2-40B4-BE49-F238E27FC236}">
                  <a16:creationId xmlns:a16="http://schemas.microsoft.com/office/drawing/2014/main" id="{00000000-0008-0000-0100-00008A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93323" name="Button 139" hidden="1">
              <a:extLst>
                <a:ext uri="{63B3BB69-23CF-44E3-9099-C40C66FF867C}">
                  <a14:compatExt spid="_x0000_s93323"/>
                </a:ext>
                <a:ext uri="{FF2B5EF4-FFF2-40B4-BE49-F238E27FC236}">
                  <a16:creationId xmlns:a16="http://schemas.microsoft.com/office/drawing/2014/main" id="{00000000-0008-0000-0100-00008B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93324" name="Button 140" hidden="1">
              <a:extLst>
                <a:ext uri="{63B3BB69-23CF-44E3-9099-C40C66FF867C}">
                  <a14:compatExt spid="_x0000_s93324"/>
                </a:ext>
                <a:ext uri="{FF2B5EF4-FFF2-40B4-BE49-F238E27FC236}">
                  <a16:creationId xmlns:a16="http://schemas.microsoft.com/office/drawing/2014/main" id="{00000000-0008-0000-0100-00008C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93325" name="Button 141" hidden="1">
              <a:extLst>
                <a:ext uri="{63B3BB69-23CF-44E3-9099-C40C66FF867C}">
                  <a14:compatExt spid="_x0000_s93325"/>
                </a:ext>
                <a:ext uri="{FF2B5EF4-FFF2-40B4-BE49-F238E27FC236}">
                  <a16:creationId xmlns:a16="http://schemas.microsoft.com/office/drawing/2014/main" id="{00000000-0008-0000-0100-00008D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93326" name="Button 142" hidden="1">
              <a:extLst>
                <a:ext uri="{63B3BB69-23CF-44E3-9099-C40C66FF867C}">
                  <a14:compatExt spid="_x0000_s93326"/>
                </a:ext>
                <a:ext uri="{FF2B5EF4-FFF2-40B4-BE49-F238E27FC236}">
                  <a16:creationId xmlns:a16="http://schemas.microsoft.com/office/drawing/2014/main" id="{00000000-0008-0000-0100-00008E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93327" name="Button 143" hidden="1">
              <a:extLst>
                <a:ext uri="{63B3BB69-23CF-44E3-9099-C40C66FF867C}">
                  <a14:compatExt spid="_x0000_s93327"/>
                </a:ext>
                <a:ext uri="{FF2B5EF4-FFF2-40B4-BE49-F238E27FC236}">
                  <a16:creationId xmlns:a16="http://schemas.microsoft.com/office/drawing/2014/main" id="{00000000-0008-0000-0100-00008F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93328" name="Button 144" hidden="1">
              <a:extLst>
                <a:ext uri="{63B3BB69-23CF-44E3-9099-C40C66FF867C}">
                  <a14:compatExt spid="_x0000_s93328"/>
                </a:ext>
                <a:ext uri="{FF2B5EF4-FFF2-40B4-BE49-F238E27FC236}">
                  <a16:creationId xmlns:a16="http://schemas.microsoft.com/office/drawing/2014/main" id="{00000000-0008-0000-0100-000090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93329" name="Button 145" hidden="1">
              <a:extLst>
                <a:ext uri="{63B3BB69-23CF-44E3-9099-C40C66FF867C}">
                  <a14:compatExt spid="_x0000_s93329"/>
                </a:ext>
                <a:ext uri="{FF2B5EF4-FFF2-40B4-BE49-F238E27FC236}">
                  <a16:creationId xmlns:a16="http://schemas.microsoft.com/office/drawing/2014/main" id="{00000000-0008-0000-0100-00009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93330" name="Button 146" hidden="1">
              <a:extLst>
                <a:ext uri="{63B3BB69-23CF-44E3-9099-C40C66FF867C}">
                  <a14:compatExt spid="_x0000_s93330"/>
                </a:ext>
                <a:ext uri="{FF2B5EF4-FFF2-40B4-BE49-F238E27FC236}">
                  <a16:creationId xmlns:a16="http://schemas.microsoft.com/office/drawing/2014/main" id="{00000000-0008-0000-0100-000092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93331" name="Button 147" hidden="1">
              <a:extLst>
                <a:ext uri="{63B3BB69-23CF-44E3-9099-C40C66FF867C}">
                  <a14:compatExt spid="_x0000_s93331"/>
                </a:ext>
                <a:ext uri="{FF2B5EF4-FFF2-40B4-BE49-F238E27FC236}">
                  <a16:creationId xmlns:a16="http://schemas.microsoft.com/office/drawing/2014/main" id="{00000000-0008-0000-0100-000093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93332" name="Button 148" hidden="1">
              <a:extLst>
                <a:ext uri="{63B3BB69-23CF-44E3-9099-C40C66FF867C}">
                  <a14:compatExt spid="_x0000_s93332"/>
                </a:ext>
                <a:ext uri="{FF2B5EF4-FFF2-40B4-BE49-F238E27FC236}">
                  <a16:creationId xmlns:a16="http://schemas.microsoft.com/office/drawing/2014/main" id="{00000000-0008-0000-0100-000094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93333" name="Button 149" hidden="1">
              <a:extLst>
                <a:ext uri="{63B3BB69-23CF-44E3-9099-C40C66FF867C}">
                  <a14:compatExt spid="_x0000_s93333"/>
                </a:ext>
                <a:ext uri="{FF2B5EF4-FFF2-40B4-BE49-F238E27FC236}">
                  <a16:creationId xmlns:a16="http://schemas.microsoft.com/office/drawing/2014/main" id="{00000000-0008-0000-0100-000095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93334" name="Button 150" hidden="1">
              <a:extLst>
                <a:ext uri="{63B3BB69-23CF-44E3-9099-C40C66FF867C}">
                  <a14:compatExt spid="_x0000_s93334"/>
                </a:ext>
                <a:ext uri="{FF2B5EF4-FFF2-40B4-BE49-F238E27FC236}">
                  <a16:creationId xmlns:a16="http://schemas.microsoft.com/office/drawing/2014/main" id="{00000000-0008-0000-0100-000096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93335" name="Button 151" hidden="1">
              <a:extLst>
                <a:ext uri="{63B3BB69-23CF-44E3-9099-C40C66FF867C}">
                  <a14:compatExt spid="_x0000_s93335"/>
                </a:ext>
                <a:ext uri="{FF2B5EF4-FFF2-40B4-BE49-F238E27FC236}">
                  <a16:creationId xmlns:a16="http://schemas.microsoft.com/office/drawing/2014/main" id="{00000000-0008-0000-0100-000097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93336" name="Button 152" hidden="1">
              <a:extLst>
                <a:ext uri="{63B3BB69-23CF-44E3-9099-C40C66FF867C}">
                  <a14:compatExt spid="_x0000_s93336"/>
                </a:ext>
                <a:ext uri="{FF2B5EF4-FFF2-40B4-BE49-F238E27FC236}">
                  <a16:creationId xmlns:a16="http://schemas.microsoft.com/office/drawing/2014/main" id="{00000000-0008-0000-0100-000098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93337" name="Button 153" hidden="1">
              <a:extLst>
                <a:ext uri="{63B3BB69-23CF-44E3-9099-C40C66FF867C}">
                  <a14:compatExt spid="_x0000_s93337"/>
                </a:ext>
                <a:ext uri="{FF2B5EF4-FFF2-40B4-BE49-F238E27FC236}">
                  <a16:creationId xmlns:a16="http://schemas.microsoft.com/office/drawing/2014/main" id="{00000000-0008-0000-0100-000099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93338" name="Button 154" hidden="1">
              <a:extLst>
                <a:ext uri="{63B3BB69-23CF-44E3-9099-C40C66FF867C}">
                  <a14:compatExt spid="_x0000_s93338"/>
                </a:ext>
                <a:ext uri="{FF2B5EF4-FFF2-40B4-BE49-F238E27FC236}">
                  <a16:creationId xmlns:a16="http://schemas.microsoft.com/office/drawing/2014/main" id="{00000000-0008-0000-0100-00009A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93339" name="Button 155" hidden="1">
              <a:extLst>
                <a:ext uri="{63B3BB69-23CF-44E3-9099-C40C66FF867C}">
                  <a14:compatExt spid="_x0000_s93339"/>
                </a:ext>
                <a:ext uri="{FF2B5EF4-FFF2-40B4-BE49-F238E27FC236}">
                  <a16:creationId xmlns:a16="http://schemas.microsoft.com/office/drawing/2014/main" id="{00000000-0008-0000-0100-00009B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93340" name="Button 156" hidden="1">
              <a:extLst>
                <a:ext uri="{63B3BB69-23CF-44E3-9099-C40C66FF867C}">
                  <a14:compatExt spid="_x0000_s93340"/>
                </a:ext>
                <a:ext uri="{FF2B5EF4-FFF2-40B4-BE49-F238E27FC236}">
                  <a16:creationId xmlns:a16="http://schemas.microsoft.com/office/drawing/2014/main" id="{00000000-0008-0000-0100-00009C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93341" name="Button 157" hidden="1">
              <a:extLst>
                <a:ext uri="{63B3BB69-23CF-44E3-9099-C40C66FF867C}">
                  <a14:compatExt spid="_x0000_s93341"/>
                </a:ext>
                <a:ext uri="{FF2B5EF4-FFF2-40B4-BE49-F238E27FC236}">
                  <a16:creationId xmlns:a16="http://schemas.microsoft.com/office/drawing/2014/main" id="{00000000-0008-0000-0100-00009D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93342" name="Button 158" hidden="1">
              <a:extLst>
                <a:ext uri="{63B3BB69-23CF-44E3-9099-C40C66FF867C}">
                  <a14:compatExt spid="_x0000_s93342"/>
                </a:ext>
                <a:ext uri="{FF2B5EF4-FFF2-40B4-BE49-F238E27FC236}">
                  <a16:creationId xmlns:a16="http://schemas.microsoft.com/office/drawing/2014/main" id="{00000000-0008-0000-0100-00009E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93343" name="Button 159" hidden="1">
              <a:extLst>
                <a:ext uri="{63B3BB69-23CF-44E3-9099-C40C66FF867C}">
                  <a14:compatExt spid="_x0000_s93343"/>
                </a:ext>
                <a:ext uri="{FF2B5EF4-FFF2-40B4-BE49-F238E27FC236}">
                  <a16:creationId xmlns:a16="http://schemas.microsoft.com/office/drawing/2014/main" id="{00000000-0008-0000-0100-00009F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93344" name="Button 160" hidden="1">
              <a:extLst>
                <a:ext uri="{63B3BB69-23CF-44E3-9099-C40C66FF867C}">
                  <a14:compatExt spid="_x0000_s93344"/>
                </a:ext>
                <a:ext uri="{FF2B5EF4-FFF2-40B4-BE49-F238E27FC236}">
                  <a16:creationId xmlns:a16="http://schemas.microsoft.com/office/drawing/2014/main" id="{00000000-0008-0000-0100-0000A0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93345" name="Button 161" hidden="1">
              <a:extLst>
                <a:ext uri="{63B3BB69-23CF-44E3-9099-C40C66FF867C}">
                  <a14:compatExt spid="_x0000_s93345"/>
                </a:ext>
                <a:ext uri="{FF2B5EF4-FFF2-40B4-BE49-F238E27FC236}">
                  <a16:creationId xmlns:a16="http://schemas.microsoft.com/office/drawing/2014/main" id="{00000000-0008-0000-0100-0000A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93346" name="Button 162" hidden="1">
              <a:extLst>
                <a:ext uri="{63B3BB69-23CF-44E3-9099-C40C66FF867C}">
                  <a14:compatExt spid="_x0000_s93346"/>
                </a:ext>
                <a:ext uri="{FF2B5EF4-FFF2-40B4-BE49-F238E27FC236}">
                  <a16:creationId xmlns:a16="http://schemas.microsoft.com/office/drawing/2014/main" id="{00000000-0008-0000-0100-0000A2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93347" name="Button 163" hidden="1">
              <a:extLst>
                <a:ext uri="{63B3BB69-23CF-44E3-9099-C40C66FF867C}">
                  <a14:compatExt spid="_x0000_s93347"/>
                </a:ext>
                <a:ext uri="{FF2B5EF4-FFF2-40B4-BE49-F238E27FC236}">
                  <a16:creationId xmlns:a16="http://schemas.microsoft.com/office/drawing/2014/main" id="{00000000-0008-0000-0100-0000A3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93348" name="Button 164" hidden="1">
              <a:extLst>
                <a:ext uri="{63B3BB69-23CF-44E3-9099-C40C66FF867C}">
                  <a14:compatExt spid="_x0000_s93348"/>
                </a:ext>
                <a:ext uri="{FF2B5EF4-FFF2-40B4-BE49-F238E27FC236}">
                  <a16:creationId xmlns:a16="http://schemas.microsoft.com/office/drawing/2014/main" id="{00000000-0008-0000-0100-0000A4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93349" name="Button 165" hidden="1">
              <a:extLst>
                <a:ext uri="{63B3BB69-23CF-44E3-9099-C40C66FF867C}">
                  <a14:compatExt spid="_x0000_s93349"/>
                </a:ext>
                <a:ext uri="{FF2B5EF4-FFF2-40B4-BE49-F238E27FC236}">
                  <a16:creationId xmlns:a16="http://schemas.microsoft.com/office/drawing/2014/main" id="{00000000-0008-0000-0100-0000A5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93350" name="Button 166" hidden="1">
              <a:extLst>
                <a:ext uri="{63B3BB69-23CF-44E3-9099-C40C66FF867C}">
                  <a14:compatExt spid="_x0000_s93350"/>
                </a:ext>
                <a:ext uri="{FF2B5EF4-FFF2-40B4-BE49-F238E27FC236}">
                  <a16:creationId xmlns:a16="http://schemas.microsoft.com/office/drawing/2014/main" id="{00000000-0008-0000-0100-0000A6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93351" name="Button 167" hidden="1">
              <a:extLst>
                <a:ext uri="{63B3BB69-23CF-44E3-9099-C40C66FF867C}">
                  <a14:compatExt spid="_x0000_s93351"/>
                </a:ext>
                <a:ext uri="{FF2B5EF4-FFF2-40B4-BE49-F238E27FC236}">
                  <a16:creationId xmlns:a16="http://schemas.microsoft.com/office/drawing/2014/main" id="{00000000-0008-0000-0100-0000A7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93352" name="Button 168" hidden="1">
              <a:extLst>
                <a:ext uri="{63B3BB69-23CF-44E3-9099-C40C66FF867C}">
                  <a14:compatExt spid="_x0000_s93352"/>
                </a:ext>
                <a:ext uri="{FF2B5EF4-FFF2-40B4-BE49-F238E27FC236}">
                  <a16:creationId xmlns:a16="http://schemas.microsoft.com/office/drawing/2014/main" id="{00000000-0008-0000-0100-0000A8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93353" name="Button 169" hidden="1">
              <a:extLst>
                <a:ext uri="{63B3BB69-23CF-44E3-9099-C40C66FF867C}">
                  <a14:compatExt spid="_x0000_s93353"/>
                </a:ext>
                <a:ext uri="{FF2B5EF4-FFF2-40B4-BE49-F238E27FC236}">
                  <a16:creationId xmlns:a16="http://schemas.microsoft.com/office/drawing/2014/main" id="{00000000-0008-0000-0100-0000A9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93354" name="Button 170" hidden="1">
              <a:extLst>
                <a:ext uri="{63B3BB69-23CF-44E3-9099-C40C66FF867C}">
                  <a14:compatExt spid="_x0000_s93354"/>
                </a:ext>
                <a:ext uri="{FF2B5EF4-FFF2-40B4-BE49-F238E27FC236}">
                  <a16:creationId xmlns:a16="http://schemas.microsoft.com/office/drawing/2014/main" id="{00000000-0008-0000-0100-0000AA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93355" name="Button 171" hidden="1">
              <a:extLst>
                <a:ext uri="{63B3BB69-23CF-44E3-9099-C40C66FF867C}">
                  <a14:compatExt spid="_x0000_s93355"/>
                </a:ext>
                <a:ext uri="{FF2B5EF4-FFF2-40B4-BE49-F238E27FC236}">
                  <a16:creationId xmlns:a16="http://schemas.microsoft.com/office/drawing/2014/main" id="{00000000-0008-0000-0100-0000AB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93356" name="Button 172" hidden="1">
              <a:extLst>
                <a:ext uri="{63B3BB69-23CF-44E3-9099-C40C66FF867C}">
                  <a14:compatExt spid="_x0000_s93356"/>
                </a:ext>
                <a:ext uri="{FF2B5EF4-FFF2-40B4-BE49-F238E27FC236}">
                  <a16:creationId xmlns:a16="http://schemas.microsoft.com/office/drawing/2014/main" id="{00000000-0008-0000-0100-0000AC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93357" name="Button 173" hidden="1">
              <a:extLst>
                <a:ext uri="{63B3BB69-23CF-44E3-9099-C40C66FF867C}">
                  <a14:compatExt spid="_x0000_s93357"/>
                </a:ext>
                <a:ext uri="{FF2B5EF4-FFF2-40B4-BE49-F238E27FC236}">
                  <a16:creationId xmlns:a16="http://schemas.microsoft.com/office/drawing/2014/main" id="{00000000-0008-0000-0100-0000AD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93358" name="Button 174" hidden="1">
              <a:extLst>
                <a:ext uri="{63B3BB69-23CF-44E3-9099-C40C66FF867C}">
                  <a14:compatExt spid="_x0000_s93358"/>
                </a:ext>
                <a:ext uri="{FF2B5EF4-FFF2-40B4-BE49-F238E27FC236}">
                  <a16:creationId xmlns:a16="http://schemas.microsoft.com/office/drawing/2014/main" id="{00000000-0008-0000-0100-0000AE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93359" name="Button 175" hidden="1">
              <a:extLst>
                <a:ext uri="{63B3BB69-23CF-44E3-9099-C40C66FF867C}">
                  <a14:compatExt spid="_x0000_s93359"/>
                </a:ext>
                <a:ext uri="{FF2B5EF4-FFF2-40B4-BE49-F238E27FC236}">
                  <a16:creationId xmlns:a16="http://schemas.microsoft.com/office/drawing/2014/main" id="{00000000-0008-0000-0100-0000AF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93360" name="Button 176" hidden="1">
              <a:extLst>
                <a:ext uri="{63B3BB69-23CF-44E3-9099-C40C66FF867C}">
                  <a14:compatExt spid="_x0000_s93360"/>
                </a:ext>
                <a:ext uri="{FF2B5EF4-FFF2-40B4-BE49-F238E27FC236}">
                  <a16:creationId xmlns:a16="http://schemas.microsoft.com/office/drawing/2014/main" id="{00000000-0008-0000-0100-0000B0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93361" name="Button 177" hidden="1">
              <a:extLst>
                <a:ext uri="{63B3BB69-23CF-44E3-9099-C40C66FF867C}">
                  <a14:compatExt spid="_x0000_s93361"/>
                </a:ext>
                <a:ext uri="{FF2B5EF4-FFF2-40B4-BE49-F238E27FC236}">
                  <a16:creationId xmlns:a16="http://schemas.microsoft.com/office/drawing/2014/main" id="{00000000-0008-0000-0100-0000B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93362" name="Button 178" hidden="1">
              <a:extLst>
                <a:ext uri="{63B3BB69-23CF-44E3-9099-C40C66FF867C}">
                  <a14:compatExt spid="_x0000_s93362"/>
                </a:ext>
                <a:ext uri="{FF2B5EF4-FFF2-40B4-BE49-F238E27FC236}">
                  <a16:creationId xmlns:a16="http://schemas.microsoft.com/office/drawing/2014/main" id="{00000000-0008-0000-0100-0000B2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93363" name="Button 179" hidden="1">
              <a:extLst>
                <a:ext uri="{63B3BB69-23CF-44E3-9099-C40C66FF867C}">
                  <a14:compatExt spid="_x0000_s93363"/>
                </a:ext>
                <a:ext uri="{FF2B5EF4-FFF2-40B4-BE49-F238E27FC236}">
                  <a16:creationId xmlns:a16="http://schemas.microsoft.com/office/drawing/2014/main" id="{00000000-0008-0000-0100-0000B3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93364" name="Button 180" hidden="1">
              <a:extLst>
                <a:ext uri="{63B3BB69-23CF-44E3-9099-C40C66FF867C}">
                  <a14:compatExt spid="_x0000_s93364"/>
                </a:ext>
                <a:ext uri="{FF2B5EF4-FFF2-40B4-BE49-F238E27FC236}">
                  <a16:creationId xmlns:a16="http://schemas.microsoft.com/office/drawing/2014/main" id="{00000000-0008-0000-0100-0000B4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93365" name="Button 181" hidden="1">
              <a:extLst>
                <a:ext uri="{63B3BB69-23CF-44E3-9099-C40C66FF867C}">
                  <a14:compatExt spid="_x0000_s93365"/>
                </a:ext>
                <a:ext uri="{FF2B5EF4-FFF2-40B4-BE49-F238E27FC236}">
                  <a16:creationId xmlns:a16="http://schemas.microsoft.com/office/drawing/2014/main" id="{00000000-0008-0000-0100-0000B5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93366" name="Button 182" hidden="1">
              <a:extLst>
                <a:ext uri="{63B3BB69-23CF-44E3-9099-C40C66FF867C}">
                  <a14:compatExt spid="_x0000_s93366"/>
                </a:ext>
                <a:ext uri="{FF2B5EF4-FFF2-40B4-BE49-F238E27FC236}">
                  <a16:creationId xmlns:a16="http://schemas.microsoft.com/office/drawing/2014/main" id="{00000000-0008-0000-0100-0000B6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93367" name="Button 183" hidden="1">
              <a:extLst>
                <a:ext uri="{63B3BB69-23CF-44E3-9099-C40C66FF867C}">
                  <a14:compatExt spid="_x0000_s93367"/>
                </a:ext>
                <a:ext uri="{FF2B5EF4-FFF2-40B4-BE49-F238E27FC236}">
                  <a16:creationId xmlns:a16="http://schemas.microsoft.com/office/drawing/2014/main" id="{00000000-0008-0000-0100-0000B7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93368" name="Button 184" hidden="1">
              <a:extLst>
                <a:ext uri="{63B3BB69-23CF-44E3-9099-C40C66FF867C}">
                  <a14:compatExt spid="_x0000_s93368"/>
                </a:ext>
                <a:ext uri="{FF2B5EF4-FFF2-40B4-BE49-F238E27FC236}">
                  <a16:creationId xmlns:a16="http://schemas.microsoft.com/office/drawing/2014/main" id="{00000000-0008-0000-0100-0000B8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93369" name="Button 185" hidden="1">
              <a:extLst>
                <a:ext uri="{63B3BB69-23CF-44E3-9099-C40C66FF867C}">
                  <a14:compatExt spid="_x0000_s93369"/>
                </a:ext>
                <a:ext uri="{FF2B5EF4-FFF2-40B4-BE49-F238E27FC236}">
                  <a16:creationId xmlns:a16="http://schemas.microsoft.com/office/drawing/2014/main" id="{00000000-0008-0000-0100-0000B9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93370" name="Button 186" hidden="1">
              <a:extLst>
                <a:ext uri="{63B3BB69-23CF-44E3-9099-C40C66FF867C}">
                  <a14:compatExt spid="_x0000_s93370"/>
                </a:ext>
                <a:ext uri="{FF2B5EF4-FFF2-40B4-BE49-F238E27FC236}">
                  <a16:creationId xmlns:a16="http://schemas.microsoft.com/office/drawing/2014/main" id="{00000000-0008-0000-0100-0000BA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93371" name="Button 187" hidden="1">
              <a:extLst>
                <a:ext uri="{63B3BB69-23CF-44E3-9099-C40C66FF867C}">
                  <a14:compatExt spid="_x0000_s93371"/>
                </a:ext>
                <a:ext uri="{FF2B5EF4-FFF2-40B4-BE49-F238E27FC236}">
                  <a16:creationId xmlns:a16="http://schemas.microsoft.com/office/drawing/2014/main" id="{00000000-0008-0000-0100-0000BB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93372" name="Button 188" hidden="1">
              <a:extLst>
                <a:ext uri="{63B3BB69-23CF-44E3-9099-C40C66FF867C}">
                  <a14:compatExt spid="_x0000_s93372"/>
                </a:ext>
                <a:ext uri="{FF2B5EF4-FFF2-40B4-BE49-F238E27FC236}">
                  <a16:creationId xmlns:a16="http://schemas.microsoft.com/office/drawing/2014/main" id="{00000000-0008-0000-0100-0000BC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93373" name="Button 189" hidden="1">
              <a:extLst>
                <a:ext uri="{63B3BB69-23CF-44E3-9099-C40C66FF867C}">
                  <a14:compatExt spid="_x0000_s93373"/>
                </a:ext>
                <a:ext uri="{FF2B5EF4-FFF2-40B4-BE49-F238E27FC236}">
                  <a16:creationId xmlns:a16="http://schemas.microsoft.com/office/drawing/2014/main" id="{00000000-0008-0000-0100-0000BD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93374" name="Button 190" hidden="1">
              <a:extLst>
                <a:ext uri="{63B3BB69-23CF-44E3-9099-C40C66FF867C}">
                  <a14:compatExt spid="_x0000_s93374"/>
                </a:ext>
                <a:ext uri="{FF2B5EF4-FFF2-40B4-BE49-F238E27FC236}">
                  <a16:creationId xmlns:a16="http://schemas.microsoft.com/office/drawing/2014/main" id="{00000000-0008-0000-0100-0000BE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93375" name="Button 191" hidden="1">
              <a:extLst>
                <a:ext uri="{63B3BB69-23CF-44E3-9099-C40C66FF867C}">
                  <a14:compatExt spid="_x0000_s93375"/>
                </a:ext>
                <a:ext uri="{FF2B5EF4-FFF2-40B4-BE49-F238E27FC236}">
                  <a16:creationId xmlns:a16="http://schemas.microsoft.com/office/drawing/2014/main" id="{00000000-0008-0000-0100-0000BF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93376" name="Button 192" hidden="1">
              <a:extLst>
                <a:ext uri="{63B3BB69-23CF-44E3-9099-C40C66FF867C}">
                  <a14:compatExt spid="_x0000_s93376"/>
                </a:ext>
                <a:ext uri="{FF2B5EF4-FFF2-40B4-BE49-F238E27FC236}">
                  <a16:creationId xmlns:a16="http://schemas.microsoft.com/office/drawing/2014/main" id="{00000000-0008-0000-0100-0000C0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93377" name="Button 193" hidden="1">
              <a:extLst>
                <a:ext uri="{63B3BB69-23CF-44E3-9099-C40C66FF867C}">
                  <a14:compatExt spid="_x0000_s93377"/>
                </a:ext>
                <a:ext uri="{FF2B5EF4-FFF2-40B4-BE49-F238E27FC236}">
                  <a16:creationId xmlns:a16="http://schemas.microsoft.com/office/drawing/2014/main" id="{00000000-0008-0000-0100-0000C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93378" name="Button 194" hidden="1">
              <a:extLst>
                <a:ext uri="{63B3BB69-23CF-44E3-9099-C40C66FF867C}">
                  <a14:compatExt spid="_x0000_s93378"/>
                </a:ext>
                <a:ext uri="{FF2B5EF4-FFF2-40B4-BE49-F238E27FC236}">
                  <a16:creationId xmlns:a16="http://schemas.microsoft.com/office/drawing/2014/main" id="{00000000-0008-0000-0100-0000C2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93379" name="Button 195" hidden="1">
              <a:extLst>
                <a:ext uri="{63B3BB69-23CF-44E3-9099-C40C66FF867C}">
                  <a14:compatExt spid="_x0000_s93379"/>
                </a:ext>
                <a:ext uri="{FF2B5EF4-FFF2-40B4-BE49-F238E27FC236}">
                  <a16:creationId xmlns:a16="http://schemas.microsoft.com/office/drawing/2014/main" id="{00000000-0008-0000-0100-0000C3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93380" name="Button 196" hidden="1">
              <a:extLst>
                <a:ext uri="{63B3BB69-23CF-44E3-9099-C40C66FF867C}">
                  <a14:compatExt spid="_x0000_s93380"/>
                </a:ext>
                <a:ext uri="{FF2B5EF4-FFF2-40B4-BE49-F238E27FC236}">
                  <a16:creationId xmlns:a16="http://schemas.microsoft.com/office/drawing/2014/main" id="{00000000-0008-0000-0100-0000C4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93381" name="Button 197" hidden="1">
              <a:extLst>
                <a:ext uri="{63B3BB69-23CF-44E3-9099-C40C66FF867C}">
                  <a14:compatExt spid="_x0000_s93381"/>
                </a:ext>
                <a:ext uri="{FF2B5EF4-FFF2-40B4-BE49-F238E27FC236}">
                  <a16:creationId xmlns:a16="http://schemas.microsoft.com/office/drawing/2014/main" id="{00000000-0008-0000-0100-0000C5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93382" name="Button 198" hidden="1">
              <a:extLst>
                <a:ext uri="{63B3BB69-23CF-44E3-9099-C40C66FF867C}">
                  <a14:compatExt spid="_x0000_s93382"/>
                </a:ext>
                <a:ext uri="{FF2B5EF4-FFF2-40B4-BE49-F238E27FC236}">
                  <a16:creationId xmlns:a16="http://schemas.microsoft.com/office/drawing/2014/main" id="{00000000-0008-0000-0100-0000C6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93383" name="Button 199" hidden="1">
              <a:extLst>
                <a:ext uri="{63B3BB69-23CF-44E3-9099-C40C66FF867C}">
                  <a14:compatExt spid="_x0000_s93383"/>
                </a:ext>
                <a:ext uri="{FF2B5EF4-FFF2-40B4-BE49-F238E27FC236}">
                  <a16:creationId xmlns:a16="http://schemas.microsoft.com/office/drawing/2014/main" id="{00000000-0008-0000-0100-0000C7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93384" name="Button 200" hidden="1">
              <a:extLst>
                <a:ext uri="{63B3BB69-23CF-44E3-9099-C40C66FF867C}">
                  <a14:compatExt spid="_x0000_s93384"/>
                </a:ext>
                <a:ext uri="{FF2B5EF4-FFF2-40B4-BE49-F238E27FC236}">
                  <a16:creationId xmlns:a16="http://schemas.microsoft.com/office/drawing/2014/main" id="{00000000-0008-0000-0100-0000C8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93385" name="Button 201" hidden="1">
              <a:extLst>
                <a:ext uri="{63B3BB69-23CF-44E3-9099-C40C66FF867C}">
                  <a14:compatExt spid="_x0000_s93385"/>
                </a:ext>
                <a:ext uri="{FF2B5EF4-FFF2-40B4-BE49-F238E27FC236}">
                  <a16:creationId xmlns:a16="http://schemas.microsoft.com/office/drawing/2014/main" id="{00000000-0008-0000-0100-0000C9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93386" name="Button 202" hidden="1">
              <a:extLst>
                <a:ext uri="{63B3BB69-23CF-44E3-9099-C40C66FF867C}">
                  <a14:compatExt spid="_x0000_s93386"/>
                </a:ext>
                <a:ext uri="{FF2B5EF4-FFF2-40B4-BE49-F238E27FC236}">
                  <a16:creationId xmlns:a16="http://schemas.microsoft.com/office/drawing/2014/main" id="{00000000-0008-0000-0100-0000CA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93387" name="Button 203" hidden="1">
              <a:extLst>
                <a:ext uri="{63B3BB69-23CF-44E3-9099-C40C66FF867C}">
                  <a14:compatExt spid="_x0000_s93387"/>
                </a:ext>
                <a:ext uri="{FF2B5EF4-FFF2-40B4-BE49-F238E27FC236}">
                  <a16:creationId xmlns:a16="http://schemas.microsoft.com/office/drawing/2014/main" id="{00000000-0008-0000-0100-0000CB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93388" name="Button 204" hidden="1">
              <a:extLst>
                <a:ext uri="{63B3BB69-23CF-44E3-9099-C40C66FF867C}">
                  <a14:compatExt spid="_x0000_s93388"/>
                </a:ext>
                <a:ext uri="{FF2B5EF4-FFF2-40B4-BE49-F238E27FC236}">
                  <a16:creationId xmlns:a16="http://schemas.microsoft.com/office/drawing/2014/main" id="{00000000-0008-0000-0100-0000CC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93389" name="Button 205" hidden="1">
              <a:extLst>
                <a:ext uri="{63B3BB69-23CF-44E3-9099-C40C66FF867C}">
                  <a14:compatExt spid="_x0000_s93389"/>
                </a:ext>
                <a:ext uri="{FF2B5EF4-FFF2-40B4-BE49-F238E27FC236}">
                  <a16:creationId xmlns:a16="http://schemas.microsoft.com/office/drawing/2014/main" id="{00000000-0008-0000-0100-0000CD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93390" name="Button 206" hidden="1">
              <a:extLst>
                <a:ext uri="{63B3BB69-23CF-44E3-9099-C40C66FF867C}">
                  <a14:compatExt spid="_x0000_s93390"/>
                </a:ext>
                <a:ext uri="{FF2B5EF4-FFF2-40B4-BE49-F238E27FC236}">
                  <a16:creationId xmlns:a16="http://schemas.microsoft.com/office/drawing/2014/main" id="{00000000-0008-0000-0100-0000CE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93391" name="Button 207" hidden="1">
              <a:extLst>
                <a:ext uri="{63B3BB69-23CF-44E3-9099-C40C66FF867C}">
                  <a14:compatExt spid="_x0000_s93391"/>
                </a:ext>
                <a:ext uri="{FF2B5EF4-FFF2-40B4-BE49-F238E27FC236}">
                  <a16:creationId xmlns:a16="http://schemas.microsoft.com/office/drawing/2014/main" id="{00000000-0008-0000-0100-0000CF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93392" name="Button 208" hidden="1">
              <a:extLst>
                <a:ext uri="{63B3BB69-23CF-44E3-9099-C40C66FF867C}">
                  <a14:compatExt spid="_x0000_s93392"/>
                </a:ext>
                <a:ext uri="{FF2B5EF4-FFF2-40B4-BE49-F238E27FC236}">
                  <a16:creationId xmlns:a16="http://schemas.microsoft.com/office/drawing/2014/main" id="{00000000-0008-0000-0100-0000D0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93393" name="Button 209" hidden="1">
              <a:extLst>
                <a:ext uri="{63B3BB69-23CF-44E3-9099-C40C66FF867C}">
                  <a14:compatExt spid="_x0000_s93393"/>
                </a:ext>
                <a:ext uri="{FF2B5EF4-FFF2-40B4-BE49-F238E27FC236}">
                  <a16:creationId xmlns:a16="http://schemas.microsoft.com/office/drawing/2014/main" id="{00000000-0008-0000-0100-0000D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93394" name="Button 210" hidden="1">
              <a:extLst>
                <a:ext uri="{63B3BB69-23CF-44E3-9099-C40C66FF867C}">
                  <a14:compatExt spid="_x0000_s93394"/>
                </a:ext>
                <a:ext uri="{FF2B5EF4-FFF2-40B4-BE49-F238E27FC236}">
                  <a16:creationId xmlns:a16="http://schemas.microsoft.com/office/drawing/2014/main" id="{00000000-0008-0000-0100-0000D2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93395" name="Button 211" hidden="1">
              <a:extLst>
                <a:ext uri="{63B3BB69-23CF-44E3-9099-C40C66FF867C}">
                  <a14:compatExt spid="_x0000_s93395"/>
                </a:ext>
                <a:ext uri="{FF2B5EF4-FFF2-40B4-BE49-F238E27FC236}">
                  <a16:creationId xmlns:a16="http://schemas.microsoft.com/office/drawing/2014/main" id="{00000000-0008-0000-0100-0000D3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93396" name="Button 212" hidden="1">
              <a:extLst>
                <a:ext uri="{63B3BB69-23CF-44E3-9099-C40C66FF867C}">
                  <a14:compatExt spid="_x0000_s93396"/>
                </a:ext>
                <a:ext uri="{FF2B5EF4-FFF2-40B4-BE49-F238E27FC236}">
                  <a16:creationId xmlns:a16="http://schemas.microsoft.com/office/drawing/2014/main" id="{00000000-0008-0000-0100-0000D4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93397" name="Button 213" hidden="1">
              <a:extLst>
                <a:ext uri="{63B3BB69-23CF-44E3-9099-C40C66FF867C}">
                  <a14:compatExt spid="_x0000_s93397"/>
                </a:ext>
                <a:ext uri="{FF2B5EF4-FFF2-40B4-BE49-F238E27FC236}">
                  <a16:creationId xmlns:a16="http://schemas.microsoft.com/office/drawing/2014/main" id="{00000000-0008-0000-0100-0000D5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93398" name="Button 214" hidden="1">
              <a:extLst>
                <a:ext uri="{63B3BB69-23CF-44E3-9099-C40C66FF867C}">
                  <a14:compatExt spid="_x0000_s93398"/>
                </a:ext>
                <a:ext uri="{FF2B5EF4-FFF2-40B4-BE49-F238E27FC236}">
                  <a16:creationId xmlns:a16="http://schemas.microsoft.com/office/drawing/2014/main" id="{00000000-0008-0000-0100-0000D6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93399" name="Button 215" hidden="1">
              <a:extLst>
                <a:ext uri="{63B3BB69-23CF-44E3-9099-C40C66FF867C}">
                  <a14:compatExt spid="_x0000_s93399"/>
                </a:ext>
                <a:ext uri="{FF2B5EF4-FFF2-40B4-BE49-F238E27FC236}">
                  <a16:creationId xmlns:a16="http://schemas.microsoft.com/office/drawing/2014/main" id="{00000000-0008-0000-0100-0000D7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87041" name="Button 1" hidden="1">
              <a:extLst>
                <a:ext uri="{63B3BB69-23CF-44E3-9099-C40C66FF867C}">
                  <a14:compatExt spid="_x0000_s87041"/>
                </a:ext>
                <a:ext uri="{FF2B5EF4-FFF2-40B4-BE49-F238E27FC236}">
                  <a16:creationId xmlns:a16="http://schemas.microsoft.com/office/drawing/2014/main" id="{00000000-0008-0000-0200-00000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87042" name="Button 2" hidden="1">
              <a:extLst>
                <a:ext uri="{63B3BB69-23CF-44E3-9099-C40C66FF867C}">
                  <a14:compatExt spid="_x0000_s87042"/>
                </a:ext>
                <a:ext uri="{FF2B5EF4-FFF2-40B4-BE49-F238E27FC236}">
                  <a16:creationId xmlns:a16="http://schemas.microsoft.com/office/drawing/2014/main" id="{00000000-0008-0000-0200-00000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87043" name="Button 3" hidden="1">
              <a:extLst>
                <a:ext uri="{63B3BB69-23CF-44E3-9099-C40C66FF867C}">
                  <a14:compatExt spid="_x0000_s87043"/>
                </a:ext>
                <a:ext uri="{FF2B5EF4-FFF2-40B4-BE49-F238E27FC236}">
                  <a16:creationId xmlns:a16="http://schemas.microsoft.com/office/drawing/2014/main" id="{00000000-0008-0000-0200-00000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87044" name="Button 4" hidden="1">
              <a:extLst>
                <a:ext uri="{63B3BB69-23CF-44E3-9099-C40C66FF867C}">
                  <a14:compatExt spid="_x0000_s87044"/>
                </a:ext>
                <a:ext uri="{FF2B5EF4-FFF2-40B4-BE49-F238E27FC236}">
                  <a16:creationId xmlns:a16="http://schemas.microsoft.com/office/drawing/2014/main" id="{00000000-0008-0000-0200-00000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87045" name="Button 5" hidden="1">
              <a:extLst>
                <a:ext uri="{63B3BB69-23CF-44E3-9099-C40C66FF867C}">
                  <a14:compatExt spid="_x0000_s87045"/>
                </a:ext>
                <a:ext uri="{FF2B5EF4-FFF2-40B4-BE49-F238E27FC236}">
                  <a16:creationId xmlns:a16="http://schemas.microsoft.com/office/drawing/2014/main" id="{00000000-0008-0000-0200-00000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87046" name="Button 6" hidden="1">
              <a:extLst>
                <a:ext uri="{63B3BB69-23CF-44E3-9099-C40C66FF867C}">
                  <a14:compatExt spid="_x0000_s87046"/>
                </a:ext>
                <a:ext uri="{FF2B5EF4-FFF2-40B4-BE49-F238E27FC236}">
                  <a16:creationId xmlns:a16="http://schemas.microsoft.com/office/drawing/2014/main" id="{00000000-0008-0000-0200-00000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87047" name="Button 7" hidden="1">
              <a:extLst>
                <a:ext uri="{63B3BB69-23CF-44E3-9099-C40C66FF867C}">
                  <a14:compatExt spid="_x0000_s87047"/>
                </a:ext>
                <a:ext uri="{FF2B5EF4-FFF2-40B4-BE49-F238E27FC236}">
                  <a16:creationId xmlns:a16="http://schemas.microsoft.com/office/drawing/2014/main" id="{00000000-0008-0000-0200-00000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87048" name="Button 8" hidden="1">
              <a:extLst>
                <a:ext uri="{63B3BB69-23CF-44E3-9099-C40C66FF867C}">
                  <a14:compatExt spid="_x0000_s87048"/>
                </a:ext>
                <a:ext uri="{FF2B5EF4-FFF2-40B4-BE49-F238E27FC236}">
                  <a16:creationId xmlns:a16="http://schemas.microsoft.com/office/drawing/2014/main" id="{00000000-0008-0000-0200-00000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87050" name="Button 10" hidden="1">
              <a:extLst>
                <a:ext uri="{63B3BB69-23CF-44E3-9099-C40C66FF867C}">
                  <a14:compatExt spid="_x0000_s87050"/>
                </a:ext>
                <a:ext uri="{FF2B5EF4-FFF2-40B4-BE49-F238E27FC236}">
                  <a16:creationId xmlns:a16="http://schemas.microsoft.com/office/drawing/2014/main" id="{00000000-0008-0000-0200-00000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87051" name="Button 11" hidden="1">
              <a:extLst>
                <a:ext uri="{63B3BB69-23CF-44E3-9099-C40C66FF867C}">
                  <a14:compatExt spid="_x0000_s87051"/>
                </a:ext>
                <a:ext uri="{FF2B5EF4-FFF2-40B4-BE49-F238E27FC236}">
                  <a16:creationId xmlns:a16="http://schemas.microsoft.com/office/drawing/2014/main" id="{00000000-0008-0000-0200-00000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87052" name="Button 12" hidden="1">
              <a:extLst>
                <a:ext uri="{63B3BB69-23CF-44E3-9099-C40C66FF867C}">
                  <a14:compatExt spid="_x0000_s87052"/>
                </a:ext>
                <a:ext uri="{FF2B5EF4-FFF2-40B4-BE49-F238E27FC236}">
                  <a16:creationId xmlns:a16="http://schemas.microsoft.com/office/drawing/2014/main" id="{00000000-0008-0000-0200-00000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87053" name="Button 13" hidden="1">
              <a:extLst>
                <a:ext uri="{63B3BB69-23CF-44E3-9099-C40C66FF867C}">
                  <a14:compatExt spid="_x0000_s87053"/>
                </a:ext>
                <a:ext uri="{FF2B5EF4-FFF2-40B4-BE49-F238E27FC236}">
                  <a16:creationId xmlns:a16="http://schemas.microsoft.com/office/drawing/2014/main" id="{00000000-0008-0000-0200-00000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87054" name="Button 14" hidden="1">
              <a:extLst>
                <a:ext uri="{63B3BB69-23CF-44E3-9099-C40C66FF867C}">
                  <a14:compatExt spid="_x0000_s87054"/>
                </a:ext>
                <a:ext uri="{FF2B5EF4-FFF2-40B4-BE49-F238E27FC236}">
                  <a16:creationId xmlns:a16="http://schemas.microsoft.com/office/drawing/2014/main" id="{00000000-0008-0000-0200-00000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87055" name="Button 15" hidden="1">
              <a:extLst>
                <a:ext uri="{63B3BB69-23CF-44E3-9099-C40C66FF867C}">
                  <a14:compatExt spid="_x0000_s87055"/>
                </a:ext>
                <a:ext uri="{FF2B5EF4-FFF2-40B4-BE49-F238E27FC236}">
                  <a16:creationId xmlns:a16="http://schemas.microsoft.com/office/drawing/2014/main" id="{00000000-0008-0000-0200-00000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87056" name="Button 16" hidden="1">
              <a:extLst>
                <a:ext uri="{63B3BB69-23CF-44E3-9099-C40C66FF867C}">
                  <a14:compatExt spid="_x0000_s87056"/>
                </a:ext>
                <a:ext uri="{FF2B5EF4-FFF2-40B4-BE49-F238E27FC236}">
                  <a16:creationId xmlns:a16="http://schemas.microsoft.com/office/drawing/2014/main" id="{00000000-0008-0000-0200-00001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87057" name="Button 17" hidden="1">
              <a:extLst>
                <a:ext uri="{63B3BB69-23CF-44E3-9099-C40C66FF867C}">
                  <a14:compatExt spid="_x0000_s87057"/>
                </a:ext>
                <a:ext uri="{FF2B5EF4-FFF2-40B4-BE49-F238E27FC236}">
                  <a16:creationId xmlns:a16="http://schemas.microsoft.com/office/drawing/2014/main" id="{00000000-0008-0000-0200-00001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87059" name="Button 19" hidden="1">
              <a:extLst>
                <a:ext uri="{63B3BB69-23CF-44E3-9099-C40C66FF867C}">
                  <a14:compatExt spid="_x0000_s87059"/>
                </a:ext>
                <a:ext uri="{FF2B5EF4-FFF2-40B4-BE49-F238E27FC236}">
                  <a16:creationId xmlns:a16="http://schemas.microsoft.com/office/drawing/2014/main" id="{00000000-0008-0000-0200-00001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87060" name="Button 20" hidden="1">
              <a:extLst>
                <a:ext uri="{63B3BB69-23CF-44E3-9099-C40C66FF867C}">
                  <a14:compatExt spid="_x0000_s87060"/>
                </a:ext>
                <a:ext uri="{FF2B5EF4-FFF2-40B4-BE49-F238E27FC236}">
                  <a16:creationId xmlns:a16="http://schemas.microsoft.com/office/drawing/2014/main" id="{00000000-0008-0000-0200-00001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87061" name="Button 21" hidden="1">
              <a:extLst>
                <a:ext uri="{63B3BB69-23CF-44E3-9099-C40C66FF867C}">
                  <a14:compatExt spid="_x0000_s87061"/>
                </a:ext>
                <a:ext uri="{FF2B5EF4-FFF2-40B4-BE49-F238E27FC236}">
                  <a16:creationId xmlns:a16="http://schemas.microsoft.com/office/drawing/2014/main" id="{00000000-0008-0000-0200-00001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87062" name="Button 22" hidden="1">
              <a:extLst>
                <a:ext uri="{63B3BB69-23CF-44E3-9099-C40C66FF867C}">
                  <a14:compatExt spid="_x0000_s87062"/>
                </a:ext>
                <a:ext uri="{FF2B5EF4-FFF2-40B4-BE49-F238E27FC236}">
                  <a16:creationId xmlns:a16="http://schemas.microsoft.com/office/drawing/2014/main" id="{00000000-0008-0000-0200-00001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87063" name="Button 23" hidden="1">
              <a:extLst>
                <a:ext uri="{63B3BB69-23CF-44E3-9099-C40C66FF867C}">
                  <a14:compatExt spid="_x0000_s87063"/>
                </a:ext>
                <a:ext uri="{FF2B5EF4-FFF2-40B4-BE49-F238E27FC236}">
                  <a16:creationId xmlns:a16="http://schemas.microsoft.com/office/drawing/2014/main" id="{00000000-0008-0000-0200-00001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87064" name="Button 24" hidden="1">
              <a:extLst>
                <a:ext uri="{63B3BB69-23CF-44E3-9099-C40C66FF867C}">
                  <a14:compatExt spid="_x0000_s87064"/>
                </a:ext>
                <a:ext uri="{FF2B5EF4-FFF2-40B4-BE49-F238E27FC236}">
                  <a16:creationId xmlns:a16="http://schemas.microsoft.com/office/drawing/2014/main" id="{00000000-0008-0000-0200-00001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87065" name="Button 25" hidden="1">
              <a:extLst>
                <a:ext uri="{63B3BB69-23CF-44E3-9099-C40C66FF867C}">
                  <a14:compatExt spid="_x0000_s87065"/>
                </a:ext>
                <a:ext uri="{FF2B5EF4-FFF2-40B4-BE49-F238E27FC236}">
                  <a16:creationId xmlns:a16="http://schemas.microsoft.com/office/drawing/2014/main" id="{00000000-0008-0000-0200-00001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87066" name="Button 26" hidden="1">
              <a:extLst>
                <a:ext uri="{63B3BB69-23CF-44E3-9099-C40C66FF867C}">
                  <a14:compatExt spid="_x0000_s87066"/>
                </a:ext>
                <a:ext uri="{FF2B5EF4-FFF2-40B4-BE49-F238E27FC236}">
                  <a16:creationId xmlns:a16="http://schemas.microsoft.com/office/drawing/2014/main" id="{00000000-0008-0000-0200-00001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87067" name="Button 27" hidden="1">
              <a:extLst>
                <a:ext uri="{63B3BB69-23CF-44E3-9099-C40C66FF867C}">
                  <a14:compatExt spid="_x0000_s87067"/>
                </a:ext>
                <a:ext uri="{FF2B5EF4-FFF2-40B4-BE49-F238E27FC236}">
                  <a16:creationId xmlns:a16="http://schemas.microsoft.com/office/drawing/2014/main" id="{00000000-0008-0000-0200-00001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87068" name="Button 28" hidden="1">
              <a:extLst>
                <a:ext uri="{63B3BB69-23CF-44E3-9099-C40C66FF867C}">
                  <a14:compatExt spid="_x0000_s87068"/>
                </a:ext>
                <a:ext uri="{FF2B5EF4-FFF2-40B4-BE49-F238E27FC236}">
                  <a16:creationId xmlns:a16="http://schemas.microsoft.com/office/drawing/2014/main" id="{00000000-0008-0000-0200-00001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87069" name="Button 29" hidden="1">
              <a:extLst>
                <a:ext uri="{63B3BB69-23CF-44E3-9099-C40C66FF867C}">
                  <a14:compatExt spid="_x0000_s87069"/>
                </a:ext>
                <a:ext uri="{FF2B5EF4-FFF2-40B4-BE49-F238E27FC236}">
                  <a16:creationId xmlns:a16="http://schemas.microsoft.com/office/drawing/2014/main" id="{00000000-0008-0000-0200-00001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87070" name="Button 30" hidden="1">
              <a:extLst>
                <a:ext uri="{63B3BB69-23CF-44E3-9099-C40C66FF867C}">
                  <a14:compatExt spid="_x0000_s87070"/>
                </a:ext>
                <a:ext uri="{FF2B5EF4-FFF2-40B4-BE49-F238E27FC236}">
                  <a16:creationId xmlns:a16="http://schemas.microsoft.com/office/drawing/2014/main" id="{00000000-0008-0000-0200-00001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87071" name="Button 31" hidden="1">
              <a:extLst>
                <a:ext uri="{63B3BB69-23CF-44E3-9099-C40C66FF867C}">
                  <a14:compatExt spid="_x0000_s87071"/>
                </a:ext>
                <a:ext uri="{FF2B5EF4-FFF2-40B4-BE49-F238E27FC236}">
                  <a16:creationId xmlns:a16="http://schemas.microsoft.com/office/drawing/2014/main" id="{00000000-0008-0000-0200-00001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87072" name="Button 32" hidden="1">
              <a:extLst>
                <a:ext uri="{63B3BB69-23CF-44E3-9099-C40C66FF867C}">
                  <a14:compatExt spid="_x0000_s87072"/>
                </a:ext>
                <a:ext uri="{FF2B5EF4-FFF2-40B4-BE49-F238E27FC236}">
                  <a16:creationId xmlns:a16="http://schemas.microsoft.com/office/drawing/2014/main" id="{00000000-0008-0000-0200-00002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87073" name="Button 33" hidden="1">
              <a:extLst>
                <a:ext uri="{63B3BB69-23CF-44E3-9099-C40C66FF867C}">
                  <a14:compatExt spid="_x0000_s87073"/>
                </a:ext>
                <a:ext uri="{FF2B5EF4-FFF2-40B4-BE49-F238E27FC236}">
                  <a16:creationId xmlns:a16="http://schemas.microsoft.com/office/drawing/2014/main" id="{00000000-0008-0000-0200-00002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87074" name="Button 34" hidden="1">
              <a:extLst>
                <a:ext uri="{63B3BB69-23CF-44E3-9099-C40C66FF867C}">
                  <a14:compatExt spid="_x0000_s87074"/>
                </a:ext>
                <a:ext uri="{FF2B5EF4-FFF2-40B4-BE49-F238E27FC236}">
                  <a16:creationId xmlns:a16="http://schemas.microsoft.com/office/drawing/2014/main" id="{00000000-0008-0000-0200-00002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87075" name="Button 35" hidden="1">
              <a:extLst>
                <a:ext uri="{63B3BB69-23CF-44E3-9099-C40C66FF867C}">
                  <a14:compatExt spid="_x0000_s87075"/>
                </a:ext>
                <a:ext uri="{FF2B5EF4-FFF2-40B4-BE49-F238E27FC236}">
                  <a16:creationId xmlns:a16="http://schemas.microsoft.com/office/drawing/2014/main" id="{00000000-0008-0000-0200-00002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87076" name="Button 36" hidden="1">
              <a:extLst>
                <a:ext uri="{63B3BB69-23CF-44E3-9099-C40C66FF867C}">
                  <a14:compatExt spid="_x0000_s87076"/>
                </a:ext>
                <a:ext uri="{FF2B5EF4-FFF2-40B4-BE49-F238E27FC236}">
                  <a16:creationId xmlns:a16="http://schemas.microsoft.com/office/drawing/2014/main" id="{00000000-0008-0000-0200-00002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87077" name="Button 37" hidden="1">
              <a:extLst>
                <a:ext uri="{63B3BB69-23CF-44E3-9099-C40C66FF867C}">
                  <a14:compatExt spid="_x0000_s87077"/>
                </a:ext>
                <a:ext uri="{FF2B5EF4-FFF2-40B4-BE49-F238E27FC236}">
                  <a16:creationId xmlns:a16="http://schemas.microsoft.com/office/drawing/2014/main" id="{00000000-0008-0000-0200-00002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87078" name="Button 38" hidden="1">
              <a:extLst>
                <a:ext uri="{63B3BB69-23CF-44E3-9099-C40C66FF867C}">
                  <a14:compatExt spid="_x0000_s87078"/>
                </a:ext>
                <a:ext uri="{FF2B5EF4-FFF2-40B4-BE49-F238E27FC236}">
                  <a16:creationId xmlns:a16="http://schemas.microsoft.com/office/drawing/2014/main" id="{00000000-0008-0000-0200-00002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87079" name="Button 39" hidden="1">
              <a:extLst>
                <a:ext uri="{63B3BB69-23CF-44E3-9099-C40C66FF867C}">
                  <a14:compatExt spid="_x0000_s87079"/>
                </a:ext>
                <a:ext uri="{FF2B5EF4-FFF2-40B4-BE49-F238E27FC236}">
                  <a16:creationId xmlns:a16="http://schemas.microsoft.com/office/drawing/2014/main" id="{00000000-0008-0000-0200-00002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87080" name="Button 40" hidden="1">
              <a:extLst>
                <a:ext uri="{63B3BB69-23CF-44E3-9099-C40C66FF867C}">
                  <a14:compatExt spid="_x0000_s87080"/>
                </a:ext>
                <a:ext uri="{FF2B5EF4-FFF2-40B4-BE49-F238E27FC236}">
                  <a16:creationId xmlns:a16="http://schemas.microsoft.com/office/drawing/2014/main" id="{00000000-0008-0000-0200-00002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87081" name="Button 41" hidden="1">
              <a:extLst>
                <a:ext uri="{63B3BB69-23CF-44E3-9099-C40C66FF867C}">
                  <a14:compatExt spid="_x0000_s87081"/>
                </a:ext>
                <a:ext uri="{FF2B5EF4-FFF2-40B4-BE49-F238E27FC236}">
                  <a16:creationId xmlns:a16="http://schemas.microsoft.com/office/drawing/2014/main" id="{00000000-0008-0000-0200-00002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87082" name="Button 42" hidden="1">
              <a:extLst>
                <a:ext uri="{63B3BB69-23CF-44E3-9099-C40C66FF867C}">
                  <a14:compatExt spid="_x0000_s87082"/>
                </a:ext>
                <a:ext uri="{FF2B5EF4-FFF2-40B4-BE49-F238E27FC236}">
                  <a16:creationId xmlns:a16="http://schemas.microsoft.com/office/drawing/2014/main" id="{00000000-0008-0000-0200-00002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87083" name="Button 43" hidden="1">
              <a:extLst>
                <a:ext uri="{63B3BB69-23CF-44E3-9099-C40C66FF867C}">
                  <a14:compatExt spid="_x0000_s87083"/>
                </a:ext>
                <a:ext uri="{FF2B5EF4-FFF2-40B4-BE49-F238E27FC236}">
                  <a16:creationId xmlns:a16="http://schemas.microsoft.com/office/drawing/2014/main" id="{00000000-0008-0000-0200-00002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87084" name="Button 44" hidden="1">
              <a:extLst>
                <a:ext uri="{63B3BB69-23CF-44E3-9099-C40C66FF867C}">
                  <a14:compatExt spid="_x0000_s87084"/>
                </a:ext>
                <a:ext uri="{FF2B5EF4-FFF2-40B4-BE49-F238E27FC236}">
                  <a16:creationId xmlns:a16="http://schemas.microsoft.com/office/drawing/2014/main" id="{00000000-0008-0000-0200-00002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87085" name="Button 45" hidden="1">
              <a:extLst>
                <a:ext uri="{63B3BB69-23CF-44E3-9099-C40C66FF867C}">
                  <a14:compatExt spid="_x0000_s87085"/>
                </a:ext>
                <a:ext uri="{FF2B5EF4-FFF2-40B4-BE49-F238E27FC236}">
                  <a16:creationId xmlns:a16="http://schemas.microsoft.com/office/drawing/2014/main" id="{00000000-0008-0000-0200-00002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87086" name="Button 46" hidden="1">
              <a:extLst>
                <a:ext uri="{63B3BB69-23CF-44E3-9099-C40C66FF867C}">
                  <a14:compatExt spid="_x0000_s87086"/>
                </a:ext>
                <a:ext uri="{FF2B5EF4-FFF2-40B4-BE49-F238E27FC236}">
                  <a16:creationId xmlns:a16="http://schemas.microsoft.com/office/drawing/2014/main" id="{00000000-0008-0000-0200-00002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87087" name="Button 47" hidden="1">
              <a:extLst>
                <a:ext uri="{63B3BB69-23CF-44E3-9099-C40C66FF867C}">
                  <a14:compatExt spid="_x0000_s87087"/>
                </a:ext>
                <a:ext uri="{FF2B5EF4-FFF2-40B4-BE49-F238E27FC236}">
                  <a16:creationId xmlns:a16="http://schemas.microsoft.com/office/drawing/2014/main" id="{00000000-0008-0000-0200-00002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87088" name="Button 48" hidden="1">
              <a:extLst>
                <a:ext uri="{63B3BB69-23CF-44E3-9099-C40C66FF867C}">
                  <a14:compatExt spid="_x0000_s87088"/>
                </a:ext>
                <a:ext uri="{FF2B5EF4-FFF2-40B4-BE49-F238E27FC236}">
                  <a16:creationId xmlns:a16="http://schemas.microsoft.com/office/drawing/2014/main" id="{00000000-0008-0000-0200-00003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87089" name="Button 49" hidden="1">
              <a:extLst>
                <a:ext uri="{63B3BB69-23CF-44E3-9099-C40C66FF867C}">
                  <a14:compatExt spid="_x0000_s87089"/>
                </a:ext>
                <a:ext uri="{FF2B5EF4-FFF2-40B4-BE49-F238E27FC236}">
                  <a16:creationId xmlns:a16="http://schemas.microsoft.com/office/drawing/2014/main" id="{00000000-0008-0000-0200-00003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87090" name="Button 50" hidden="1">
              <a:extLst>
                <a:ext uri="{63B3BB69-23CF-44E3-9099-C40C66FF867C}">
                  <a14:compatExt spid="_x0000_s87090"/>
                </a:ext>
                <a:ext uri="{FF2B5EF4-FFF2-40B4-BE49-F238E27FC236}">
                  <a16:creationId xmlns:a16="http://schemas.microsoft.com/office/drawing/2014/main" id="{00000000-0008-0000-0200-00003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87091" name="Button 51" hidden="1">
              <a:extLst>
                <a:ext uri="{63B3BB69-23CF-44E3-9099-C40C66FF867C}">
                  <a14:compatExt spid="_x0000_s87091"/>
                </a:ext>
                <a:ext uri="{FF2B5EF4-FFF2-40B4-BE49-F238E27FC236}">
                  <a16:creationId xmlns:a16="http://schemas.microsoft.com/office/drawing/2014/main" id="{00000000-0008-0000-0200-00003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87092" name="Button 52" hidden="1">
              <a:extLst>
                <a:ext uri="{63B3BB69-23CF-44E3-9099-C40C66FF867C}">
                  <a14:compatExt spid="_x0000_s87092"/>
                </a:ext>
                <a:ext uri="{FF2B5EF4-FFF2-40B4-BE49-F238E27FC236}">
                  <a16:creationId xmlns:a16="http://schemas.microsoft.com/office/drawing/2014/main" id="{00000000-0008-0000-0200-00003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87093" name="Button 53" hidden="1">
              <a:extLst>
                <a:ext uri="{63B3BB69-23CF-44E3-9099-C40C66FF867C}">
                  <a14:compatExt spid="_x0000_s87093"/>
                </a:ext>
                <a:ext uri="{FF2B5EF4-FFF2-40B4-BE49-F238E27FC236}">
                  <a16:creationId xmlns:a16="http://schemas.microsoft.com/office/drawing/2014/main" id="{00000000-0008-0000-0200-00003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87094" name="Button 54" hidden="1">
              <a:extLst>
                <a:ext uri="{63B3BB69-23CF-44E3-9099-C40C66FF867C}">
                  <a14:compatExt spid="_x0000_s87094"/>
                </a:ext>
                <a:ext uri="{FF2B5EF4-FFF2-40B4-BE49-F238E27FC236}">
                  <a16:creationId xmlns:a16="http://schemas.microsoft.com/office/drawing/2014/main" id="{00000000-0008-0000-0200-00003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87095" name="Button 55" hidden="1">
              <a:extLst>
                <a:ext uri="{63B3BB69-23CF-44E3-9099-C40C66FF867C}">
                  <a14:compatExt spid="_x0000_s87095"/>
                </a:ext>
                <a:ext uri="{FF2B5EF4-FFF2-40B4-BE49-F238E27FC236}">
                  <a16:creationId xmlns:a16="http://schemas.microsoft.com/office/drawing/2014/main" id="{00000000-0008-0000-0200-00003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87096" name="Button 56" hidden="1">
              <a:extLst>
                <a:ext uri="{63B3BB69-23CF-44E3-9099-C40C66FF867C}">
                  <a14:compatExt spid="_x0000_s87096"/>
                </a:ext>
                <a:ext uri="{FF2B5EF4-FFF2-40B4-BE49-F238E27FC236}">
                  <a16:creationId xmlns:a16="http://schemas.microsoft.com/office/drawing/2014/main" id="{00000000-0008-0000-0200-00003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87097" name="Button 57" hidden="1">
              <a:extLst>
                <a:ext uri="{63B3BB69-23CF-44E3-9099-C40C66FF867C}">
                  <a14:compatExt spid="_x0000_s87097"/>
                </a:ext>
                <a:ext uri="{FF2B5EF4-FFF2-40B4-BE49-F238E27FC236}">
                  <a16:creationId xmlns:a16="http://schemas.microsoft.com/office/drawing/2014/main" id="{00000000-0008-0000-0200-00003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87098" name="Button 58" hidden="1">
              <a:extLst>
                <a:ext uri="{63B3BB69-23CF-44E3-9099-C40C66FF867C}">
                  <a14:compatExt spid="_x0000_s87098"/>
                </a:ext>
                <a:ext uri="{FF2B5EF4-FFF2-40B4-BE49-F238E27FC236}">
                  <a16:creationId xmlns:a16="http://schemas.microsoft.com/office/drawing/2014/main" id="{00000000-0008-0000-0200-00003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87099" name="Button 59" hidden="1">
              <a:extLst>
                <a:ext uri="{63B3BB69-23CF-44E3-9099-C40C66FF867C}">
                  <a14:compatExt spid="_x0000_s87099"/>
                </a:ext>
                <a:ext uri="{FF2B5EF4-FFF2-40B4-BE49-F238E27FC236}">
                  <a16:creationId xmlns:a16="http://schemas.microsoft.com/office/drawing/2014/main" id="{00000000-0008-0000-0200-00003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87100" name="Button 60" hidden="1">
              <a:extLst>
                <a:ext uri="{63B3BB69-23CF-44E3-9099-C40C66FF867C}">
                  <a14:compatExt spid="_x0000_s87100"/>
                </a:ext>
                <a:ext uri="{FF2B5EF4-FFF2-40B4-BE49-F238E27FC236}">
                  <a16:creationId xmlns:a16="http://schemas.microsoft.com/office/drawing/2014/main" id="{00000000-0008-0000-0200-00003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87101" name="Button 61" hidden="1">
              <a:extLst>
                <a:ext uri="{63B3BB69-23CF-44E3-9099-C40C66FF867C}">
                  <a14:compatExt spid="_x0000_s87101"/>
                </a:ext>
                <a:ext uri="{FF2B5EF4-FFF2-40B4-BE49-F238E27FC236}">
                  <a16:creationId xmlns:a16="http://schemas.microsoft.com/office/drawing/2014/main" id="{00000000-0008-0000-0200-00003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87102" name="Button 62" hidden="1">
              <a:extLst>
                <a:ext uri="{63B3BB69-23CF-44E3-9099-C40C66FF867C}">
                  <a14:compatExt spid="_x0000_s87102"/>
                </a:ext>
                <a:ext uri="{FF2B5EF4-FFF2-40B4-BE49-F238E27FC236}">
                  <a16:creationId xmlns:a16="http://schemas.microsoft.com/office/drawing/2014/main" id="{00000000-0008-0000-0200-00003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87103" name="Button 63" hidden="1">
              <a:extLst>
                <a:ext uri="{63B3BB69-23CF-44E3-9099-C40C66FF867C}">
                  <a14:compatExt spid="_x0000_s87103"/>
                </a:ext>
                <a:ext uri="{FF2B5EF4-FFF2-40B4-BE49-F238E27FC236}">
                  <a16:creationId xmlns:a16="http://schemas.microsoft.com/office/drawing/2014/main" id="{00000000-0008-0000-0200-00003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87104" name="Button 64" hidden="1">
              <a:extLst>
                <a:ext uri="{63B3BB69-23CF-44E3-9099-C40C66FF867C}">
                  <a14:compatExt spid="_x0000_s87104"/>
                </a:ext>
                <a:ext uri="{FF2B5EF4-FFF2-40B4-BE49-F238E27FC236}">
                  <a16:creationId xmlns:a16="http://schemas.microsoft.com/office/drawing/2014/main" id="{00000000-0008-0000-0200-00004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87105" name="Button 65" hidden="1">
              <a:extLst>
                <a:ext uri="{63B3BB69-23CF-44E3-9099-C40C66FF867C}">
                  <a14:compatExt spid="_x0000_s87105"/>
                </a:ext>
                <a:ext uri="{FF2B5EF4-FFF2-40B4-BE49-F238E27FC236}">
                  <a16:creationId xmlns:a16="http://schemas.microsoft.com/office/drawing/2014/main" id="{00000000-0008-0000-0200-00004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87106" name="Button 66" hidden="1">
              <a:extLst>
                <a:ext uri="{63B3BB69-23CF-44E3-9099-C40C66FF867C}">
                  <a14:compatExt spid="_x0000_s87106"/>
                </a:ext>
                <a:ext uri="{FF2B5EF4-FFF2-40B4-BE49-F238E27FC236}">
                  <a16:creationId xmlns:a16="http://schemas.microsoft.com/office/drawing/2014/main" id="{00000000-0008-0000-0200-00004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87107" name="Button 67" hidden="1">
              <a:extLst>
                <a:ext uri="{63B3BB69-23CF-44E3-9099-C40C66FF867C}">
                  <a14:compatExt spid="_x0000_s87107"/>
                </a:ext>
                <a:ext uri="{FF2B5EF4-FFF2-40B4-BE49-F238E27FC236}">
                  <a16:creationId xmlns:a16="http://schemas.microsoft.com/office/drawing/2014/main" id="{00000000-0008-0000-0200-00004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87108" name="Button 68" hidden="1">
              <a:extLst>
                <a:ext uri="{63B3BB69-23CF-44E3-9099-C40C66FF867C}">
                  <a14:compatExt spid="_x0000_s87108"/>
                </a:ext>
                <a:ext uri="{FF2B5EF4-FFF2-40B4-BE49-F238E27FC236}">
                  <a16:creationId xmlns:a16="http://schemas.microsoft.com/office/drawing/2014/main" id="{00000000-0008-0000-0200-00004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87109" name="Button 69" hidden="1">
              <a:extLst>
                <a:ext uri="{63B3BB69-23CF-44E3-9099-C40C66FF867C}">
                  <a14:compatExt spid="_x0000_s87109"/>
                </a:ext>
                <a:ext uri="{FF2B5EF4-FFF2-40B4-BE49-F238E27FC236}">
                  <a16:creationId xmlns:a16="http://schemas.microsoft.com/office/drawing/2014/main" id="{00000000-0008-0000-0200-00004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87110" name="Button 70" hidden="1">
              <a:extLst>
                <a:ext uri="{63B3BB69-23CF-44E3-9099-C40C66FF867C}">
                  <a14:compatExt spid="_x0000_s87110"/>
                </a:ext>
                <a:ext uri="{FF2B5EF4-FFF2-40B4-BE49-F238E27FC236}">
                  <a16:creationId xmlns:a16="http://schemas.microsoft.com/office/drawing/2014/main" id="{00000000-0008-0000-0200-00004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87111" name="Button 71" hidden="1">
              <a:extLst>
                <a:ext uri="{63B3BB69-23CF-44E3-9099-C40C66FF867C}">
                  <a14:compatExt spid="_x0000_s87111"/>
                </a:ext>
                <a:ext uri="{FF2B5EF4-FFF2-40B4-BE49-F238E27FC236}">
                  <a16:creationId xmlns:a16="http://schemas.microsoft.com/office/drawing/2014/main" id="{00000000-0008-0000-0200-00004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87112" name="Button 72" hidden="1">
              <a:extLst>
                <a:ext uri="{63B3BB69-23CF-44E3-9099-C40C66FF867C}">
                  <a14:compatExt spid="_x0000_s87112"/>
                </a:ext>
                <a:ext uri="{FF2B5EF4-FFF2-40B4-BE49-F238E27FC236}">
                  <a16:creationId xmlns:a16="http://schemas.microsoft.com/office/drawing/2014/main" id="{00000000-0008-0000-0200-00004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87113" name="Button 73" hidden="1">
              <a:extLst>
                <a:ext uri="{63B3BB69-23CF-44E3-9099-C40C66FF867C}">
                  <a14:compatExt spid="_x0000_s87113"/>
                </a:ext>
                <a:ext uri="{FF2B5EF4-FFF2-40B4-BE49-F238E27FC236}">
                  <a16:creationId xmlns:a16="http://schemas.microsoft.com/office/drawing/2014/main" id="{00000000-0008-0000-0200-00004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87114" name="Button 74" hidden="1">
              <a:extLst>
                <a:ext uri="{63B3BB69-23CF-44E3-9099-C40C66FF867C}">
                  <a14:compatExt spid="_x0000_s87114"/>
                </a:ext>
                <a:ext uri="{FF2B5EF4-FFF2-40B4-BE49-F238E27FC236}">
                  <a16:creationId xmlns:a16="http://schemas.microsoft.com/office/drawing/2014/main" id="{00000000-0008-0000-0200-00004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87115" name="Button 75" hidden="1">
              <a:extLst>
                <a:ext uri="{63B3BB69-23CF-44E3-9099-C40C66FF867C}">
                  <a14:compatExt spid="_x0000_s87115"/>
                </a:ext>
                <a:ext uri="{FF2B5EF4-FFF2-40B4-BE49-F238E27FC236}">
                  <a16:creationId xmlns:a16="http://schemas.microsoft.com/office/drawing/2014/main" id="{00000000-0008-0000-0200-00004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87116" name="Button 76" hidden="1">
              <a:extLst>
                <a:ext uri="{63B3BB69-23CF-44E3-9099-C40C66FF867C}">
                  <a14:compatExt spid="_x0000_s87116"/>
                </a:ext>
                <a:ext uri="{FF2B5EF4-FFF2-40B4-BE49-F238E27FC236}">
                  <a16:creationId xmlns:a16="http://schemas.microsoft.com/office/drawing/2014/main" id="{00000000-0008-0000-0200-00004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87117" name="Button 77" hidden="1">
              <a:extLst>
                <a:ext uri="{63B3BB69-23CF-44E3-9099-C40C66FF867C}">
                  <a14:compatExt spid="_x0000_s87117"/>
                </a:ext>
                <a:ext uri="{FF2B5EF4-FFF2-40B4-BE49-F238E27FC236}">
                  <a16:creationId xmlns:a16="http://schemas.microsoft.com/office/drawing/2014/main" id="{00000000-0008-0000-0200-00004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87118" name="Button 78" hidden="1">
              <a:extLst>
                <a:ext uri="{63B3BB69-23CF-44E3-9099-C40C66FF867C}">
                  <a14:compatExt spid="_x0000_s87118"/>
                </a:ext>
                <a:ext uri="{FF2B5EF4-FFF2-40B4-BE49-F238E27FC236}">
                  <a16:creationId xmlns:a16="http://schemas.microsoft.com/office/drawing/2014/main" id="{00000000-0008-0000-0200-00004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87119" name="Button 79" hidden="1">
              <a:extLst>
                <a:ext uri="{63B3BB69-23CF-44E3-9099-C40C66FF867C}">
                  <a14:compatExt spid="_x0000_s87119"/>
                </a:ext>
                <a:ext uri="{FF2B5EF4-FFF2-40B4-BE49-F238E27FC236}">
                  <a16:creationId xmlns:a16="http://schemas.microsoft.com/office/drawing/2014/main" id="{00000000-0008-0000-0200-00004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87120" name="Button 80" hidden="1">
              <a:extLst>
                <a:ext uri="{63B3BB69-23CF-44E3-9099-C40C66FF867C}">
                  <a14:compatExt spid="_x0000_s87120"/>
                </a:ext>
                <a:ext uri="{FF2B5EF4-FFF2-40B4-BE49-F238E27FC236}">
                  <a16:creationId xmlns:a16="http://schemas.microsoft.com/office/drawing/2014/main" id="{00000000-0008-0000-0200-00005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87121" name="Button 81" hidden="1">
              <a:extLst>
                <a:ext uri="{63B3BB69-23CF-44E3-9099-C40C66FF867C}">
                  <a14:compatExt spid="_x0000_s87121"/>
                </a:ext>
                <a:ext uri="{FF2B5EF4-FFF2-40B4-BE49-F238E27FC236}">
                  <a16:creationId xmlns:a16="http://schemas.microsoft.com/office/drawing/2014/main" id="{00000000-0008-0000-0200-00005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87122" name="Button 82" hidden="1">
              <a:extLst>
                <a:ext uri="{63B3BB69-23CF-44E3-9099-C40C66FF867C}">
                  <a14:compatExt spid="_x0000_s87122"/>
                </a:ext>
                <a:ext uri="{FF2B5EF4-FFF2-40B4-BE49-F238E27FC236}">
                  <a16:creationId xmlns:a16="http://schemas.microsoft.com/office/drawing/2014/main" id="{00000000-0008-0000-0200-00005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87123" name="Button 83" hidden="1">
              <a:extLst>
                <a:ext uri="{63B3BB69-23CF-44E3-9099-C40C66FF867C}">
                  <a14:compatExt spid="_x0000_s87123"/>
                </a:ext>
                <a:ext uri="{FF2B5EF4-FFF2-40B4-BE49-F238E27FC236}">
                  <a16:creationId xmlns:a16="http://schemas.microsoft.com/office/drawing/2014/main" id="{00000000-0008-0000-0200-00005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87124" name="Button 84" hidden="1">
              <a:extLst>
                <a:ext uri="{63B3BB69-23CF-44E3-9099-C40C66FF867C}">
                  <a14:compatExt spid="_x0000_s87124"/>
                </a:ext>
                <a:ext uri="{FF2B5EF4-FFF2-40B4-BE49-F238E27FC236}">
                  <a16:creationId xmlns:a16="http://schemas.microsoft.com/office/drawing/2014/main" id="{00000000-0008-0000-0200-00005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87125" name="Button 85" hidden="1">
              <a:extLst>
                <a:ext uri="{63B3BB69-23CF-44E3-9099-C40C66FF867C}">
                  <a14:compatExt spid="_x0000_s87125"/>
                </a:ext>
                <a:ext uri="{FF2B5EF4-FFF2-40B4-BE49-F238E27FC236}">
                  <a16:creationId xmlns:a16="http://schemas.microsoft.com/office/drawing/2014/main" id="{00000000-0008-0000-0200-00005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87126" name="Button 86" hidden="1">
              <a:extLst>
                <a:ext uri="{63B3BB69-23CF-44E3-9099-C40C66FF867C}">
                  <a14:compatExt spid="_x0000_s87126"/>
                </a:ext>
                <a:ext uri="{FF2B5EF4-FFF2-40B4-BE49-F238E27FC236}">
                  <a16:creationId xmlns:a16="http://schemas.microsoft.com/office/drawing/2014/main" id="{00000000-0008-0000-0200-00005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87127" name="Button 87" hidden="1">
              <a:extLst>
                <a:ext uri="{63B3BB69-23CF-44E3-9099-C40C66FF867C}">
                  <a14:compatExt spid="_x0000_s87127"/>
                </a:ext>
                <a:ext uri="{FF2B5EF4-FFF2-40B4-BE49-F238E27FC236}">
                  <a16:creationId xmlns:a16="http://schemas.microsoft.com/office/drawing/2014/main" id="{00000000-0008-0000-0200-00005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87128" name="Button 88" hidden="1">
              <a:extLst>
                <a:ext uri="{63B3BB69-23CF-44E3-9099-C40C66FF867C}">
                  <a14:compatExt spid="_x0000_s87128"/>
                </a:ext>
                <a:ext uri="{FF2B5EF4-FFF2-40B4-BE49-F238E27FC236}">
                  <a16:creationId xmlns:a16="http://schemas.microsoft.com/office/drawing/2014/main" id="{00000000-0008-0000-0200-00005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87129" name="Button 89" hidden="1">
              <a:extLst>
                <a:ext uri="{63B3BB69-23CF-44E3-9099-C40C66FF867C}">
                  <a14:compatExt spid="_x0000_s87129"/>
                </a:ext>
                <a:ext uri="{FF2B5EF4-FFF2-40B4-BE49-F238E27FC236}">
                  <a16:creationId xmlns:a16="http://schemas.microsoft.com/office/drawing/2014/main" id="{00000000-0008-0000-0200-00005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87130" name="Button 90" hidden="1">
              <a:extLst>
                <a:ext uri="{63B3BB69-23CF-44E3-9099-C40C66FF867C}">
                  <a14:compatExt spid="_x0000_s87130"/>
                </a:ext>
                <a:ext uri="{FF2B5EF4-FFF2-40B4-BE49-F238E27FC236}">
                  <a16:creationId xmlns:a16="http://schemas.microsoft.com/office/drawing/2014/main" id="{00000000-0008-0000-0200-00005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87131" name="Button 91" hidden="1">
              <a:extLst>
                <a:ext uri="{63B3BB69-23CF-44E3-9099-C40C66FF867C}">
                  <a14:compatExt spid="_x0000_s87131"/>
                </a:ext>
                <a:ext uri="{FF2B5EF4-FFF2-40B4-BE49-F238E27FC236}">
                  <a16:creationId xmlns:a16="http://schemas.microsoft.com/office/drawing/2014/main" id="{00000000-0008-0000-0200-00005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87132" name="Button 92" hidden="1">
              <a:extLst>
                <a:ext uri="{63B3BB69-23CF-44E3-9099-C40C66FF867C}">
                  <a14:compatExt spid="_x0000_s87132"/>
                </a:ext>
                <a:ext uri="{FF2B5EF4-FFF2-40B4-BE49-F238E27FC236}">
                  <a16:creationId xmlns:a16="http://schemas.microsoft.com/office/drawing/2014/main" id="{00000000-0008-0000-0200-00005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87133" name="Button 93" hidden="1">
              <a:extLst>
                <a:ext uri="{63B3BB69-23CF-44E3-9099-C40C66FF867C}">
                  <a14:compatExt spid="_x0000_s87133"/>
                </a:ext>
                <a:ext uri="{FF2B5EF4-FFF2-40B4-BE49-F238E27FC236}">
                  <a16:creationId xmlns:a16="http://schemas.microsoft.com/office/drawing/2014/main" id="{00000000-0008-0000-0200-00005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87134" name="Button 94" hidden="1">
              <a:extLst>
                <a:ext uri="{63B3BB69-23CF-44E3-9099-C40C66FF867C}">
                  <a14:compatExt spid="_x0000_s87134"/>
                </a:ext>
                <a:ext uri="{FF2B5EF4-FFF2-40B4-BE49-F238E27FC236}">
                  <a16:creationId xmlns:a16="http://schemas.microsoft.com/office/drawing/2014/main" id="{00000000-0008-0000-0200-00005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87135" name="Button 95" hidden="1">
              <a:extLst>
                <a:ext uri="{63B3BB69-23CF-44E3-9099-C40C66FF867C}">
                  <a14:compatExt spid="_x0000_s87135"/>
                </a:ext>
                <a:ext uri="{FF2B5EF4-FFF2-40B4-BE49-F238E27FC236}">
                  <a16:creationId xmlns:a16="http://schemas.microsoft.com/office/drawing/2014/main" id="{00000000-0008-0000-0200-00005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87136" name="Button 96" hidden="1">
              <a:extLst>
                <a:ext uri="{63B3BB69-23CF-44E3-9099-C40C66FF867C}">
                  <a14:compatExt spid="_x0000_s87136"/>
                </a:ext>
                <a:ext uri="{FF2B5EF4-FFF2-40B4-BE49-F238E27FC236}">
                  <a16:creationId xmlns:a16="http://schemas.microsoft.com/office/drawing/2014/main" id="{00000000-0008-0000-0200-00006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87137" name="Button 97" hidden="1">
              <a:extLst>
                <a:ext uri="{63B3BB69-23CF-44E3-9099-C40C66FF867C}">
                  <a14:compatExt spid="_x0000_s87137"/>
                </a:ext>
                <a:ext uri="{FF2B5EF4-FFF2-40B4-BE49-F238E27FC236}">
                  <a16:creationId xmlns:a16="http://schemas.microsoft.com/office/drawing/2014/main" id="{00000000-0008-0000-0200-00006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87138" name="Button 98" hidden="1">
              <a:extLst>
                <a:ext uri="{63B3BB69-23CF-44E3-9099-C40C66FF867C}">
                  <a14:compatExt spid="_x0000_s87138"/>
                </a:ext>
                <a:ext uri="{FF2B5EF4-FFF2-40B4-BE49-F238E27FC236}">
                  <a16:creationId xmlns:a16="http://schemas.microsoft.com/office/drawing/2014/main" id="{00000000-0008-0000-0200-00006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87139" name="Button 99" hidden="1">
              <a:extLst>
                <a:ext uri="{63B3BB69-23CF-44E3-9099-C40C66FF867C}">
                  <a14:compatExt spid="_x0000_s87139"/>
                </a:ext>
                <a:ext uri="{FF2B5EF4-FFF2-40B4-BE49-F238E27FC236}">
                  <a16:creationId xmlns:a16="http://schemas.microsoft.com/office/drawing/2014/main" id="{00000000-0008-0000-0200-00006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87140" name="Button 100" hidden="1">
              <a:extLst>
                <a:ext uri="{63B3BB69-23CF-44E3-9099-C40C66FF867C}">
                  <a14:compatExt spid="_x0000_s87140"/>
                </a:ext>
                <a:ext uri="{FF2B5EF4-FFF2-40B4-BE49-F238E27FC236}">
                  <a16:creationId xmlns:a16="http://schemas.microsoft.com/office/drawing/2014/main" id="{00000000-0008-0000-0200-00006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87141" name="Button 101" hidden="1">
              <a:extLst>
                <a:ext uri="{63B3BB69-23CF-44E3-9099-C40C66FF867C}">
                  <a14:compatExt spid="_x0000_s87141"/>
                </a:ext>
                <a:ext uri="{FF2B5EF4-FFF2-40B4-BE49-F238E27FC236}">
                  <a16:creationId xmlns:a16="http://schemas.microsoft.com/office/drawing/2014/main" id="{00000000-0008-0000-0200-00006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87142" name="Button 102" hidden="1">
              <a:extLst>
                <a:ext uri="{63B3BB69-23CF-44E3-9099-C40C66FF867C}">
                  <a14:compatExt spid="_x0000_s87142"/>
                </a:ext>
                <a:ext uri="{FF2B5EF4-FFF2-40B4-BE49-F238E27FC236}">
                  <a16:creationId xmlns:a16="http://schemas.microsoft.com/office/drawing/2014/main" id="{00000000-0008-0000-0200-00006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87143" name="Button 103" hidden="1">
              <a:extLst>
                <a:ext uri="{63B3BB69-23CF-44E3-9099-C40C66FF867C}">
                  <a14:compatExt spid="_x0000_s87143"/>
                </a:ext>
                <a:ext uri="{FF2B5EF4-FFF2-40B4-BE49-F238E27FC236}">
                  <a16:creationId xmlns:a16="http://schemas.microsoft.com/office/drawing/2014/main" id="{00000000-0008-0000-0200-00006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87144" name="Button 104" hidden="1">
              <a:extLst>
                <a:ext uri="{63B3BB69-23CF-44E3-9099-C40C66FF867C}">
                  <a14:compatExt spid="_x0000_s87144"/>
                </a:ext>
                <a:ext uri="{FF2B5EF4-FFF2-40B4-BE49-F238E27FC236}">
                  <a16:creationId xmlns:a16="http://schemas.microsoft.com/office/drawing/2014/main" id="{00000000-0008-0000-0200-00006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87145" name="Button 105" hidden="1">
              <a:extLst>
                <a:ext uri="{63B3BB69-23CF-44E3-9099-C40C66FF867C}">
                  <a14:compatExt spid="_x0000_s87145"/>
                </a:ext>
                <a:ext uri="{FF2B5EF4-FFF2-40B4-BE49-F238E27FC236}">
                  <a16:creationId xmlns:a16="http://schemas.microsoft.com/office/drawing/2014/main" id="{00000000-0008-0000-0200-00006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87146" name="Button 106" hidden="1">
              <a:extLst>
                <a:ext uri="{63B3BB69-23CF-44E3-9099-C40C66FF867C}">
                  <a14:compatExt spid="_x0000_s87146"/>
                </a:ext>
                <a:ext uri="{FF2B5EF4-FFF2-40B4-BE49-F238E27FC236}">
                  <a16:creationId xmlns:a16="http://schemas.microsoft.com/office/drawing/2014/main" id="{00000000-0008-0000-0200-00006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87147" name="Button 107" hidden="1">
              <a:extLst>
                <a:ext uri="{63B3BB69-23CF-44E3-9099-C40C66FF867C}">
                  <a14:compatExt spid="_x0000_s87147"/>
                </a:ext>
                <a:ext uri="{FF2B5EF4-FFF2-40B4-BE49-F238E27FC236}">
                  <a16:creationId xmlns:a16="http://schemas.microsoft.com/office/drawing/2014/main" id="{00000000-0008-0000-0200-00006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87148" name="Button 108" hidden="1">
              <a:extLst>
                <a:ext uri="{63B3BB69-23CF-44E3-9099-C40C66FF867C}">
                  <a14:compatExt spid="_x0000_s87148"/>
                </a:ext>
                <a:ext uri="{FF2B5EF4-FFF2-40B4-BE49-F238E27FC236}">
                  <a16:creationId xmlns:a16="http://schemas.microsoft.com/office/drawing/2014/main" id="{00000000-0008-0000-0200-00006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87149" name="Button 109" hidden="1">
              <a:extLst>
                <a:ext uri="{63B3BB69-23CF-44E3-9099-C40C66FF867C}">
                  <a14:compatExt spid="_x0000_s87149"/>
                </a:ext>
                <a:ext uri="{FF2B5EF4-FFF2-40B4-BE49-F238E27FC236}">
                  <a16:creationId xmlns:a16="http://schemas.microsoft.com/office/drawing/2014/main" id="{00000000-0008-0000-0200-00006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87150" name="Button 110" hidden="1">
              <a:extLst>
                <a:ext uri="{63B3BB69-23CF-44E3-9099-C40C66FF867C}">
                  <a14:compatExt spid="_x0000_s87150"/>
                </a:ext>
                <a:ext uri="{FF2B5EF4-FFF2-40B4-BE49-F238E27FC236}">
                  <a16:creationId xmlns:a16="http://schemas.microsoft.com/office/drawing/2014/main" id="{00000000-0008-0000-0200-00006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87151" name="Button 111" hidden="1">
              <a:extLst>
                <a:ext uri="{63B3BB69-23CF-44E3-9099-C40C66FF867C}">
                  <a14:compatExt spid="_x0000_s87151"/>
                </a:ext>
                <a:ext uri="{FF2B5EF4-FFF2-40B4-BE49-F238E27FC236}">
                  <a16:creationId xmlns:a16="http://schemas.microsoft.com/office/drawing/2014/main" id="{00000000-0008-0000-0200-00006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87152" name="Button 112" hidden="1">
              <a:extLst>
                <a:ext uri="{63B3BB69-23CF-44E3-9099-C40C66FF867C}">
                  <a14:compatExt spid="_x0000_s87152"/>
                </a:ext>
                <a:ext uri="{FF2B5EF4-FFF2-40B4-BE49-F238E27FC236}">
                  <a16:creationId xmlns:a16="http://schemas.microsoft.com/office/drawing/2014/main" id="{00000000-0008-0000-0200-00007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87153" name="Button 113" hidden="1">
              <a:extLst>
                <a:ext uri="{63B3BB69-23CF-44E3-9099-C40C66FF867C}">
                  <a14:compatExt spid="_x0000_s87153"/>
                </a:ext>
                <a:ext uri="{FF2B5EF4-FFF2-40B4-BE49-F238E27FC236}">
                  <a16:creationId xmlns:a16="http://schemas.microsoft.com/office/drawing/2014/main" id="{00000000-0008-0000-0200-00007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87154" name="Button 114" hidden="1">
              <a:extLst>
                <a:ext uri="{63B3BB69-23CF-44E3-9099-C40C66FF867C}">
                  <a14:compatExt spid="_x0000_s87154"/>
                </a:ext>
                <a:ext uri="{FF2B5EF4-FFF2-40B4-BE49-F238E27FC236}">
                  <a16:creationId xmlns:a16="http://schemas.microsoft.com/office/drawing/2014/main" id="{00000000-0008-0000-0200-00007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87155" name="Button 115" hidden="1">
              <a:extLst>
                <a:ext uri="{63B3BB69-23CF-44E3-9099-C40C66FF867C}">
                  <a14:compatExt spid="_x0000_s87155"/>
                </a:ext>
                <a:ext uri="{FF2B5EF4-FFF2-40B4-BE49-F238E27FC236}">
                  <a16:creationId xmlns:a16="http://schemas.microsoft.com/office/drawing/2014/main" id="{00000000-0008-0000-0200-00007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87156" name="Button 116" hidden="1">
              <a:extLst>
                <a:ext uri="{63B3BB69-23CF-44E3-9099-C40C66FF867C}">
                  <a14:compatExt spid="_x0000_s87156"/>
                </a:ext>
                <a:ext uri="{FF2B5EF4-FFF2-40B4-BE49-F238E27FC236}">
                  <a16:creationId xmlns:a16="http://schemas.microsoft.com/office/drawing/2014/main" id="{00000000-0008-0000-0200-00007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87157" name="Button 117" hidden="1">
              <a:extLst>
                <a:ext uri="{63B3BB69-23CF-44E3-9099-C40C66FF867C}">
                  <a14:compatExt spid="_x0000_s87157"/>
                </a:ext>
                <a:ext uri="{FF2B5EF4-FFF2-40B4-BE49-F238E27FC236}">
                  <a16:creationId xmlns:a16="http://schemas.microsoft.com/office/drawing/2014/main" id="{00000000-0008-0000-0200-00007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87158" name="Button 118" hidden="1">
              <a:extLst>
                <a:ext uri="{63B3BB69-23CF-44E3-9099-C40C66FF867C}">
                  <a14:compatExt spid="_x0000_s87158"/>
                </a:ext>
                <a:ext uri="{FF2B5EF4-FFF2-40B4-BE49-F238E27FC236}">
                  <a16:creationId xmlns:a16="http://schemas.microsoft.com/office/drawing/2014/main" id="{00000000-0008-0000-0200-00007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87159" name="Button 119" hidden="1">
              <a:extLst>
                <a:ext uri="{63B3BB69-23CF-44E3-9099-C40C66FF867C}">
                  <a14:compatExt spid="_x0000_s87159"/>
                </a:ext>
                <a:ext uri="{FF2B5EF4-FFF2-40B4-BE49-F238E27FC236}">
                  <a16:creationId xmlns:a16="http://schemas.microsoft.com/office/drawing/2014/main" id="{00000000-0008-0000-0200-00007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87160" name="Button 120" hidden="1">
              <a:extLst>
                <a:ext uri="{63B3BB69-23CF-44E3-9099-C40C66FF867C}">
                  <a14:compatExt spid="_x0000_s87160"/>
                </a:ext>
                <a:ext uri="{FF2B5EF4-FFF2-40B4-BE49-F238E27FC236}">
                  <a16:creationId xmlns:a16="http://schemas.microsoft.com/office/drawing/2014/main" id="{00000000-0008-0000-0200-00007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87161" name="Button 121" hidden="1">
              <a:extLst>
                <a:ext uri="{63B3BB69-23CF-44E3-9099-C40C66FF867C}">
                  <a14:compatExt spid="_x0000_s87161"/>
                </a:ext>
                <a:ext uri="{FF2B5EF4-FFF2-40B4-BE49-F238E27FC236}">
                  <a16:creationId xmlns:a16="http://schemas.microsoft.com/office/drawing/2014/main" id="{00000000-0008-0000-0200-00007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87162" name="Button 122" hidden="1">
              <a:extLst>
                <a:ext uri="{63B3BB69-23CF-44E3-9099-C40C66FF867C}">
                  <a14:compatExt spid="_x0000_s87162"/>
                </a:ext>
                <a:ext uri="{FF2B5EF4-FFF2-40B4-BE49-F238E27FC236}">
                  <a16:creationId xmlns:a16="http://schemas.microsoft.com/office/drawing/2014/main" id="{00000000-0008-0000-0200-00007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87163" name="Button 123" hidden="1">
              <a:extLst>
                <a:ext uri="{63B3BB69-23CF-44E3-9099-C40C66FF867C}">
                  <a14:compatExt spid="_x0000_s87163"/>
                </a:ext>
                <a:ext uri="{FF2B5EF4-FFF2-40B4-BE49-F238E27FC236}">
                  <a16:creationId xmlns:a16="http://schemas.microsoft.com/office/drawing/2014/main" id="{00000000-0008-0000-0200-00007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87164" name="Button 124" hidden="1">
              <a:extLst>
                <a:ext uri="{63B3BB69-23CF-44E3-9099-C40C66FF867C}">
                  <a14:compatExt spid="_x0000_s87164"/>
                </a:ext>
                <a:ext uri="{FF2B5EF4-FFF2-40B4-BE49-F238E27FC236}">
                  <a16:creationId xmlns:a16="http://schemas.microsoft.com/office/drawing/2014/main" id="{00000000-0008-0000-0200-00007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87165" name="Button 125" hidden="1">
              <a:extLst>
                <a:ext uri="{63B3BB69-23CF-44E3-9099-C40C66FF867C}">
                  <a14:compatExt spid="_x0000_s87165"/>
                </a:ext>
                <a:ext uri="{FF2B5EF4-FFF2-40B4-BE49-F238E27FC236}">
                  <a16:creationId xmlns:a16="http://schemas.microsoft.com/office/drawing/2014/main" id="{00000000-0008-0000-0200-00007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87166" name="Button 126" hidden="1">
              <a:extLst>
                <a:ext uri="{63B3BB69-23CF-44E3-9099-C40C66FF867C}">
                  <a14:compatExt spid="_x0000_s87166"/>
                </a:ext>
                <a:ext uri="{FF2B5EF4-FFF2-40B4-BE49-F238E27FC236}">
                  <a16:creationId xmlns:a16="http://schemas.microsoft.com/office/drawing/2014/main" id="{00000000-0008-0000-0200-00007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87167" name="Button 127" hidden="1">
              <a:extLst>
                <a:ext uri="{63B3BB69-23CF-44E3-9099-C40C66FF867C}">
                  <a14:compatExt spid="_x0000_s87167"/>
                </a:ext>
                <a:ext uri="{FF2B5EF4-FFF2-40B4-BE49-F238E27FC236}">
                  <a16:creationId xmlns:a16="http://schemas.microsoft.com/office/drawing/2014/main" id="{00000000-0008-0000-0200-00007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87168" name="Button 128" hidden="1">
              <a:extLst>
                <a:ext uri="{63B3BB69-23CF-44E3-9099-C40C66FF867C}">
                  <a14:compatExt spid="_x0000_s87168"/>
                </a:ext>
                <a:ext uri="{FF2B5EF4-FFF2-40B4-BE49-F238E27FC236}">
                  <a16:creationId xmlns:a16="http://schemas.microsoft.com/office/drawing/2014/main" id="{00000000-0008-0000-0200-00008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87169" name="Button 129" hidden="1">
              <a:extLst>
                <a:ext uri="{63B3BB69-23CF-44E3-9099-C40C66FF867C}">
                  <a14:compatExt spid="_x0000_s87169"/>
                </a:ext>
                <a:ext uri="{FF2B5EF4-FFF2-40B4-BE49-F238E27FC236}">
                  <a16:creationId xmlns:a16="http://schemas.microsoft.com/office/drawing/2014/main" id="{00000000-0008-0000-0200-00008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87170" name="Button 130" hidden="1">
              <a:extLst>
                <a:ext uri="{63B3BB69-23CF-44E3-9099-C40C66FF867C}">
                  <a14:compatExt spid="_x0000_s87170"/>
                </a:ext>
                <a:ext uri="{FF2B5EF4-FFF2-40B4-BE49-F238E27FC236}">
                  <a16:creationId xmlns:a16="http://schemas.microsoft.com/office/drawing/2014/main" id="{00000000-0008-0000-0200-00008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87171" name="Button 131" hidden="1">
              <a:extLst>
                <a:ext uri="{63B3BB69-23CF-44E3-9099-C40C66FF867C}">
                  <a14:compatExt spid="_x0000_s87171"/>
                </a:ext>
                <a:ext uri="{FF2B5EF4-FFF2-40B4-BE49-F238E27FC236}">
                  <a16:creationId xmlns:a16="http://schemas.microsoft.com/office/drawing/2014/main" id="{00000000-0008-0000-0200-00008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87172" name="Button 132" hidden="1">
              <a:extLst>
                <a:ext uri="{63B3BB69-23CF-44E3-9099-C40C66FF867C}">
                  <a14:compatExt spid="_x0000_s87172"/>
                </a:ext>
                <a:ext uri="{FF2B5EF4-FFF2-40B4-BE49-F238E27FC236}">
                  <a16:creationId xmlns:a16="http://schemas.microsoft.com/office/drawing/2014/main" id="{00000000-0008-0000-0200-00008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87173" name="Button 133" hidden="1">
              <a:extLst>
                <a:ext uri="{63B3BB69-23CF-44E3-9099-C40C66FF867C}">
                  <a14:compatExt spid="_x0000_s87173"/>
                </a:ext>
                <a:ext uri="{FF2B5EF4-FFF2-40B4-BE49-F238E27FC236}">
                  <a16:creationId xmlns:a16="http://schemas.microsoft.com/office/drawing/2014/main" id="{00000000-0008-0000-0200-00008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87174" name="Button 134" hidden="1">
              <a:extLst>
                <a:ext uri="{63B3BB69-23CF-44E3-9099-C40C66FF867C}">
                  <a14:compatExt spid="_x0000_s87174"/>
                </a:ext>
                <a:ext uri="{FF2B5EF4-FFF2-40B4-BE49-F238E27FC236}">
                  <a16:creationId xmlns:a16="http://schemas.microsoft.com/office/drawing/2014/main" id="{00000000-0008-0000-0200-00008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87175" name="Button 135" hidden="1">
              <a:extLst>
                <a:ext uri="{63B3BB69-23CF-44E3-9099-C40C66FF867C}">
                  <a14:compatExt spid="_x0000_s87175"/>
                </a:ext>
                <a:ext uri="{FF2B5EF4-FFF2-40B4-BE49-F238E27FC236}">
                  <a16:creationId xmlns:a16="http://schemas.microsoft.com/office/drawing/2014/main" id="{00000000-0008-0000-0200-00008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87176" name="Button 136" hidden="1">
              <a:extLst>
                <a:ext uri="{63B3BB69-23CF-44E3-9099-C40C66FF867C}">
                  <a14:compatExt spid="_x0000_s87176"/>
                </a:ext>
                <a:ext uri="{FF2B5EF4-FFF2-40B4-BE49-F238E27FC236}">
                  <a16:creationId xmlns:a16="http://schemas.microsoft.com/office/drawing/2014/main" id="{00000000-0008-0000-0200-00008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87177" name="Button 137" hidden="1">
              <a:extLst>
                <a:ext uri="{63B3BB69-23CF-44E3-9099-C40C66FF867C}">
                  <a14:compatExt spid="_x0000_s87177"/>
                </a:ext>
                <a:ext uri="{FF2B5EF4-FFF2-40B4-BE49-F238E27FC236}">
                  <a16:creationId xmlns:a16="http://schemas.microsoft.com/office/drawing/2014/main" id="{00000000-0008-0000-0200-00008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87178" name="Button 138" hidden="1">
              <a:extLst>
                <a:ext uri="{63B3BB69-23CF-44E3-9099-C40C66FF867C}">
                  <a14:compatExt spid="_x0000_s87178"/>
                </a:ext>
                <a:ext uri="{FF2B5EF4-FFF2-40B4-BE49-F238E27FC236}">
                  <a16:creationId xmlns:a16="http://schemas.microsoft.com/office/drawing/2014/main" id="{00000000-0008-0000-0200-00008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87179" name="Button 139" hidden="1">
              <a:extLst>
                <a:ext uri="{63B3BB69-23CF-44E3-9099-C40C66FF867C}">
                  <a14:compatExt spid="_x0000_s87179"/>
                </a:ext>
                <a:ext uri="{FF2B5EF4-FFF2-40B4-BE49-F238E27FC236}">
                  <a16:creationId xmlns:a16="http://schemas.microsoft.com/office/drawing/2014/main" id="{00000000-0008-0000-0200-00008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87180" name="Button 140" hidden="1">
              <a:extLst>
                <a:ext uri="{63B3BB69-23CF-44E3-9099-C40C66FF867C}">
                  <a14:compatExt spid="_x0000_s87180"/>
                </a:ext>
                <a:ext uri="{FF2B5EF4-FFF2-40B4-BE49-F238E27FC236}">
                  <a16:creationId xmlns:a16="http://schemas.microsoft.com/office/drawing/2014/main" id="{00000000-0008-0000-0200-00008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87181" name="Button 141" hidden="1">
              <a:extLst>
                <a:ext uri="{63B3BB69-23CF-44E3-9099-C40C66FF867C}">
                  <a14:compatExt spid="_x0000_s87181"/>
                </a:ext>
                <a:ext uri="{FF2B5EF4-FFF2-40B4-BE49-F238E27FC236}">
                  <a16:creationId xmlns:a16="http://schemas.microsoft.com/office/drawing/2014/main" id="{00000000-0008-0000-0200-00008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87182" name="Button 142" hidden="1">
              <a:extLst>
                <a:ext uri="{63B3BB69-23CF-44E3-9099-C40C66FF867C}">
                  <a14:compatExt spid="_x0000_s87182"/>
                </a:ext>
                <a:ext uri="{FF2B5EF4-FFF2-40B4-BE49-F238E27FC236}">
                  <a16:creationId xmlns:a16="http://schemas.microsoft.com/office/drawing/2014/main" id="{00000000-0008-0000-0200-00008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87183" name="Button 143" hidden="1">
              <a:extLst>
                <a:ext uri="{63B3BB69-23CF-44E3-9099-C40C66FF867C}">
                  <a14:compatExt spid="_x0000_s87183"/>
                </a:ext>
                <a:ext uri="{FF2B5EF4-FFF2-40B4-BE49-F238E27FC236}">
                  <a16:creationId xmlns:a16="http://schemas.microsoft.com/office/drawing/2014/main" id="{00000000-0008-0000-0200-00008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87184" name="Button 144" hidden="1">
              <a:extLst>
                <a:ext uri="{63B3BB69-23CF-44E3-9099-C40C66FF867C}">
                  <a14:compatExt spid="_x0000_s87184"/>
                </a:ext>
                <a:ext uri="{FF2B5EF4-FFF2-40B4-BE49-F238E27FC236}">
                  <a16:creationId xmlns:a16="http://schemas.microsoft.com/office/drawing/2014/main" id="{00000000-0008-0000-0200-00009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87185" name="Button 145" hidden="1">
              <a:extLst>
                <a:ext uri="{63B3BB69-23CF-44E3-9099-C40C66FF867C}">
                  <a14:compatExt spid="_x0000_s87185"/>
                </a:ext>
                <a:ext uri="{FF2B5EF4-FFF2-40B4-BE49-F238E27FC236}">
                  <a16:creationId xmlns:a16="http://schemas.microsoft.com/office/drawing/2014/main" id="{00000000-0008-0000-0200-00009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87186" name="Button 146" hidden="1">
              <a:extLst>
                <a:ext uri="{63B3BB69-23CF-44E3-9099-C40C66FF867C}">
                  <a14:compatExt spid="_x0000_s87186"/>
                </a:ext>
                <a:ext uri="{FF2B5EF4-FFF2-40B4-BE49-F238E27FC236}">
                  <a16:creationId xmlns:a16="http://schemas.microsoft.com/office/drawing/2014/main" id="{00000000-0008-0000-0200-00009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87187" name="Button 147" hidden="1">
              <a:extLst>
                <a:ext uri="{63B3BB69-23CF-44E3-9099-C40C66FF867C}">
                  <a14:compatExt spid="_x0000_s87187"/>
                </a:ext>
                <a:ext uri="{FF2B5EF4-FFF2-40B4-BE49-F238E27FC236}">
                  <a16:creationId xmlns:a16="http://schemas.microsoft.com/office/drawing/2014/main" id="{00000000-0008-0000-0200-00009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87188" name="Button 148" hidden="1">
              <a:extLst>
                <a:ext uri="{63B3BB69-23CF-44E3-9099-C40C66FF867C}">
                  <a14:compatExt spid="_x0000_s87188"/>
                </a:ext>
                <a:ext uri="{FF2B5EF4-FFF2-40B4-BE49-F238E27FC236}">
                  <a16:creationId xmlns:a16="http://schemas.microsoft.com/office/drawing/2014/main" id="{00000000-0008-0000-0200-00009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87189" name="Button 149" hidden="1">
              <a:extLst>
                <a:ext uri="{63B3BB69-23CF-44E3-9099-C40C66FF867C}">
                  <a14:compatExt spid="_x0000_s87189"/>
                </a:ext>
                <a:ext uri="{FF2B5EF4-FFF2-40B4-BE49-F238E27FC236}">
                  <a16:creationId xmlns:a16="http://schemas.microsoft.com/office/drawing/2014/main" id="{00000000-0008-0000-0200-00009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87190" name="Button 150" hidden="1">
              <a:extLst>
                <a:ext uri="{63B3BB69-23CF-44E3-9099-C40C66FF867C}">
                  <a14:compatExt spid="_x0000_s87190"/>
                </a:ext>
                <a:ext uri="{FF2B5EF4-FFF2-40B4-BE49-F238E27FC236}">
                  <a16:creationId xmlns:a16="http://schemas.microsoft.com/office/drawing/2014/main" id="{00000000-0008-0000-0200-00009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87191" name="Button 151" hidden="1">
              <a:extLst>
                <a:ext uri="{63B3BB69-23CF-44E3-9099-C40C66FF867C}">
                  <a14:compatExt spid="_x0000_s87191"/>
                </a:ext>
                <a:ext uri="{FF2B5EF4-FFF2-40B4-BE49-F238E27FC236}">
                  <a16:creationId xmlns:a16="http://schemas.microsoft.com/office/drawing/2014/main" id="{00000000-0008-0000-0200-00009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87192" name="Button 152" hidden="1">
              <a:extLst>
                <a:ext uri="{63B3BB69-23CF-44E3-9099-C40C66FF867C}">
                  <a14:compatExt spid="_x0000_s87192"/>
                </a:ext>
                <a:ext uri="{FF2B5EF4-FFF2-40B4-BE49-F238E27FC236}">
                  <a16:creationId xmlns:a16="http://schemas.microsoft.com/office/drawing/2014/main" id="{00000000-0008-0000-0200-00009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87193" name="Button 153" hidden="1">
              <a:extLst>
                <a:ext uri="{63B3BB69-23CF-44E3-9099-C40C66FF867C}">
                  <a14:compatExt spid="_x0000_s87193"/>
                </a:ext>
                <a:ext uri="{FF2B5EF4-FFF2-40B4-BE49-F238E27FC236}">
                  <a16:creationId xmlns:a16="http://schemas.microsoft.com/office/drawing/2014/main" id="{00000000-0008-0000-0200-00009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87194" name="Button 154" hidden="1">
              <a:extLst>
                <a:ext uri="{63B3BB69-23CF-44E3-9099-C40C66FF867C}">
                  <a14:compatExt spid="_x0000_s87194"/>
                </a:ext>
                <a:ext uri="{FF2B5EF4-FFF2-40B4-BE49-F238E27FC236}">
                  <a16:creationId xmlns:a16="http://schemas.microsoft.com/office/drawing/2014/main" id="{00000000-0008-0000-0200-00009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87195" name="Button 155" hidden="1">
              <a:extLst>
                <a:ext uri="{63B3BB69-23CF-44E3-9099-C40C66FF867C}">
                  <a14:compatExt spid="_x0000_s87195"/>
                </a:ext>
                <a:ext uri="{FF2B5EF4-FFF2-40B4-BE49-F238E27FC236}">
                  <a16:creationId xmlns:a16="http://schemas.microsoft.com/office/drawing/2014/main" id="{00000000-0008-0000-0200-00009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87196" name="Button 156" hidden="1">
              <a:extLst>
                <a:ext uri="{63B3BB69-23CF-44E3-9099-C40C66FF867C}">
                  <a14:compatExt spid="_x0000_s87196"/>
                </a:ext>
                <a:ext uri="{FF2B5EF4-FFF2-40B4-BE49-F238E27FC236}">
                  <a16:creationId xmlns:a16="http://schemas.microsoft.com/office/drawing/2014/main" id="{00000000-0008-0000-0200-00009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87197" name="Button 157" hidden="1">
              <a:extLst>
                <a:ext uri="{63B3BB69-23CF-44E3-9099-C40C66FF867C}">
                  <a14:compatExt spid="_x0000_s87197"/>
                </a:ext>
                <a:ext uri="{FF2B5EF4-FFF2-40B4-BE49-F238E27FC236}">
                  <a16:creationId xmlns:a16="http://schemas.microsoft.com/office/drawing/2014/main" id="{00000000-0008-0000-0200-00009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87198" name="Button 158" hidden="1">
              <a:extLst>
                <a:ext uri="{63B3BB69-23CF-44E3-9099-C40C66FF867C}">
                  <a14:compatExt spid="_x0000_s87198"/>
                </a:ext>
                <a:ext uri="{FF2B5EF4-FFF2-40B4-BE49-F238E27FC236}">
                  <a16:creationId xmlns:a16="http://schemas.microsoft.com/office/drawing/2014/main" id="{00000000-0008-0000-0200-00009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87199" name="Button 159" hidden="1">
              <a:extLst>
                <a:ext uri="{63B3BB69-23CF-44E3-9099-C40C66FF867C}">
                  <a14:compatExt spid="_x0000_s87199"/>
                </a:ext>
                <a:ext uri="{FF2B5EF4-FFF2-40B4-BE49-F238E27FC236}">
                  <a16:creationId xmlns:a16="http://schemas.microsoft.com/office/drawing/2014/main" id="{00000000-0008-0000-0200-00009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87200" name="Button 160" hidden="1">
              <a:extLst>
                <a:ext uri="{63B3BB69-23CF-44E3-9099-C40C66FF867C}">
                  <a14:compatExt spid="_x0000_s87200"/>
                </a:ext>
                <a:ext uri="{FF2B5EF4-FFF2-40B4-BE49-F238E27FC236}">
                  <a16:creationId xmlns:a16="http://schemas.microsoft.com/office/drawing/2014/main" id="{00000000-0008-0000-0200-0000A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87201" name="Button 161" hidden="1">
              <a:extLst>
                <a:ext uri="{63B3BB69-23CF-44E3-9099-C40C66FF867C}">
                  <a14:compatExt spid="_x0000_s87201"/>
                </a:ext>
                <a:ext uri="{FF2B5EF4-FFF2-40B4-BE49-F238E27FC236}">
                  <a16:creationId xmlns:a16="http://schemas.microsoft.com/office/drawing/2014/main" id="{00000000-0008-0000-0200-0000A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87202" name="Button 162" hidden="1">
              <a:extLst>
                <a:ext uri="{63B3BB69-23CF-44E3-9099-C40C66FF867C}">
                  <a14:compatExt spid="_x0000_s87202"/>
                </a:ext>
                <a:ext uri="{FF2B5EF4-FFF2-40B4-BE49-F238E27FC236}">
                  <a16:creationId xmlns:a16="http://schemas.microsoft.com/office/drawing/2014/main" id="{00000000-0008-0000-0200-0000A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87203" name="Button 163" hidden="1">
              <a:extLst>
                <a:ext uri="{63B3BB69-23CF-44E3-9099-C40C66FF867C}">
                  <a14:compatExt spid="_x0000_s87203"/>
                </a:ext>
                <a:ext uri="{FF2B5EF4-FFF2-40B4-BE49-F238E27FC236}">
                  <a16:creationId xmlns:a16="http://schemas.microsoft.com/office/drawing/2014/main" id="{00000000-0008-0000-0200-0000A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87204" name="Button 164" hidden="1">
              <a:extLst>
                <a:ext uri="{63B3BB69-23CF-44E3-9099-C40C66FF867C}">
                  <a14:compatExt spid="_x0000_s87204"/>
                </a:ext>
                <a:ext uri="{FF2B5EF4-FFF2-40B4-BE49-F238E27FC236}">
                  <a16:creationId xmlns:a16="http://schemas.microsoft.com/office/drawing/2014/main" id="{00000000-0008-0000-0200-0000A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87205" name="Button 165" hidden="1">
              <a:extLst>
                <a:ext uri="{63B3BB69-23CF-44E3-9099-C40C66FF867C}">
                  <a14:compatExt spid="_x0000_s87205"/>
                </a:ext>
                <a:ext uri="{FF2B5EF4-FFF2-40B4-BE49-F238E27FC236}">
                  <a16:creationId xmlns:a16="http://schemas.microsoft.com/office/drawing/2014/main" id="{00000000-0008-0000-0200-0000A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87206" name="Button 166" hidden="1">
              <a:extLst>
                <a:ext uri="{63B3BB69-23CF-44E3-9099-C40C66FF867C}">
                  <a14:compatExt spid="_x0000_s87206"/>
                </a:ext>
                <a:ext uri="{FF2B5EF4-FFF2-40B4-BE49-F238E27FC236}">
                  <a16:creationId xmlns:a16="http://schemas.microsoft.com/office/drawing/2014/main" id="{00000000-0008-0000-0200-0000A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87207" name="Button 167" hidden="1">
              <a:extLst>
                <a:ext uri="{63B3BB69-23CF-44E3-9099-C40C66FF867C}">
                  <a14:compatExt spid="_x0000_s87207"/>
                </a:ext>
                <a:ext uri="{FF2B5EF4-FFF2-40B4-BE49-F238E27FC236}">
                  <a16:creationId xmlns:a16="http://schemas.microsoft.com/office/drawing/2014/main" id="{00000000-0008-0000-0200-0000A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87208" name="Button 168" hidden="1">
              <a:extLst>
                <a:ext uri="{63B3BB69-23CF-44E3-9099-C40C66FF867C}">
                  <a14:compatExt spid="_x0000_s87208"/>
                </a:ext>
                <a:ext uri="{FF2B5EF4-FFF2-40B4-BE49-F238E27FC236}">
                  <a16:creationId xmlns:a16="http://schemas.microsoft.com/office/drawing/2014/main" id="{00000000-0008-0000-0200-0000A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87209" name="Button 169" hidden="1">
              <a:extLst>
                <a:ext uri="{63B3BB69-23CF-44E3-9099-C40C66FF867C}">
                  <a14:compatExt spid="_x0000_s87209"/>
                </a:ext>
                <a:ext uri="{FF2B5EF4-FFF2-40B4-BE49-F238E27FC236}">
                  <a16:creationId xmlns:a16="http://schemas.microsoft.com/office/drawing/2014/main" id="{00000000-0008-0000-0200-0000A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87210" name="Button 170" hidden="1">
              <a:extLst>
                <a:ext uri="{63B3BB69-23CF-44E3-9099-C40C66FF867C}">
                  <a14:compatExt spid="_x0000_s87210"/>
                </a:ext>
                <a:ext uri="{FF2B5EF4-FFF2-40B4-BE49-F238E27FC236}">
                  <a16:creationId xmlns:a16="http://schemas.microsoft.com/office/drawing/2014/main" id="{00000000-0008-0000-0200-0000A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87211" name="Button 171" hidden="1">
              <a:extLst>
                <a:ext uri="{63B3BB69-23CF-44E3-9099-C40C66FF867C}">
                  <a14:compatExt spid="_x0000_s87211"/>
                </a:ext>
                <a:ext uri="{FF2B5EF4-FFF2-40B4-BE49-F238E27FC236}">
                  <a16:creationId xmlns:a16="http://schemas.microsoft.com/office/drawing/2014/main" id="{00000000-0008-0000-0200-0000A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87212" name="Button 172" hidden="1">
              <a:extLst>
                <a:ext uri="{63B3BB69-23CF-44E3-9099-C40C66FF867C}">
                  <a14:compatExt spid="_x0000_s87212"/>
                </a:ext>
                <a:ext uri="{FF2B5EF4-FFF2-40B4-BE49-F238E27FC236}">
                  <a16:creationId xmlns:a16="http://schemas.microsoft.com/office/drawing/2014/main" id="{00000000-0008-0000-0200-0000A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87213" name="Button 173" hidden="1">
              <a:extLst>
                <a:ext uri="{63B3BB69-23CF-44E3-9099-C40C66FF867C}">
                  <a14:compatExt spid="_x0000_s87213"/>
                </a:ext>
                <a:ext uri="{FF2B5EF4-FFF2-40B4-BE49-F238E27FC236}">
                  <a16:creationId xmlns:a16="http://schemas.microsoft.com/office/drawing/2014/main" id="{00000000-0008-0000-0200-0000A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87214" name="Button 174" hidden="1">
              <a:extLst>
                <a:ext uri="{63B3BB69-23CF-44E3-9099-C40C66FF867C}">
                  <a14:compatExt spid="_x0000_s87214"/>
                </a:ext>
                <a:ext uri="{FF2B5EF4-FFF2-40B4-BE49-F238E27FC236}">
                  <a16:creationId xmlns:a16="http://schemas.microsoft.com/office/drawing/2014/main" id="{00000000-0008-0000-0200-0000A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87215" name="Button 175" hidden="1">
              <a:extLst>
                <a:ext uri="{63B3BB69-23CF-44E3-9099-C40C66FF867C}">
                  <a14:compatExt spid="_x0000_s87215"/>
                </a:ext>
                <a:ext uri="{FF2B5EF4-FFF2-40B4-BE49-F238E27FC236}">
                  <a16:creationId xmlns:a16="http://schemas.microsoft.com/office/drawing/2014/main" id="{00000000-0008-0000-0200-0000A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87216" name="Button 176" hidden="1">
              <a:extLst>
                <a:ext uri="{63B3BB69-23CF-44E3-9099-C40C66FF867C}">
                  <a14:compatExt spid="_x0000_s87216"/>
                </a:ext>
                <a:ext uri="{FF2B5EF4-FFF2-40B4-BE49-F238E27FC236}">
                  <a16:creationId xmlns:a16="http://schemas.microsoft.com/office/drawing/2014/main" id="{00000000-0008-0000-0200-0000B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87217" name="Button 177" hidden="1">
              <a:extLst>
                <a:ext uri="{63B3BB69-23CF-44E3-9099-C40C66FF867C}">
                  <a14:compatExt spid="_x0000_s87217"/>
                </a:ext>
                <a:ext uri="{FF2B5EF4-FFF2-40B4-BE49-F238E27FC236}">
                  <a16:creationId xmlns:a16="http://schemas.microsoft.com/office/drawing/2014/main" id="{00000000-0008-0000-0200-0000B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87218" name="Button 178" hidden="1">
              <a:extLst>
                <a:ext uri="{63B3BB69-23CF-44E3-9099-C40C66FF867C}">
                  <a14:compatExt spid="_x0000_s87218"/>
                </a:ext>
                <a:ext uri="{FF2B5EF4-FFF2-40B4-BE49-F238E27FC236}">
                  <a16:creationId xmlns:a16="http://schemas.microsoft.com/office/drawing/2014/main" id="{00000000-0008-0000-0200-0000B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87219" name="Button 179" hidden="1">
              <a:extLst>
                <a:ext uri="{63B3BB69-23CF-44E3-9099-C40C66FF867C}">
                  <a14:compatExt spid="_x0000_s87219"/>
                </a:ext>
                <a:ext uri="{FF2B5EF4-FFF2-40B4-BE49-F238E27FC236}">
                  <a16:creationId xmlns:a16="http://schemas.microsoft.com/office/drawing/2014/main" id="{00000000-0008-0000-0200-0000B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87220" name="Button 180" hidden="1">
              <a:extLst>
                <a:ext uri="{63B3BB69-23CF-44E3-9099-C40C66FF867C}">
                  <a14:compatExt spid="_x0000_s87220"/>
                </a:ext>
                <a:ext uri="{FF2B5EF4-FFF2-40B4-BE49-F238E27FC236}">
                  <a16:creationId xmlns:a16="http://schemas.microsoft.com/office/drawing/2014/main" id="{00000000-0008-0000-0200-0000B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87221" name="Button 181" hidden="1">
              <a:extLst>
                <a:ext uri="{63B3BB69-23CF-44E3-9099-C40C66FF867C}">
                  <a14:compatExt spid="_x0000_s87221"/>
                </a:ext>
                <a:ext uri="{FF2B5EF4-FFF2-40B4-BE49-F238E27FC236}">
                  <a16:creationId xmlns:a16="http://schemas.microsoft.com/office/drawing/2014/main" id="{00000000-0008-0000-0200-0000B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87222" name="Button 182" hidden="1">
              <a:extLst>
                <a:ext uri="{63B3BB69-23CF-44E3-9099-C40C66FF867C}">
                  <a14:compatExt spid="_x0000_s87222"/>
                </a:ext>
                <a:ext uri="{FF2B5EF4-FFF2-40B4-BE49-F238E27FC236}">
                  <a16:creationId xmlns:a16="http://schemas.microsoft.com/office/drawing/2014/main" id="{00000000-0008-0000-0200-0000B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87223" name="Button 183" hidden="1">
              <a:extLst>
                <a:ext uri="{63B3BB69-23CF-44E3-9099-C40C66FF867C}">
                  <a14:compatExt spid="_x0000_s87223"/>
                </a:ext>
                <a:ext uri="{FF2B5EF4-FFF2-40B4-BE49-F238E27FC236}">
                  <a16:creationId xmlns:a16="http://schemas.microsoft.com/office/drawing/2014/main" id="{00000000-0008-0000-0200-0000B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87224" name="Button 184" hidden="1">
              <a:extLst>
                <a:ext uri="{63B3BB69-23CF-44E3-9099-C40C66FF867C}">
                  <a14:compatExt spid="_x0000_s87224"/>
                </a:ext>
                <a:ext uri="{FF2B5EF4-FFF2-40B4-BE49-F238E27FC236}">
                  <a16:creationId xmlns:a16="http://schemas.microsoft.com/office/drawing/2014/main" id="{00000000-0008-0000-0200-0000B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87225" name="Button 185" hidden="1">
              <a:extLst>
                <a:ext uri="{63B3BB69-23CF-44E3-9099-C40C66FF867C}">
                  <a14:compatExt spid="_x0000_s87225"/>
                </a:ext>
                <a:ext uri="{FF2B5EF4-FFF2-40B4-BE49-F238E27FC236}">
                  <a16:creationId xmlns:a16="http://schemas.microsoft.com/office/drawing/2014/main" id="{00000000-0008-0000-0200-0000B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87226" name="Button 186" hidden="1">
              <a:extLst>
                <a:ext uri="{63B3BB69-23CF-44E3-9099-C40C66FF867C}">
                  <a14:compatExt spid="_x0000_s87226"/>
                </a:ext>
                <a:ext uri="{FF2B5EF4-FFF2-40B4-BE49-F238E27FC236}">
                  <a16:creationId xmlns:a16="http://schemas.microsoft.com/office/drawing/2014/main" id="{00000000-0008-0000-0200-0000B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87227" name="Button 187" hidden="1">
              <a:extLst>
                <a:ext uri="{63B3BB69-23CF-44E3-9099-C40C66FF867C}">
                  <a14:compatExt spid="_x0000_s87227"/>
                </a:ext>
                <a:ext uri="{FF2B5EF4-FFF2-40B4-BE49-F238E27FC236}">
                  <a16:creationId xmlns:a16="http://schemas.microsoft.com/office/drawing/2014/main" id="{00000000-0008-0000-0200-0000B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87228" name="Button 188" hidden="1">
              <a:extLst>
                <a:ext uri="{63B3BB69-23CF-44E3-9099-C40C66FF867C}">
                  <a14:compatExt spid="_x0000_s87228"/>
                </a:ext>
                <a:ext uri="{FF2B5EF4-FFF2-40B4-BE49-F238E27FC236}">
                  <a16:creationId xmlns:a16="http://schemas.microsoft.com/office/drawing/2014/main" id="{00000000-0008-0000-0200-0000B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87229" name="Button 189" hidden="1">
              <a:extLst>
                <a:ext uri="{63B3BB69-23CF-44E3-9099-C40C66FF867C}">
                  <a14:compatExt spid="_x0000_s87229"/>
                </a:ext>
                <a:ext uri="{FF2B5EF4-FFF2-40B4-BE49-F238E27FC236}">
                  <a16:creationId xmlns:a16="http://schemas.microsoft.com/office/drawing/2014/main" id="{00000000-0008-0000-0200-0000B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87230" name="Button 190" hidden="1">
              <a:extLst>
                <a:ext uri="{63B3BB69-23CF-44E3-9099-C40C66FF867C}">
                  <a14:compatExt spid="_x0000_s87230"/>
                </a:ext>
                <a:ext uri="{FF2B5EF4-FFF2-40B4-BE49-F238E27FC236}">
                  <a16:creationId xmlns:a16="http://schemas.microsoft.com/office/drawing/2014/main" id="{00000000-0008-0000-0200-0000B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87231" name="Button 191" hidden="1">
              <a:extLst>
                <a:ext uri="{63B3BB69-23CF-44E3-9099-C40C66FF867C}">
                  <a14:compatExt spid="_x0000_s87231"/>
                </a:ext>
                <a:ext uri="{FF2B5EF4-FFF2-40B4-BE49-F238E27FC236}">
                  <a16:creationId xmlns:a16="http://schemas.microsoft.com/office/drawing/2014/main" id="{00000000-0008-0000-0200-0000B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87232" name="Button 192" hidden="1">
              <a:extLst>
                <a:ext uri="{63B3BB69-23CF-44E3-9099-C40C66FF867C}">
                  <a14:compatExt spid="_x0000_s87232"/>
                </a:ext>
                <a:ext uri="{FF2B5EF4-FFF2-40B4-BE49-F238E27FC236}">
                  <a16:creationId xmlns:a16="http://schemas.microsoft.com/office/drawing/2014/main" id="{00000000-0008-0000-0200-0000C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87233" name="Button 193" hidden="1">
              <a:extLst>
                <a:ext uri="{63B3BB69-23CF-44E3-9099-C40C66FF867C}">
                  <a14:compatExt spid="_x0000_s87233"/>
                </a:ext>
                <a:ext uri="{FF2B5EF4-FFF2-40B4-BE49-F238E27FC236}">
                  <a16:creationId xmlns:a16="http://schemas.microsoft.com/office/drawing/2014/main" id="{00000000-0008-0000-0200-0000C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87234" name="Button 194" hidden="1">
              <a:extLst>
                <a:ext uri="{63B3BB69-23CF-44E3-9099-C40C66FF867C}">
                  <a14:compatExt spid="_x0000_s87234"/>
                </a:ext>
                <a:ext uri="{FF2B5EF4-FFF2-40B4-BE49-F238E27FC236}">
                  <a16:creationId xmlns:a16="http://schemas.microsoft.com/office/drawing/2014/main" id="{00000000-0008-0000-0200-0000C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87235" name="Button 195" hidden="1">
              <a:extLst>
                <a:ext uri="{63B3BB69-23CF-44E3-9099-C40C66FF867C}">
                  <a14:compatExt spid="_x0000_s87235"/>
                </a:ext>
                <a:ext uri="{FF2B5EF4-FFF2-40B4-BE49-F238E27FC236}">
                  <a16:creationId xmlns:a16="http://schemas.microsoft.com/office/drawing/2014/main" id="{00000000-0008-0000-0200-0000C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87236" name="Button 196" hidden="1">
              <a:extLst>
                <a:ext uri="{63B3BB69-23CF-44E3-9099-C40C66FF867C}">
                  <a14:compatExt spid="_x0000_s87236"/>
                </a:ext>
                <a:ext uri="{FF2B5EF4-FFF2-40B4-BE49-F238E27FC236}">
                  <a16:creationId xmlns:a16="http://schemas.microsoft.com/office/drawing/2014/main" id="{00000000-0008-0000-0200-0000C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87237" name="Button 197" hidden="1">
              <a:extLst>
                <a:ext uri="{63B3BB69-23CF-44E3-9099-C40C66FF867C}">
                  <a14:compatExt spid="_x0000_s87237"/>
                </a:ext>
                <a:ext uri="{FF2B5EF4-FFF2-40B4-BE49-F238E27FC236}">
                  <a16:creationId xmlns:a16="http://schemas.microsoft.com/office/drawing/2014/main" id="{00000000-0008-0000-0200-0000C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87238" name="Button 198" hidden="1">
              <a:extLst>
                <a:ext uri="{63B3BB69-23CF-44E3-9099-C40C66FF867C}">
                  <a14:compatExt spid="_x0000_s87238"/>
                </a:ext>
                <a:ext uri="{FF2B5EF4-FFF2-40B4-BE49-F238E27FC236}">
                  <a16:creationId xmlns:a16="http://schemas.microsoft.com/office/drawing/2014/main" id="{00000000-0008-0000-0200-0000C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87239" name="Button 199" hidden="1">
              <a:extLst>
                <a:ext uri="{63B3BB69-23CF-44E3-9099-C40C66FF867C}">
                  <a14:compatExt spid="_x0000_s87239"/>
                </a:ext>
                <a:ext uri="{FF2B5EF4-FFF2-40B4-BE49-F238E27FC236}">
                  <a16:creationId xmlns:a16="http://schemas.microsoft.com/office/drawing/2014/main" id="{00000000-0008-0000-0200-0000C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87240" name="Button 200" hidden="1">
              <a:extLst>
                <a:ext uri="{63B3BB69-23CF-44E3-9099-C40C66FF867C}">
                  <a14:compatExt spid="_x0000_s87240"/>
                </a:ext>
                <a:ext uri="{FF2B5EF4-FFF2-40B4-BE49-F238E27FC236}">
                  <a16:creationId xmlns:a16="http://schemas.microsoft.com/office/drawing/2014/main" id="{00000000-0008-0000-0200-0000C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87241" name="Button 201" hidden="1">
              <a:extLst>
                <a:ext uri="{63B3BB69-23CF-44E3-9099-C40C66FF867C}">
                  <a14:compatExt spid="_x0000_s87241"/>
                </a:ext>
                <a:ext uri="{FF2B5EF4-FFF2-40B4-BE49-F238E27FC236}">
                  <a16:creationId xmlns:a16="http://schemas.microsoft.com/office/drawing/2014/main" id="{00000000-0008-0000-0200-0000C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87242" name="Button 202" hidden="1">
              <a:extLst>
                <a:ext uri="{63B3BB69-23CF-44E3-9099-C40C66FF867C}">
                  <a14:compatExt spid="_x0000_s87242"/>
                </a:ext>
                <a:ext uri="{FF2B5EF4-FFF2-40B4-BE49-F238E27FC236}">
                  <a16:creationId xmlns:a16="http://schemas.microsoft.com/office/drawing/2014/main" id="{00000000-0008-0000-0200-0000C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87243" name="Button 203" hidden="1">
              <a:extLst>
                <a:ext uri="{63B3BB69-23CF-44E3-9099-C40C66FF867C}">
                  <a14:compatExt spid="_x0000_s87243"/>
                </a:ext>
                <a:ext uri="{FF2B5EF4-FFF2-40B4-BE49-F238E27FC236}">
                  <a16:creationId xmlns:a16="http://schemas.microsoft.com/office/drawing/2014/main" id="{00000000-0008-0000-0200-0000C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87244" name="Button 204" hidden="1">
              <a:extLst>
                <a:ext uri="{63B3BB69-23CF-44E3-9099-C40C66FF867C}">
                  <a14:compatExt spid="_x0000_s87244"/>
                </a:ext>
                <a:ext uri="{FF2B5EF4-FFF2-40B4-BE49-F238E27FC236}">
                  <a16:creationId xmlns:a16="http://schemas.microsoft.com/office/drawing/2014/main" id="{00000000-0008-0000-0200-0000C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87245" name="Button 205" hidden="1">
              <a:extLst>
                <a:ext uri="{63B3BB69-23CF-44E3-9099-C40C66FF867C}">
                  <a14:compatExt spid="_x0000_s87245"/>
                </a:ext>
                <a:ext uri="{FF2B5EF4-FFF2-40B4-BE49-F238E27FC236}">
                  <a16:creationId xmlns:a16="http://schemas.microsoft.com/office/drawing/2014/main" id="{00000000-0008-0000-0200-0000C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87246" name="Button 206" hidden="1">
              <a:extLst>
                <a:ext uri="{63B3BB69-23CF-44E3-9099-C40C66FF867C}">
                  <a14:compatExt spid="_x0000_s87246"/>
                </a:ext>
                <a:ext uri="{FF2B5EF4-FFF2-40B4-BE49-F238E27FC236}">
                  <a16:creationId xmlns:a16="http://schemas.microsoft.com/office/drawing/2014/main" id="{00000000-0008-0000-0200-0000C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87247" name="Button 207" hidden="1">
              <a:extLst>
                <a:ext uri="{63B3BB69-23CF-44E3-9099-C40C66FF867C}">
                  <a14:compatExt spid="_x0000_s87247"/>
                </a:ext>
                <a:ext uri="{FF2B5EF4-FFF2-40B4-BE49-F238E27FC236}">
                  <a16:creationId xmlns:a16="http://schemas.microsoft.com/office/drawing/2014/main" id="{00000000-0008-0000-0200-0000C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87248" name="Button 208" hidden="1">
              <a:extLst>
                <a:ext uri="{63B3BB69-23CF-44E3-9099-C40C66FF867C}">
                  <a14:compatExt spid="_x0000_s87248"/>
                </a:ext>
                <a:ext uri="{FF2B5EF4-FFF2-40B4-BE49-F238E27FC236}">
                  <a16:creationId xmlns:a16="http://schemas.microsoft.com/office/drawing/2014/main" id="{00000000-0008-0000-0200-0000D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87249" name="Button 209" hidden="1">
              <a:extLst>
                <a:ext uri="{63B3BB69-23CF-44E3-9099-C40C66FF867C}">
                  <a14:compatExt spid="_x0000_s87249"/>
                </a:ext>
                <a:ext uri="{FF2B5EF4-FFF2-40B4-BE49-F238E27FC236}">
                  <a16:creationId xmlns:a16="http://schemas.microsoft.com/office/drawing/2014/main" id="{00000000-0008-0000-0200-0000D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87250" name="Button 210" hidden="1">
              <a:extLst>
                <a:ext uri="{63B3BB69-23CF-44E3-9099-C40C66FF867C}">
                  <a14:compatExt spid="_x0000_s87250"/>
                </a:ext>
                <a:ext uri="{FF2B5EF4-FFF2-40B4-BE49-F238E27FC236}">
                  <a16:creationId xmlns:a16="http://schemas.microsoft.com/office/drawing/2014/main" id="{00000000-0008-0000-0200-0000D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87251" name="Button 211" hidden="1">
              <a:extLst>
                <a:ext uri="{63B3BB69-23CF-44E3-9099-C40C66FF867C}">
                  <a14:compatExt spid="_x0000_s87251"/>
                </a:ext>
                <a:ext uri="{FF2B5EF4-FFF2-40B4-BE49-F238E27FC236}">
                  <a16:creationId xmlns:a16="http://schemas.microsoft.com/office/drawing/2014/main" id="{00000000-0008-0000-0200-0000D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87252" name="Button 212" hidden="1">
              <a:extLst>
                <a:ext uri="{63B3BB69-23CF-44E3-9099-C40C66FF867C}">
                  <a14:compatExt spid="_x0000_s87252"/>
                </a:ext>
                <a:ext uri="{FF2B5EF4-FFF2-40B4-BE49-F238E27FC236}">
                  <a16:creationId xmlns:a16="http://schemas.microsoft.com/office/drawing/2014/main" id="{00000000-0008-0000-0200-0000D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87253" name="Button 213" hidden="1">
              <a:extLst>
                <a:ext uri="{63B3BB69-23CF-44E3-9099-C40C66FF867C}">
                  <a14:compatExt spid="_x0000_s87253"/>
                </a:ext>
                <a:ext uri="{FF2B5EF4-FFF2-40B4-BE49-F238E27FC236}">
                  <a16:creationId xmlns:a16="http://schemas.microsoft.com/office/drawing/2014/main" id="{00000000-0008-0000-0200-0000D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87254" name="Button 214" hidden="1">
              <a:extLst>
                <a:ext uri="{63B3BB69-23CF-44E3-9099-C40C66FF867C}">
                  <a14:compatExt spid="_x0000_s87254"/>
                </a:ext>
                <a:ext uri="{FF2B5EF4-FFF2-40B4-BE49-F238E27FC236}">
                  <a16:creationId xmlns:a16="http://schemas.microsoft.com/office/drawing/2014/main" id="{00000000-0008-0000-0200-0000D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87255" name="Button 215" hidden="1">
              <a:extLst>
                <a:ext uri="{63B3BB69-23CF-44E3-9099-C40C66FF867C}">
                  <a14:compatExt spid="_x0000_s87255"/>
                </a:ext>
                <a:ext uri="{FF2B5EF4-FFF2-40B4-BE49-F238E27FC236}">
                  <a16:creationId xmlns:a16="http://schemas.microsoft.com/office/drawing/2014/main" id="{00000000-0008-0000-0200-0000D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3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3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3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4122" name="Button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3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3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4126" name="Button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3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4128" name="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3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3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4130" name="Button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4133" name="Button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3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3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48" name="Button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3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49" name="Button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3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50" name="Button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3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51" name="Button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3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52" name="Button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3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53" name="Button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3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54" name="Button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3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55" name="Button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3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56" name="Button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3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57" name="Button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3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58" name="Button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3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59" name="Button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3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60" name="Button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3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61" name="Button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3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62" name="Button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3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63" name="Button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3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64" name="Button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3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65" name="Button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3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66" name="Button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3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67" name="Button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3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68" name="Button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3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69" name="Button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3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170" name="Button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3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1" name="Button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3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2" name="Button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3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73" name="Button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3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74" name="Button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3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75" name="Button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3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76" name="Button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3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77" name="Button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3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78" name="Button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3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79" name="Button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3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80" name="Button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3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81" name="Button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3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82" name="Button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3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83" name="Button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3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84" name="Button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3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85" name="Button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3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86" name="Button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3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87" name="Button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3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88" name="Button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3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89" name="Button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3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90" name="Button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3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4191" name="Button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3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92" name="Button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3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93" name="Button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3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94" name="Button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3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95" name="Button 9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3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96" name="Button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3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97" name="Button 10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3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98" name="Button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3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99" name="Button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3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200" name="Button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3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4201" name="Button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3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4202" name="Button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3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4203" name="Button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3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4204" name="Button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3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4205" name="Button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3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4206" name="Button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3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4207" name="Button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3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4208" name="Button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3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4209" name="Button 113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00000000-0008-0000-0300-00007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4210" name="Button 114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00000000-0008-0000-0300-00007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4211" name="Button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3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4212" name="Button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3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4213" name="Button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3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4" name="Button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3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5" name="Button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3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6" name="Button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3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7" name="Button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3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4218" name="Button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3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4219" name="Button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3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4220" name="Button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3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4221" name="Button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3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4222" name="Button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3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4223" name="Button 127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00000000-0008-0000-0300-00007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4224" name="Button 128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id="{00000000-0008-0000-0300-00008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4225" name="Button 129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00000000-0008-0000-0300-00008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4226" name="Button 130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00000000-0008-0000-0300-00008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4227" name="Button 131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id="{00000000-0008-0000-0300-00008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4228" name="Button 132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00000000-0008-0000-0300-00008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4229" name="Button 133" hidden="1">
              <a:extLst>
                <a:ext uri="{63B3BB69-23CF-44E3-9099-C40C66FF867C}">
                  <a14:compatExt spid="_x0000_s4229"/>
                </a:ext>
                <a:ext uri="{FF2B5EF4-FFF2-40B4-BE49-F238E27FC236}">
                  <a16:creationId xmlns:a16="http://schemas.microsoft.com/office/drawing/2014/main" id="{00000000-0008-0000-0300-00008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4230" name="Button 134" hidden="1">
              <a:extLst>
                <a:ext uri="{63B3BB69-23CF-44E3-9099-C40C66FF867C}">
                  <a14:compatExt spid="_x0000_s4230"/>
                </a:ext>
                <a:ext uri="{FF2B5EF4-FFF2-40B4-BE49-F238E27FC236}">
                  <a16:creationId xmlns:a16="http://schemas.microsoft.com/office/drawing/2014/main" id="{00000000-0008-0000-0300-00008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4231" name="Button 135" hidden="1">
              <a:extLst>
                <a:ext uri="{63B3BB69-23CF-44E3-9099-C40C66FF867C}">
                  <a14:compatExt spid="_x0000_s4231"/>
                </a:ext>
                <a:ext uri="{FF2B5EF4-FFF2-40B4-BE49-F238E27FC236}">
                  <a16:creationId xmlns:a16="http://schemas.microsoft.com/office/drawing/2014/main" id="{00000000-0008-0000-0300-00008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4232" name="Button 136" hidden="1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:a16="http://schemas.microsoft.com/office/drawing/2014/main" id="{00000000-0008-0000-0300-00008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4233" name="Button 137" hidden="1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:a16="http://schemas.microsoft.com/office/drawing/2014/main" id="{00000000-0008-0000-0300-00008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4234" name="Button 138" hidden="1">
              <a:extLst>
                <a:ext uri="{63B3BB69-23CF-44E3-9099-C40C66FF867C}">
                  <a14:compatExt spid="_x0000_s4234"/>
                </a:ext>
                <a:ext uri="{FF2B5EF4-FFF2-40B4-BE49-F238E27FC236}">
                  <a16:creationId xmlns:a16="http://schemas.microsoft.com/office/drawing/2014/main" id="{00000000-0008-0000-0300-00008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4235" name="Button 139" hidden="1">
              <a:extLst>
                <a:ext uri="{63B3BB69-23CF-44E3-9099-C40C66FF867C}">
                  <a14:compatExt spid="_x0000_s4235"/>
                </a:ext>
                <a:ext uri="{FF2B5EF4-FFF2-40B4-BE49-F238E27FC236}">
                  <a16:creationId xmlns:a16="http://schemas.microsoft.com/office/drawing/2014/main" id="{00000000-0008-0000-0300-00008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4236" name="Button 140" hidden="1">
              <a:extLst>
                <a:ext uri="{63B3BB69-23CF-44E3-9099-C40C66FF867C}">
                  <a14:compatExt spid="_x0000_s4236"/>
                </a:ext>
                <a:ext uri="{FF2B5EF4-FFF2-40B4-BE49-F238E27FC236}">
                  <a16:creationId xmlns:a16="http://schemas.microsoft.com/office/drawing/2014/main" id="{00000000-0008-0000-0300-00008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4237" name="Button 141" hidden="1">
              <a:extLst>
                <a:ext uri="{63B3BB69-23CF-44E3-9099-C40C66FF867C}">
                  <a14:compatExt spid="_x0000_s4237"/>
                </a:ext>
                <a:ext uri="{FF2B5EF4-FFF2-40B4-BE49-F238E27FC236}">
                  <a16:creationId xmlns:a16="http://schemas.microsoft.com/office/drawing/2014/main" id="{00000000-0008-0000-0300-00008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4238" name="Button 142" hidden="1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:a16="http://schemas.microsoft.com/office/drawing/2014/main" id="{00000000-0008-0000-0300-00008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4239" name="Button 143" hidden="1">
              <a:extLst>
                <a:ext uri="{63B3BB69-23CF-44E3-9099-C40C66FF867C}">
                  <a14:compatExt spid="_x0000_s4239"/>
                </a:ext>
                <a:ext uri="{FF2B5EF4-FFF2-40B4-BE49-F238E27FC236}">
                  <a16:creationId xmlns:a16="http://schemas.microsoft.com/office/drawing/2014/main" id="{00000000-0008-0000-0300-00008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4240" name="Button 144" hidden="1">
              <a:extLst>
                <a:ext uri="{63B3BB69-23CF-44E3-9099-C40C66FF867C}">
                  <a14:compatExt spid="_x0000_s4240"/>
                </a:ext>
                <a:ext uri="{FF2B5EF4-FFF2-40B4-BE49-F238E27FC236}">
                  <a16:creationId xmlns:a16="http://schemas.microsoft.com/office/drawing/2014/main" id="{00000000-0008-0000-0300-00009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4241" name="Button 145" hidden="1">
              <a:extLst>
                <a:ext uri="{63B3BB69-23CF-44E3-9099-C40C66FF867C}">
                  <a14:compatExt spid="_x0000_s4241"/>
                </a:ext>
                <a:ext uri="{FF2B5EF4-FFF2-40B4-BE49-F238E27FC236}">
                  <a16:creationId xmlns:a16="http://schemas.microsoft.com/office/drawing/2014/main" id="{00000000-0008-0000-0300-00009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4242" name="Button 146" hidden="1">
              <a:extLst>
                <a:ext uri="{63B3BB69-23CF-44E3-9099-C40C66FF867C}">
                  <a14:compatExt spid="_x0000_s4242"/>
                </a:ext>
                <a:ext uri="{FF2B5EF4-FFF2-40B4-BE49-F238E27FC236}">
                  <a16:creationId xmlns:a16="http://schemas.microsoft.com/office/drawing/2014/main" id="{00000000-0008-0000-0300-00009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4243" name="Button 147" hidden="1">
              <a:extLst>
                <a:ext uri="{63B3BB69-23CF-44E3-9099-C40C66FF867C}">
                  <a14:compatExt spid="_x0000_s4243"/>
                </a:ext>
                <a:ext uri="{FF2B5EF4-FFF2-40B4-BE49-F238E27FC236}">
                  <a16:creationId xmlns:a16="http://schemas.microsoft.com/office/drawing/2014/main" id="{00000000-0008-0000-0300-00009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4244" name="Button 148" hidden="1">
              <a:extLst>
                <a:ext uri="{63B3BB69-23CF-44E3-9099-C40C66FF867C}">
                  <a14:compatExt spid="_x0000_s4244"/>
                </a:ext>
                <a:ext uri="{FF2B5EF4-FFF2-40B4-BE49-F238E27FC236}">
                  <a16:creationId xmlns:a16="http://schemas.microsoft.com/office/drawing/2014/main" id="{00000000-0008-0000-0300-00009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4245" name="Button 149" hidden="1">
              <a:extLst>
                <a:ext uri="{63B3BB69-23CF-44E3-9099-C40C66FF867C}">
                  <a14:compatExt spid="_x0000_s4245"/>
                </a:ext>
                <a:ext uri="{FF2B5EF4-FFF2-40B4-BE49-F238E27FC236}">
                  <a16:creationId xmlns:a16="http://schemas.microsoft.com/office/drawing/2014/main" id="{00000000-0008-0000-0300-00009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4246" name="Button 150" hidden="1">
              <a:extLst>
                <a:ext uri="{63B3BB69-23CF-44E3-9099-C40C66FF867C}">
                  <a14:compatExt spid="_x0000_s4246"/>
                </a:ext>
                <a:ext uri="{FF2B5EF4-FFF2-40B4-BE49-F238E27FC236}">
                  <a16:creationId xmlns:a16="http://schemas.microsoft.com/office/drawing/2014/main" id="{00000000-0008-0000-0300-00009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4247" name="Button 151" hidden="1">
              <a:extLst>
                <a:ext uri="{63B3BB69-23CF-44E3-9099-C40C66FF867C}">
                  <a14:compatExt spid="_x0000_s4247"/>
                </a:ext>
                <a:ext uri="{FF2B5EF4-FFF2-40B4-BE49-F238E27FC236}">
                  <a16:creationId xmlns:a16="http://schemas.microsoft.com/office/drawing/2014/main" id="{00000000-0008-0000-0300-00009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4248" name="Button 152" hidden="1">
              <a:extLst>
                <a:ext uri="{63B3BB69-23CF-44E3-9099-C40C66FF867C}">
                  <a14:compatExt spid="_x0000_s4248"/>
                </a:ext>
                <a:ext uri="{FF2B5EF4-FFF2-40B4-BE49-F238E27FC236}">
                  <a16:creationId xmlns:a16="http://schemas.microsoft.com/office/drawing/2014/main" id="{00000000-0008-0000-0300-00009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4249" name="Button 153" hidden="1">
              <a:extLst>
                <a:ext uri="{63B3BB69-23CF-44E3-9099-C40C66FF867C}">
                  <a14:compatExt spid="_x0000_s4249"/>
                </a:ext>
                <a:ext uri="{FF2B5EF4-FFF2-40B4-BE49-F238E27FC236}">
                  <a16:creationId xmlns:a16="http://schemas.microsoft.com/office/drawing/2014/main" id="{00000000-0008-0000-0300-00009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4250" name="Button 154" hidden="1">
              <a:extLst>
                <a:ext uri="{63B3BB69-23CF-44E3-9099-C40C66FF867C}">
                  <a14:compatExt spid="_x0000_s4250"/>
                </a:ext>
                <a:ext uri="{FF2B5EF4-FFF2-40B4-BE49-F238E27FC236}">
                  <a16:creationId xmlns:a16="http://schemas.microsoft.com/office/drawing/2014/main" id="{00000000-0008-0000-0300-00009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4251" name="Button 155" hidden="1">
              <a:extLst>
                <a:ext uri="{63B3BB69-23CF-44E3-9099-C40C66FF867C}">
                  <a14:compatExt spid="_x0000_s4251"/>
                </a:ext>
                <a:ext uri="{FF2B5EF4-FFF2-40B4-BE49-F238E27FC236}">
                  <a16:creationId xmlns:a16="http://schemas.microsoft.com/office/drawing/2014/main" id="{00000000-0008-0000-0300-00009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4252" name="Button 156" hidden="1">
              <a:extLst>
                <a:ext uri="{63B3BB69-23CF-44E3-9099-C40C66FF867C}">
                  <a14:compatExt spid="_x0000_s4252"/>
                </a:ext>
                <a:ext uri="{FF2B5EF4-FFF2-40B4-BE49-F238E27FC236}">
                  <a16:creationId xmlns:a16="http://schemas.microsoft.com/office/drawing/2014/main" id="{00000000-0008-0000-0300-00009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4253" name="Button 157" hidden="1">
              <a:extLst>
                <a:ext uri="{63B3BB69-23CF-44E3-9099-C40C66FF867C}">
                  <a14:compatExt spid="_x0000_s4253"/>
                </a:ext>
                <a:ext uri="{FF2B5EF4-FFF2-40B4-BE49-F238E27FC236}">
                  <a16:creationId xmlns:a16="http://schemas.microsoft.com/office/drawing/2014/main" id="{00000000-0008-0000-0300-00009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4254" name="Button 158" hidden="1">
              <a:extLst>
                <a:ext uri="{63B3BB69-23CF-44E3-9099-C40C66FF867C}">
                  <a14:compatExt spid="_x0000_s4254"/>
                </a:ext>
                <a:ext uri="{FF2B5EF4-FFF2-40B4-BE49-F238E27FC236}">
                  <a16:creationId xmlns:a16="http://schemas.microsoft.com/office/drawing/2014/main" id="{00000000-0008-0000-0300-00009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4255" name="Button 159" hidden="1">
              <a:extLst>
                <a:ext uri="{63B3BB69-23CF-44E3-9099-C40C66FF867C}">
                  <a14:compatExt spid="_x0000_s4255"/>
                </a:ext>
                <a:ext uri="{FF2B5EF4-FFF2-40B4-BE49-F238E27FC236}">
                  <a16:creationId xmlns:a16="http://schemas.microsoft.com/office/drawing/2014/main" id="{00000000-0008-0000-0300-00009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4256" name="Button 160" hidden="1">
              <a:extLst>
                <a:ext uri="{63B3BB69-23CF-44E3-9099-C40C66FF867C}">
                  <a14:compatExt spid="_x0000_s4256"/>
                </a:ext>
                <a:ext uri="{FF2B5EF4-FFF2-40B4-BE49-F238E27FC236}">
                  <a16:creationId xmlns:a16="http://schemas.microsoft.com/office/drawing/2014/main" id="{00000000-0008-0000-0300-0000A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4257" name="Button 161" hidden="1">
              <a:extLst>
                <a:ext uri="{63B3BB69-23CF-44E3-9099-C40C66FF867C}">
                  <a14:compatExt spid="_x0000_s4257"/>
                </a:ext>
                <a:ext uri="{FF2B5EF4-FFF2-40B4-BE49-F238E27FC236}">
                  <a16:creationId xmlns:a16="http://schemas.microsoft.com/office/drawing/2014/main" id="{00000000-0008-0000-0300-0000A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4258" name="Button 162" hidden="1">
              <a:extLst>
                <a:ext uri="{63B3BB69-23CF-44E3-9099-C40C66FF867C}">
                  <a14:compatExt spid="_x0000_s4258"/>
                </a:ext>
                <a:ext uri="{FF2B5EF4-FFF2-40B4-BE49-F238E27FC236}">
                  <a16:creationId xmlns:a16="http://schemas.microsoft.com/office/drawing/2014/main" id="{00000000-0008-0000-0300-0000A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4259" name="Button 163" hidden="1">
              <a:extLst>
                <a:ext uri="{63B3BB69-23CF-44E3-9099-C40C66FF867C}">
                  <a14:compatExt spid="_x0000_s4259"/>
                </a:ext>
                <a:ext uri="{FF2B5EF4-FFF2-40B4-BE49-F238E27FC236}">
                  <a16:creationId xmlns:a16="http://schemas.microsoft.com/office/drawing/2014/main" id="{00000000-0008-0000-0300-0000A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4260" name="Button 164" hidden="1">
              <a:extLst>
                <a:ext uri="{63B3BB69-23CF-44E3-9099-C40C66FF867C}">
                  <a14:compatExt spid="_x0000_s4260"/>
                </a:ext>
                <a:ext uri="{FF2B5EF4-FFF2-40B4-BE49-F238E27FC236}">
                  <a16:creationId xmlns:a16="http://schemas.microsoft.com/office/drawing/2014/main" id="{00000000-0008-0000-0300-0000A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4261" name="Button 165" hidden="1">
              <a:extLst>
                <a:ext uri="{63B3BB69-23CF-44E3-9099-C40C66FF867C}">
                  <a14:compatExt spid="_x0000_s4261"/>
                </a:ext>
                <a:ext uri="{FF2B5EF4-FFF2-40B4-BE49-F238E27FC236}">
                  <a16:creationId xmlns:a16="http://schemas.microsoft.com/office/drawing/2014/main" id="{00000000-0008-0000-0300-0000A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4262" name="Button 166" hidden="1">
              <a:extLst>
                <a:ext uri="{63B3BB69-23CF-44E3-9099-C40C66FF867C}">
                  <a14:compatExt spid="_x0000_s4262"/>
                </a:ext>
                <a:ext uri="{FF2B5EF4-FFF2-40B4-BE49-F238E27FC236}">
                  <a16:creationId xmlns:a16="http://schemas.microsoft.com/office/drawing/2014/main" id="{00000000-0008-0000-0300-0000A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4263" name="Button 167" hidden="1">
              <a:extLst>
                <a:ext uri="{63B3BB69-23CF-44E3-9099-C40C66FF867C}">
                  <a14:compatExt spid="_x0000_s4263"/>
                </a:ext>
                <a:ext uri="{FF2B5EF4-FFF2-40B4-BE49-F238E27FC236}">
                  <a16:creationId xmlns:a16="http://schemas.microsoft.com/office/drawing/2014/main" id="{00000000-0008-0000-0300-0000A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4264" name="Button 168" hidden="1">
              <a:extLst>
                <a:ext uri="{63B3BB69-23CF-44E3-9099-C40C66FF867C}">
                  <a14:compatExt spid="_x0000_s4264"/>
                </a:ext>
                <a:ext uri="{FF2B5EF4-FFF2-40B4-BE49-F238E27FC236}">
                  <a16:creationId xmlns:a16="http://schemas.microsoft.com/office/drawing/2014/main" id="{00000000-0008-0000-0300-0000A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4265" name="Button 169" hidden="1">
              <a:extLst>
                <a:ext uri="{63B3BB69-23CF-44E3-9099-C40C66FF867C}">
                  <a14:compatExt spid="_x0000_s4265"/>
                </a:ext>
                <a:ext uri="{FF2B5EF4-FFF2-40B4-BE49-F238E27FC236}">
                  <a16:creationId xmlns:a16="http://schemas.microsoft.com/office/drawing/2014/main" id="{00000000-0008-0000-0300-0000A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4266" name="Button 170" hidden="1">
              <a:extLst>
                <a:ext uri="{63B3BB69-23CF-44E3-9099-C40C66FF867C}">
                  <a14:compatExt spid="_x0000_s4266"/>
                </a:ext>
                <a:ext uri="{FF2B5EF4-FFF2-40B4-BE49-F238E27FC236}">
                  <a16:creationId xmlns:a16="http://schemas.microsoft.com/office/drawing/2014/main" id="{00000000-0008-0000-0300-0000A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4267" name="Button 171" hidden="1">
              <a:extLst>
                <a:ext uri="{63B3BB69-23CF-44E3-9099-C40C66FF867C}">
                  <a14:compatExt spid="_x0000_s4267"/>
                </a:ext>
                <a:ext uri="{FF2B5EF4-FFF2-40B4-BE49-F238E27FC236}">
                  <a16:creationId xmlns:a16="http://schemas.microsoft.com/office/drawing/2014/main" id="{00000000-0008-0000-0300-0000A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4268" name="Button 172" hidden="1">
              <a:extLst>
                <a:ext uri="{63B3BB69-23CF-44E3-9099-C40C66FF867C}">
                  <a14:compatExt spid="_x0000_s4268"/>
                </a:ext>
                <a:ext uri="{FF2B5EF4-FFF2-40B4-BE49-F238E27FC236}">
                  <a16:creationId xmlns:a16="http://schemas.microsoft.com/office/drawing/2014/main" id="{00000000-0008-0000-0300-0000A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4269" name="Button 173" hidden="1">
              <a:extLst>
                <a:ext uri="{63B3BB69-23CF-44E3-9099-C40C66FF867C}">
                  <a14:compatExt spid="_x0000_s4269"/>
                </a:ext>
                <a:ext uri="{FF2B5EF4-FFF2-40B4-BE49-F238E27FC236}">
                  <a16:creationId xmlns:a16="http://schemas.microsoft.com/office/drawing/2014/main" id="{00000000-0008-0000-0300-0000A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4270" name="Button 174" hidden="1">
              <a:extLst>
                <a:ext uri="{63B3BB69-23CF-44E3-9099-C40C66FF867C}">
                  <a14:compatExt spid="_x0000_s4270"/>
                </a:ext>
                <a:ext uri="{FF2B5EF4-FFF2-40B4-BE49-F238E27FC236}">
                  <a16:creationId xmlns:a16="http://schemas.microsoft.com/office/drawing/2014/main" id="{00000000-0008-0000-0300-0000A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4271" name="Button 175" hidden="1">
              <a:extLst>
                <a:ext uri="{63B3BB69-23CF-44E3-9099-C40C66FF867C}">
                  <a14:compatExt spid="_x0000_s4271"/>
                </a:ext>
                <a:ext uri="{FF2B5EF4-FFF2-40B4-BE49-F238E27FC236}">
                  <a16:creationId xmlns:a16="http://schemas.microsoft.com/office/drawing/2014/main" id="{00000000-0008-0000-0300-0000A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4272" name="Button 176" hidden="1">
              <a:extLst>
                <a:ext uri="{63B3BB69-23CF-44E3-9099-C40C66FF867C}">
                  <a14:compatExt spid="_x0000_s4272"/>
                </a:ext>
                <a:ext uri="{FF2B5EF4-FFF2-40B4-BE49-F238E27FC236}">
                  <a16:creationId xmlns:a16="http://schemas.microsoft.com/office/drawing/2014/main" id="{00000000-0008-0000-0300-0000B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4273" name="Button 177" hidden="1">
              <a:extLst>
                <a:ext uri="{63B3BB69-23CF-44E3-9099-C40C66FF867C}">
                  <a14:compatExt spid="_x0000_s4273"/>
                </a:ext>
                <a:ext uri="{FF2B5EF4-FFF2-40B4-BE49-F238E27FC236}">
                  <a16:creationId xmlns:a16="http://schemas.microsoft.com/office/drawing/2014/main" id="{00000000-0008-0000-0300-0000B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4274" name="Button 178" hidden="1">
              <a:extLst>
                <a:ext uri="{63B3BB69-23CF-44E3-9099-C40C66FF867C}">
                  <a14:compatExt spid="_x0000_s4274"/>
                </a:ext>
                <a:ext uri="{FF2B5EF4-FFF2-40B4-BE49-F238E27FC236}">
                  <a16:creationId xmlns:a16="http://schemas.microsoft.com/office/drawing/2014/main" id="{00000000-0008-0000-0300-0000B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4275" name="Button 179" hidden="1">
              <a:extLst>
                <a:ext uri="{63B3BB69-23CF-44E3-9099-C40C66FF867C}">
                  <a14:compatExt spid="_x0000_s4275"/>
                </a:ext>
                <a:ext uri="{FF2B5EF4-FFF2-40B4-BE49-F238E27FC236}">
                  <a16:creationId xmlns:a16="http://schemas.microsoft.com/office/drawing/2014/main" id="{00000000-0008-0000-0300-0000B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4276" name="Button 180" hidden="1">
              <a:extLst>
                <a:ext uri="{63B3BB69-23CF-44E3-9099-C40C66FF867C}">
                  <a14:compatExt spid="_x0000_s4276"/>
                </a:ext>
                <a:ext uri="{FF2B5EF4-FFF2-40B4-BE49-F238E27FC236}">
                  <a16:creationId xmlns:a16="http://schemas.microsoft.com/office/drawing/2014/main" id="{00000000-0008-0000-0300-0000B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4277" name="Button 181" hidden="1">
              <a:extLst>
                <a:ext uri="{63B3BB69-23CF-44E3-9099-C40C66FF867C}">
                  <a14:compatExt spid="_x0000_s4277"/>
                </a:ext>
                <a:ext uri="{FF2B5EF4-FFF2-40B4-BE49-F238E27FC236}">
                  <a16:creationId xmlns:a16="http://schemas.microsoft.com/office/drawing/2014/main" id="{00000000-0008-0000-0300-0000B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4278" name="Button 182" hidden="1">
              <a:extLst>
                <a:ext uri="{63B3BB69-23CF-44E3-9099-C40C66FF867C}">
                  <a14:compatExt spid="_x0000_s4278"/>
                </a:ext>
                <a:ext uri="{FF2B5EF4-FFF2-40B4-BE49-F238E27FC236}">
                  <a16:creationId xmlns:a16="http://schemas.microsoft.com/office/drawing/2014/main" id="{00000000-0008-0000-0300-0000B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4279" name="Button 183" hidden="1">
              <a:extLst>
                <a:ext uri="{63B3BB69-23CF-44E3-9099-C40C66FF867C}">
                  <a14:compatExt spid="_x0000_s4279"/>
                </a:ext>
                <a:ext uri="{FF2B5EF4-FFF2-40B4-BE49-F238E27FC236}">
                  <a16:creationId xmlns:a16="http://schemas.microsoft.com/office/drawing/2014/main" id="{00000000-0008-0000-0300-0000B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4280" name="Button 184" hidden="1">
              <a:extLst>
                <a:ext uri="{63B3BB69-23CF-44E3-9099-C40C66FF867C}">
                  <a14:compatExt spid="_x0000_s4280"/>
                </a:ext>
                <a:ext uri="{FF2B5EF4-FFF2-40B4-BE49-F238E27FC236}">
                  <a16:creationId xmlns:a16="http://schemas.microsoft.com/office/drawing/2014/main" id="{00000000-0008-0000-0300-0000B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4281" name="Button 185" hidden="1">
              <a:extLst>
                <a:ext uri="{63B3BB69-23CF-44E3-9099-C40C66FF867C}">
                  <a14:compatExt spid="_x0000_s4281"/>
                </a:ext>
                <a:ext uri="{FF2B5EF4-FFF2-40B4-BE49-F238E27FC236}">
                  <a16:creationId xmlns:a16="http://schemas.microsoft.com/office/drawing/2014/main" id="{00000000-0008-0000-0300-0000B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4282" name="Button 186" hidden="1">
              <a:extLst>
                <a:ext uri="{63B3BB69-23CF-44E3-9099-C40C66FF867C}">
                  <a14:compatExt spid="_x0000_s4282"/>
                </a:ext>
                <a:ext uri="{FF2B5EF4-FFF2-40B4-BE49-F238E27FC236}">
                  <a16:creationId xmlns:a16="http://schemas.microsoft.com/office/drawing/2014/main" id="{00000000-0008-0000-0300-0000B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4283" name="Button 187" hidden="1">
              <a:extLst>
                <a:ext uri="{63B3BB69-23CF-44E3-9099-C40C66FF867C}">
                  <a14:compatExt spid="_x0000_s4283"/>
                </a:ext>
                <a:ext uri="{FF2B5EF4-FFF2-40B4-BE49-F238E27FC236}">
                  <a16:creationId xmlns:a16="http://schemas.microsoft.com/office/drawing/2014/main" id="{00000000-0008-0000-0300-0000B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4284" name="Button 188" hidden="1">
              <a:extLst>
                <a:ext uri="{63B3BB69-23CF-44E3-9099-C40C66FF867C}">
                  <a14:compatExt spid="_x0000_s4284"/>
                </a:ext>
                <a:ext uri="{FF2B5EF4-FFF2-40B4-BE49-F238E27FC236}">
                  <a16:creationId xmlns:a16="http://schemas.microsoft.com/office/drawing/2014/main" id="{00000000-0008-0000-0300-0000B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4285" name="Button 189" hidden="1">
              <a:extLst>
                <a:ext uri="{63B3BB69-23CF-44E3-9099-C40C66FF867C}">
                  <a14:compatExt spid="_x0000_s4285"/>
                </a:ext>
                <a:ext uri="{FF2B5EF4-FFF2-40B4-BE49-F238E27FC236}">
                  <a16:creationId xmlns:a16="http://schemas.microsoft.com/office/drawing/2014/main" id="{00000000-0008-0000-0300-0000B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4286" name="Button 190" hidden="1">
              <a:extLst>
                <a:ext uri="{63B3BB69-23CF-44E3-9099-C40C66FF867C}">
                  <a14:compatExt spid="_x0000_s4286"/>
                </a:ext>
                <a:ext uri="{FF2B5EF4-FFF2-40B4-BE49-F238E27FC236}">
                  <a16:creationId xmlns:a16="http://schemas.microsoft.com/office/drawing/2014/main" id="{00000000-0008-0000-0300-0000B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4287" name="Button 191" hidden="1">
              <a:extLst>
                <a:ext uri="{63B3BB69-23CF-44E3-9099-C40C66FF867C}">
                  <a14:compatExt spid="_x0000_s4287"/>
                </a:ext>
                <a:ext uri="{FF2B5EF4-FFF2-40B4-BE49-F238E27FC236}">
                  <a16:creationId xmlns:a16="http://schemas.microsoft.com/office/drawing/2014/main" id="{00000000-0008-0000-0300-0000B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4288" name="Button 192" hidden="1">
              <a:extLst>
                <a:ext uri="{63B3BB69-23CF-44E3-9099-C40C66FF867C}">
                  <a14:compatExt spid="_x0000_s4288"/>
                </a:ext>
                <a:ext uri="{FF2B5EF4-FFF2-40B4-BE49-F238E27FC236}">
                  <a16:creationId xmlns:a16="http://schemas.microsoft.com/office/drawing/2014/main" id="{00000000-0008-0000-0300-0000C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4289" name="Button 193" hidden="1">
              <a:extLst>
                <a:ext uri="{63B3BB69-23CF-44E3-9099-C40C66FF867C}">
                  <a14:compatExt spid="_x0000_s4289"/>
                </a:ext>
                <a:ext uri="{FF2B5EF4-FFF2-40B4-BE49-F238E27FC236}">
                  <a16:creationId xmlns:a16="http://schemas.microsoft.com/office/drawing/2014/main" id="{00000000-0008-0000-0300-0000C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4290" name="Button 194" hidden="1">
              <a:extLst>
                <a:ext uri="{63B3BB69-23CF-44E3-9099-C40C66FF867C}">
                  <a14:compatExt spid="_x0000_s4290"/>
                </a:ext>
                <a:ext uri="{FF2B5EF4-FFF2-40B4-BE49-F238E27FC236}">
                  <a16:creationId xmlns:a16="http://schemas.microsoft.com/office/drawing/2014/main" id="{00000000-0008-0000-0300-0000C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4291" name="Button 195" hidden="1">
              <a:extLst>
                <a:ext uri="{63B3BB69-23CF-44E3-9099-C40C66FF867C}">
                  <a14:compatExt spid="_x0000_s4291"/>
                </a:ext>
                <a:ext uri="{FF2B5EF4-FFF2-40B4-BE49-F238E27FC236}">
                  <a16:creationId xmlns:a16="http://schemas.microsoft.com/office/drawing/2014/main" id="{00000000-0008-0000-0300-0000C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4292" name="Button 196" hidden="1">
              <a:extLst>
                <a:ext uri="{63B3BB69-23CF-44E3-9099-C40C66FF867C}">
                  <a14:compatExt spid="_x0000_s4292"/>
                </a:ext>
                <a:ext uri="{FF2B5EF4-FFF2-40B4-BE49-F238E27FC236}">
                  <a16:creationId xmlns:a16="http://schemas.microsoft.com/office/drawing/2014/main" id="{00000000-0008-0000-0300-0000C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4293" name="Button 197" hidden="1">
              <a:extLst>
                <a:ext uri="{63B3BB69-23CF-44E3-9099-C40C66FF867C}">
                  <a14:compatExt spid="_x0000_s4293"/>
                </a:ext>
                <a:ext uri="{FF2B5EF4-FFF2-40B4-BE49-F238E27FC236}">
                  <a16:creationId xmlns:a16="http://schemas.microsoft.com/office/drawing/2014/main" id="{00000000-0008-0000-0300-0000C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4294" name="Button 198" hidden="1">
              <a:extLst>
                <a:ext uri="{63B3BB69-23CF-44E3-9099-C40C66FF867C}">
                  <a14:compatExt spid="_x0000_s4294"/>
                </a:ext>
                <a:ext uri="{FF2B5EF4-FFF2-40B4-BE49-F238E27FC236}">
                  <a16:creationId xmlns:a16="http://schemas.microsoft.com/office/drawing/2014/main" id="{00000000-0008-0000-0300-0000C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4295" name="Button 199" hidden="1">
              <a:extLst>
                <a:ext uri="{63B3BB69-23CF-44E3-9099-C40C66FF867C}">
                  <a14:compatExt spid="_x0000_s4295"/>
                </a:ext>
                <a:ext uri="{FF2B5EF4-FFF2-40B4-BE49-F238E27FC236}">
                  <a16:creationId xmlns:a16="http://schemas.microsoft.com/office/drawing/2014/main" id="{00000000-0008-0000-0300-0000C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4296" name="Button 200" hidden="1">
              <a:extLst>
                <a:ext uri="{63B3BB69-23CF-44E3-9099-C40C66FF867C}">
                  <a14:compatExt spid="_x0000_s4296"/>
                </a:ext>
                <a:ext uri="{FF2B5EF4-FFF2-40B4-BE49-F238E27FC236}">
                  <a16:creationId xmlns:a16="http://schemas.microsoft.com/office/drawing/2014/main" id="{00000000-0008-0000-0300-0000C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4297" name="Button 201" hidden="1">
              <a:extLst>
                <a:ext uri="{63B3BB69-23CF-44E3-9099-C40C66FF867C}">
                  <a14:compatExt spid="_x0000_s4297"/>
                </a:ext>
                <a:ext uri="{FF2B5EF4-FFF2-40B4-BE49-F238E27FC236}">
                  <a16:creationId xmlns:a16="http://schemas.microsoft.com/office/drawing/2014/main" id="{00000000-0008-0000-0300-0000C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4298" name="Button 202" hidden="1">
              <a:extLst>
                <a:ext uri="{63B3BB69-23CF-44E3-9099-C40C66FF867C}">
                  <a14:compatExt spid="_x0000_s4298"/>
                </a:ext>
                <a:ext uri="{FF2B5EF4-FFF2-40B4-BE49-F238E27FC236}">
                  <a16:creationId xmlns:a16="http://schemas.microsoft.com/office/drawing/2014/main" id="{00000000-0008-0000-0300-0000C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4299" name="Button 203" hidden="1">
              <a:extLst>
                <a:ext uri="{63B3BB69-23CF-44E3-9099-C40C66FF867C}">
                  <a14:compatExt spid="_x0000_s4299"/>
                </a:ext>
                <a:ext uri="{FF2B5EF4-FFF2-40B4-BE49-F238E27FC236}">
                  <a16:creationId xmlns:a16="http://schemas.microsoft.com/office/drawing/2014/main" id="{00000000-0008-0000-0300-0000C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4300" name="Button 204" hidden="1">
              <a:extLst>
                <a:ext uri="{63B3BB69-23CF-44E3-9099-C40C66FF867C}">
                  <a14:compatExt spid="_x0000_s4300"/>
                </a:ext>
                <a:ext uri="{FF2B5EF4-FFF2-40B4-BE49-F238E27FC236}">
                  <a16:creationId xmlns:a16="http://schemas.microsoft.com/office/drawing/2014/main" id="{00000000-0008-0000-0300-0000C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4301" name="Button 205" hidden="1">
              <a:extLst>
                <a:ext uri="{63B3BB69-23CF-44E3-9099-C40C66FF867C}">
                  <a14:compatExt spid="_x0000_s4301"/>
                </a:ext>
                <a:ext uri="{FF2B5EF4-FFF2-40B4-BE49-F238E27FC236}">
                  <a16:creationId xmlns:a16="http://schemas.microsoft.com/office/drawing/2014/main" id="{00000000-0008-0000-0300-0000C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4302" name="Button 206" hidden="1">
              <a:extLst>
                <a:ext uri="{63B3BB69-23CF-44E3-9099-C40C66FF867C}">
                  <a14:compatExt spid="_x0000_s4302"/>
                </a:ext>
                <a:ext uri="{FF2B5EF4-FFF2-40B4-BE49-F238E27FC236}">
                  <a16:creationId xmlns:a16="http://schemas.microsoft.com/office/drawing/2014/main" id="{00000000-0008-0000-0300-0000C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4303" name="Button 207" hidden="1">
              <a:extLst>
                <a:ext uri="{63B3BB69-23CF-44E3-9099-C40C66FF867C}">
                  <a14:compatExt spid="_x0000_s4303"/>
                </a:ext>
                <a:ext uri="{FF2B5EF4-FFF2-40B4-BE49-F238E27FC236}">
                  <a16:creationId xmlns:a16="http://schemas.microsoft.com/office/drawing/2014/main" id="{00000000-0008-0000-0300-0000C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4304" name="Button 208" hidden="1">
              <a:extLst>
                <a:ext uri="{63B3BB69-23CF-44E3-9099-C40C66FF867C}">
                  <a14:compatExt spid="_x0000_s4304"/>
                </a:ext>
                <a:ext uri="{FF2B5EF4-FFF2-40B4-BE49-F238E27FC236}">
                  <a16:creationId xmlns:a16="http://schemas.microsoft.com/office/drawing/2014/main" id="{00000000-0008-0000-0300-0000D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4305" name="Button 209" hidden="1">
              <a:extLst>
                <a:ext uri="{63B3BB69-23CF-44E3-9099-C40C66FF867C}">
                  <a14:compatExt spid="_x0000_s4305"/>
                </a:ext>
                <a:ext uri="{FF2B5EF4-FFF2-40B4-BE49-F238E27FC236}">
                  <a16:creationId xmlns:a16="http://schemas.microsoft.com/office/drawing/2014/main" id="{00000000-0008-0000-0300-0000D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4306" name="Button 210" hidden="1">
              <a:extLst>
                <a:ext uri="{63B3BB69-23CF-44E3-9099-C40C66FF867C}">
                  <a14:compatExt spid="_x0000_s4306"/>
                </a:ext>
                <a:ext uri="{FF2B5EF4-FFF2-40B4-BE49-F238E27FC236}">
                  <a16:creationId xmlns:a16="http://schemas.microsoft.com/office/drawing/2014/main" id="{00000000-0008-0000-0300-0000D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4307" name="Button 211" hidden="1">
              <a:extLst>
                <a:ext uri="{63B3BB69-23CF-44E3-9099-C40C66FF867C}">
                  <a14:compatExt spid="_x0000_s4307"/>
                </a:ext>
                <a:ext uri="{FF2B5EF4-FFF2-40B4-BE49-F238E27FC236}">
                  <a16:creationId xmlns:a16="http://schemas.microsoft.com/office/drawing/2014/main" id="{00000000-0008-0000-0300-0000D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4308" name="Button 212" hidden="1">
              <a:extLst>
                <a:ext uri="{63B3BB69-23CF-44E3-9099-C40C66FF867C}">
                  <a14:compatExt spid="_x0000_s4308"/>
                </a:ext>
                <a:ext uri="{FF2B5EF4-FFF2-40B4-BE49-F238E27FC236}">
                  <a16:creationId xmlns:a16="http://schemas.microsoft.com/office/drawing/2014/main" id="{00000000-0008-0000-0300-0000D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ris/Desktop/Antares_Densidad/SP-21-003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ris/Desktop/Antares_Densidad/SP-20-08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22">
          <cell r="J22"/>
        </row>
        <row r="35">
          <cell r="A35"/>
        </row>
      </sheetData>
      <sheetData sheetId="1"/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18">
          <cell r="J18"/>
          <cell r="P18"/>
          <cell r="W18"/>
        </row>
        <row r="19">
          <cell r="J19"/>
          <cell r="P19"/>
          <cell r="W19"/>
        </row>
        <row r="20">
          <cell r="J20"/>
          <cell r="P20"/>
          <cell r="W20"/>
        </row>
        <row r="21">
          <cell r="J21"/>
          <cell r="P21"/>
          <cell r="W21"/>
        </row>
        <row r="22">
          <cell r="P22"/>
          <cell r="W22"/>
        </row>
        <row r="23">
          <cell r="J23"/>
          <cell r="P23"/>
          <cell r="W23"/>
        </row>
        <row r="24">
          <cell r="J24"/>
          <cell r="P24"/>
          <cell r="W24"/>
        </row>
        <row r="25">
          <cell r="J25"/>
          <cell r="P25"/>
          <cell r="W25"/>
        </row>
        <row r="26">
          <cell r="J26"/>
          <cell r="P26"/>
          <cell r="W26"/>
        </row>
        <row r="27">
          <cell r="J27"/>
          <cell r="P27"/>
          <cell r="W27"/>
        </row>
        <row r="28">
          <cell r="J28"/>
          <cell r="P28"/>
          <cell r="W28"/>
        </row>
        <row r="29">
          <cell r="J29"/>
          <cell r="P29"/>
          <cell r="W29"/>
        </row>
        <row r="30">
          <cell r="J30"/>
          <cell r="P30"/>
          <cell r="W30"/>
        </row>
        <row r="31">
          <cell r="J31"/>
          <cell r="P31"/>
          <cell r="W31"/>
        </row>
        <row r="32">
          <cell r="J32"/>
          <cell r="P32"/>
          <cell r="W32"/>
        </row>
        <row r="33">
          <cell r="J33"/>
          <cell r="P33"/>
          <cell r="W33"/>
        </row>
        <row r="34">
          <cell r="J34"/>
          <cell r="P34"/>
          <cell r="W34"/>
        </row>
        <row r="35">
          <cell r="J35"/>
          <cell r="P35"/>
          <cell r="W35"/>
        </row>
        <row r="36">
          <cell r="A36"/>
          <cell r="J36"/>
          <cell r="P36"/>
          <cell r="W36"/>
        </row>
        <row r="37">
          <cell r="A37"/>
          <cell r="J37"/>
          <cell r="P37"/>
          <cell r="W37"/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16" Type="http://schemas.openxmlformats.org/officeDocument/2006/relationships/ctrlProp" Target="../ctrlProps/ctrlProp213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79" Type="http://schemas.openxmlformats.org/officeDocument/2006/relationships/ctrlProp" Target="../ctrlProps/ctrlProp176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64" Type="http://schemas.openxmlformats.org/officeDocument/2006/relationships/ctrlProp" Target="../ctrlProps/ctrlProp161.xml"/><Relationship Id="rId169" Type="http://schemas.openxmlformats.org/officeDocument/2006/relationships/ctrlProp" Target="../ctrlProps/ctrlProp166.xml"/><Relationship Id="rId185" Type="http://schemas.openxmlformats.org/officeDocument/2006/relationships/ctrlProp" Target="../ctrlProps/ctrlProp18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80" Type="http://schemas.openxmlformats.org/officeDocument/2006/relationships/ctrlProp" Target="../ctrlProps/ctrlProp177.xml"/><Relationship Id="rId210" Type="http://schemas.openxmlformats.org/officeDocument/2006/relationships/ctrlProp" Target="../ctrlProps/ctrlProp207.xml"/><Relationship Id="rId215" Type="http://schemas.openxmlformats.org/officeDocument/2006/relationships/ctrlProp" Target="../ctrlProps/ctrlProp212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9.xml"/><Relationship Id="rId21" Type="http://schemas.openxmlformats.org/officeDocument/2006/relationships/ctrlProp" Target="../ctrlProps/ctrlProp233.xml"/><Relationship Id="rId42" Type="http://schemas.openxmlformats.org/officeDocument/2006/relationships/ctrlProp" Target="../ctrlProps/ctrlProp254.xml"/><Relationship Id="rId63" Type="http://schemas.openxmlformats.org/officeDocument/2006/relationships/ctrlProp" Target="../ctrlProps/ctrlProp275.xml"/><Relationship Id="rId84" Type="http://schemas.openxmlformats.org/officeDocument/2006/relationships/ctrlProp" Target="../ctrlProps/ctrlProp296.xml"/><Relationship Id="rId138" Type="http://schemas.openxmlformats.org/officeDocument/2006/relationships/ctrlProp" Target="../ctrlProps/ctrlProp350.xml"/><Relationship Id="rId159" Type="http://schemas.openxmlformats.org/officeDocument/2006/relationships/ctrlProp" Target="../ctrlProps/ctrlProp371.xml"/><Relationship Id="rId170" Type="http://schemas.openxmlformats.org/officeDocument/2006/relationships/ctrlProp" Target="../ctrlProps/ctrlProp382.xml"/><Relationship Id="rId191" Type="http://schemas.openxmlformats.org/officeDocument/2006/relationships/ctrlProp" Target="../ctrlProps/ctrlProp403.xml"/><Relationship Id="rId205" Type="http://schemas.openxmlformats.org/officeDocument/2006/relationships/ctrlProp" Target="../ctrlProps/ctrlProp417.xml"/><Relationship Id="rId107" Type="http://schemas.openxmlformats.org/officeDocument/2006/relationships/ctrlProp" Target="../ctrlProps/ctrlProp319.xml"/><Relationship Id="rId11" Type="http://schemas.openxmlformats.org/officeDocument/2006/relationships/ctrlProp" Target="../ctrlProps/ctrlProp223.xml"/><Relationship Id="rId32" Type="http://schemas.openxmlformats.org/officeDocument/2006/relationships/ctrlProp" Target="../ctrlProps/ctrlProp244.xml"/><Relationship Id="rId53" Type="http://schemas.openxmlformats.org/officeDocument/2006/relationships/ctrlProp" Target="../ctrlProps/ctrlProp265.xml"/><Relationship Id="rId74" Type="http://schemas.openxmlformats.org/officeDocument/2006/relationships/ctrlProp" Target="../ctrlProps/ctrlProp286.xml"/><Relationship Id="rId128" Type="http://schemas.openxmlformats.org/officeDocument/2006/relationships/ctrlProp" Target="../ctrlProps/ctrlProp340.xml"/><Relationship Id="rId149" Type="http://schemas.openxmlformats.org/officeDocument/2006/relationships/ctrlProp" Target="../ctrlProps/ctrlProp361.xml"/><Relationship Id="rId5" Type="http://schemas.openxmlformats.org/officeDocument/2006/relationships/ctrlProp" Target="../ctrlProps/ctrlProp217.xml"/><Relationship Id="rId95" Type="http://schemas.openxmlformats.org/officeDocument/2006/relationships/ctrlProp" Target="../ctrlProps/ctrlProp307.xml"/><Relationship Id="rId160" Type="http://schemas.openxmlformats.org/officeDocument/2006/relationships/ctrlProp" Target="../ctrlProps/ctrlProp372.xml"/><Relationship Id="rId181" Type="http://schemas.openxmlformats.org/officeDocument/2006/relationships/ctrlProp" Target="../ctrlProps/ctrlProp393.xml"/><Relationship Id="rId216" Type="http://schemas.openxmlformats.org/officeDocument/2006/relationships/ctrlProp" Target="../ctrlProps/ctrlProp428.xml"/><Relationship Id="rId22" Type="http://schemas.openxmlformats.org/officeDocument/2006/relationships/ctrlProp" Target="../ctrlProps/ctrlProp234.xml"/><Relationship Id="rId43" Type="http://schemas.openxmlformats.org/officeDocument/2006/relationships/ctrlProp" Target="../ctrlProps/ctrlProp255.xml"/><Relationship Id="rId64" Type="http://schemas.openxmlformats.org/officeDocument/2006/relationships/ctrlProp" Target="../ctrlProps/ctrlProp276.xml"/><Relationship Id="rId118" Type="http://schemas.openxmlformats.org/officeDocument/2006/relationships/ctrlProp" Target="../ctrlProps/ctrlProp330.xml"/><Relationship Id="rId139" Type="http://schemas.openxmlformats.org/officeDocument/2006/relationships/ctrlProp" Target="../ctrlProps/ctrlProp351.xml"/><Relationship Id="rId85" Type="http://schemas.openxmlformats.org/officeDocument/2006/relationships/ctrlProp" Target="../ctrlProps/ctrlProp297.xml"/><Relationship Id="rId150" Type="http://schemas.openxmlformats.org/officeDocument/2006/relationships/ctrlProp" Target="../ctrlProps/ctrlProp362.xml"/><Relationship Id="rId171" Type="http://schemas.openxmlformats.org/officeDocument/2006/relationships/ctrlProp" Target="../ctrlProps/ctrlProp383.xml"/><Relationship Id="rId192" Type="http://schemas.openxmlformats.org/officeDocument/2006/relationships/ctrlProp" Target="../ctrlProps/ctrlProp404.xml"/><Relationship Id="rId206" Type="http://schemas.openxmlformats.org/officeDocument/2006/relationships/ctrlProp" Target="../ctrlProps/ctrlProp418.xml"/><Relationship Id="rId12" Type="http://schemas.openxmlformats.org/officeDocument/2006/relationships/ctrlProp" Target="../ctrlProps/ctrlProp224.xml"/><Relationship Id="rId33" Type="http://schemas.openxmlformats.org/officeDocument/2006/relationships/ctrlProp" Target="../ctrlProps/ctrlProp245.xml"/><Relationship Id="rId108" Type="http://schemas.openxmlformats.org/officeDocument/2006/relationships/ctrlProp" Target="../ctrlProps/ctrlProp320.xml"/><Relationship Id="rId129" Type="http://schemas.openxmlformats.org/officeDocument/2006/relationships/ctrlProp" Target="../ctrlProps/ctrlProp341.xml"/><Relationship Id="rId54" Type="http://schemas.openxmlformats.org/officeDocument/2006/relationships/ctrlProp" Target="../ctrlProps/ctrlProp266.xml"/><Relationship Id="rId75" Type="http://schemas.openxmlformats.org/officeDocument/2006/relationships/ctrlProp" Target="../ctrlProps/ctrlProp287.xml"/><Relationship Id="rId96" Type="http://schemas.openxmlformats.org/officeDocument/2006/relationships/ctrlProp" Target="../ctrlProps/ctrlProp308.xml"/><Relationship Id="rId140" Type="http://schemas.openxmlformats.org/officeDocument/2006/relationships/ctrlProp" Target="../ctrlProps/ctrlProp352.xml"/><Relationship Id="rId161" Type="http://schemas.openxmlformats.org/officeDocument/2006/relationships/ctrlProp" Target="../ctrlProps/ctrlProp373.xml"/><Relationship Id="rId182" Type="http://schemas.openxmlformats.org/officeDocument/2006/relationships/ctrlProp" Target="../ctrlProps/ctrlProp394.xml"/><Relationship Id="rId217" Type="http://schemas.openxmlformats.org/officeDocument/2006/relationships/ctrlProp" Target="../ctrlProps/ctrlProp429.xml"/><Relationship Id="rId6" Type="http://schemas.openxmlformats.org/officeDocument/2006/relationships/ctrlProp" Target="../ctrlProps/ctrlProp218.xml"/><Relationship Id="rId23" Type="http://schemas.openxmlformats.org/officeDocument/2006/relationships/ctrlProp" Target="../ctrlProps/ctrlProp235.xml"/><Relationship Id="rId119" Type="http://schemas.openxmlformats.org/officeDocument/2006/relationships/ctrlProp" Target="../ctrlProps/ctrlProp331.xml"/><Relationship Id="rId44" Type="http://schemas.openxmlformats.org/officeDocument/2006/relationships/ctrlProp" Target="../ctrlProps/ctrlProp256.xml"/><Relationship Id="rId65" Type="http://schemas.openxmlformats.org/officeDocument/2006/relationships/ctrlProp" Target="../ctrlProps/ctrlProp277.xml"/><Relationship Id="rId86" Type="http://schemas.openxmlformats.org/officeDocument/2006/relationships/ctrlProp" Target="../ctrlProps/ctrlProp298.xml"/><Relationship Id="rId130" Type="http://schemas.openxmlformats.org/officeDocument/2006/relationships/ctrlProp" Target="../ctrlProps/ctrlProp342.xml"/><Relationship Id="rId151" Type="http://schemas.openxmlformats.org/officeDocument/2006/relationships/ctrlProp" Target="../ctrlProps/ctrlProp363.xml"/><Relationship Id="rId172" Type="http://schemas.openxmlformats.org/officeDocument/2006/relationships/ctrlProp" Target="../ctrlProps/ctrlProp384.xml"/><Relationship Id="rId193" Type="http://schemas.openxmlformats.org/officeDocument/2006/relationships/ctrlProp" Target="../ctrlProps/ctrlProp405.xml"/><Relationship Id="rId207" Type="http://schemas.openxmlformats.org/officeDocument/2006/relationships/ctrlProp" Target="../ctrlProps/ctrlProp419.xml"/><Relationship Id="rId13" Type="http://schemas.openxmlformats.org/officeDocument/2006/relationships/ctrlProp" Target="../ctrlProps/ctrlProp225.xml"/><Relationship Id="rId109" Type="http://schemas.openxmlformats.org/officeDocument/2006/relationships/ctrlProp" Target="../ctrlProps/ctrlProp321.xml"/><Relationship Id="rId34" Type="http://schemas.openxmlformats.org/officeDocument/2006/relationships/ctrlProp" Target="../ctrlProps/ctrlProp246.xml"/><Relationship Id="rId55" Type="http://schemas.openxmlformats.org/officeDocument/2006/relationships/ctrlProp" Target="../ctrlProps/ctrlProp267.xml"/><Relationship Id="rId76" Type="http://schemas.openxmlformats.org/officeDocument/2006/relationships/ctrlProp" Target="../ctrlProps/ctrlProp288.xml"/><Relationship Id="rId97" Type="http://schemas.openxmlformats.org/officeDocument/2006/relationships/ctrlProp" Target="../ctrlProps/ctrlProp309.xml"/><Relationship Id="rId120" Type="http://schemas.openxmlformats.org/officeDocument/2006/relationships/ctrlProp" Target="../ctrlProps/ctrlProp332.xml"/><Relationship Id="rId141" Type="http://schemas.openxmlformats.org/officeDocument/2006/relationships/ctrlProp" Target="../ctrlProps/ctrlProp353.xml"/><Relationship Id="rId7" Type="http://schemas.openxmlformats.org/officeDocument/2006/relationships/ctrlProp" Target="../ctrlProps/ctrlProp219.xml"/><Relationship Id="rId162" Type="http://schemas.openxmlformats.org/officeDocument/2006/relationships/ctrlProp" Target="../ctrlProps/ctrlProp374.xml"/><Relationship Id="rId183" Type="http://schemas.openxmlformats.org/officeDocument/2006/relationships/ctrlProp" Target="../ctrlProps/ctrlProp395.xml"/><Relationship Id="rId218" Type="http://schemas.openxmlformats.org/officeDocument/2006/relationships/ctrlProp" Target="../ctrlProps/ctrlProp430.xml"/><Relationship Id="rId24" Type="http://schemas.openxmlformats.org/officeDocument/2006/relationships/ctrlProp" Target="../ctrlProps/ctrlProp236.xml"/><Relationship Id="rId45" Type="http://schemas.openxmlformats.org/officeDocument/2006/relationships/ctrlProp" Target="../ctrlProps/ctrlProp257.xml"/><Relationship Id="rId66" Type="http://schemas.openxmlformats.org/officeDocument/2006/relationships/ctrlProp" Target="../ctrlProps/ctrlProp278.xml"/><Relationship Id="rId87" Type="http://schemas.openxmlformats.org/officeDocument/2006/relationships/ctrlProp" Target="../ctrlProps/ctrlProp299.xml"/><Relationship Id="rId110" Type="http://schemas.openxmlformats.org/officeDocument/2006/relationships/ctrlProp" Target="../ctrlProps/ctrlProp322.xml"/><Relationship Id="rId131" Type="http://schemas.openxmlformats.org/officeDocument/2006/relationships/ctrlProp" Target="../ctrlProps/ctrlProp343.xml"/><Relationship Id="rId152" Type="http://schemas.openxmlformats.org/officeDocument/2006/relationships/ctrlProp" Target="../ctrlProps/ctrlProp364.xml"/><Relationship Id="rId173" Type="http://schemas.openxmlformats.org/officeDocument/2006/relationships/ctrlProp" Target="../ctrlProps/ctrlProp385.xml"/><Relationship Id="rId194" Type="http://schemas.openxmlformats.org/officeDocument/2006/relationships/ctrlProp" Target="../ctrlProps/ctrlProp406.xml"/><Relationship Id="rId208" Type="http://schemas.openxmlformats.org/officeDocument/2006/relationships/ctrlProp" Target="../ctrlProps/ctrlProp420.xml"/><Relationship Id="rId14" Type="http://schemas.openxmlformats.org/officeDocument/2006/relationships/ctrlProp" Target="../ctrlProps/ctrlProp226.xml"/><Relationship Id="rId30" Type="http://schemas.openxmlformats.org/officeDocument/2006/relationships/ctrlProp" Target="../ctrlProps/ctrlProp242.xml"/><Relationship Id="rId35" Type="http://schemas.openxmlformats.org/officeDocument/2006/relationships/ctrlProp" Target="../ctrlProps/ctrlProp247.xml"/><Relationship Id="rId56" Type="http://schemas.openxmlformats.org/officeDocument/2006/relationships/ctrlProp" Target="../ctrlProps/ctrlProp268.xml"/><Relationship Id="rId77" Type="http://schemas.openxmlformats.org/officeDocument/2006/relationships/ctrlProp" Target="../ctrlProps/ctrlProp289.xml"/><Relationship Id="rId100" Type="http://schemas.openxmlformats.org/officeDocument/2006/relationships/ctrlProp" Target="../ctrlProps/ctrlProp312.xml"/><Relationship Id="rId105" Type="http://schemas.openxmlformats.org/officeDocument/2006/relationships/ctrlProp" Target="../ctrlProps/ctrlProp317.xml"/><Relationship Id="rId126" Type="http://schemas.openxmlformats.org/officeDocument/2006/relationships/ctrlProp" Target="../ctrlProps/ctrlProp338.xml"/><Relationship Id="rId147" Type="http://schemas.openxmlformats.org/officeDocument/2006/relationships/ctrlProp" Target="../ctrlProps/ctrlProp359.xml"/><Relationship Id="rId168" Type="http://schemas.openxmlformats.org/officeDocument/2006/relationships/ctrlProp" Target="../ctrlProps/ctrlProp380.xml"/><Relationship Id="rId8" Type="http://schemas.openxmlformats.org/officeDocument/2006/relationships/ctrlProp" Target="../ctrlProps/ctrlProp220.xml"/><Relationship Id="rId51" Type="http://schemas.openxmlformats.org/officeDocument/2006/relationships/ctrlProp" Target="../ctrlProps/ctrlProp263.xml"/><Relationship Id="rId72" Type="http://schemas.openxmlformats.org/officeDocument/2006/relationships/ctrlProp" Target="../ctrlProps/ctrlProp284.xml"/><Relationship Id="rId93" Type="http://schemas.openxmlformats.org/officeDocument/2006/relationships/ctrlProp" Target="../ctrlProps/ctrlProp305.xml"/><Relationship Id="rId98" Type="http://schemas.openxmlformats.org/officeDocument/2006/relationships/ctrlProp" Target="../ctrlProps/ctrlProp310.xml"/><Relationship Id="rId121" Type="http://schemas.openxmlformats.org/officeDocument/2006/relationships/ctrlProp" Target="../ctrlProps/ctrlProp333.xml"/><Relationship Id="rId142" Type="http://schemas.openxmlformats.org/officeDocument/2006/relationships/ctrlProp" Target="../ctrlProps/ctrlProp354.xml"/><Relationship Id="rId163" Type="http://schemas.openxmlformats.org/officeDocument/2006/relationships/ctrlProp" Target="../ctrlProps/ctrlProp375.xml"/><Relationship Id="rId184" Type="http://schemas.openxmlformats.org/officeDocument/2006/relationships/ctrlProp" Target="../ctrlProps/ctrlProp396.xml"/><Relationship Id="rId189" Type="http://schemas.openxmlformats.org/officeDocument/2006/relationships/ctrlProp" Target="../ctrlProps/ctrlProp401.xml"/><Relationship Id="rId3" Type="http://schemas.openxmlformats.org/officeDocument/2006/relationships/vmlDrawing" Target="../drawings/vmlDrawing2.vml"/><Relationship Id="rId214" Type="http://schemas.openxmlformats.org/officeDocument/2006/relationships/ctrlProp" Target="../ctrlProps/ctrlProp426.xml"/><Relationship Id="rId25" Type="http://schemas.openxmlformats.org/officeDocument/2006/relationships/ctrlProp" Target="../ctrlProps/ctrlProp237.xml"/><Relationship Id="rId46" Type="http://schemas.openxmlformats.org/officeDocument/2006/relationships/ctrlProp" Target="../ctrlProps/ctrlProp258.xml"/><Relationship Id="rId67" Type="http://schemas.openxmlformats.org/officeDocument/2006/relationships/ctrlProp" Target="../ctrlProps/ctrlProp279.xml"/><Relationship Id="rId116" Type="http://schemas.openxmlformats.org/officeDocument/2006/relationships/ctrlProp" Target="../ctrlProps/ctrlProp328.xml"/><Relationship Id="rId137" Type="http://schemas.openxmlformats.org/officeDocument/2006/relationships/ctrlProp" Target="../ctrlProps/ctrlProp349.xml"/><Relationship Id="rId158" Type="http://schemas.openxmlformats.org/officeDocument/2006/relationships/ctrlProp" Target="../ctrlProps/ctrlProp370.xml"/><Relationship Id="rId20" Type="http://schemas.openxmlformats.org/officeDocument/2006/relationships/ctrlProp" Target="../ctrlProps/ctrlProp232.xml"/><Relationship Id="rId41" Type="http://schemas.openxmlformats.org/officeDocument/2006/relationships/ctrlProp" Target="../ctrlProps/ctrlProp253.xml"/><Relationship Id="rId62" Type="http://schemas.openxmlformats.org/officeDocument/2006/relationships/ctrlProp" Target="../ctrlProps/ctrlProp274.xml"/><Relationship Id="rId83" Type="http://schemas.openxmlformats.org/officeDocument/2006/relationships/ctrlProp" Target="../ctrlProps/ctrlProp295.xml"/><Relationship Id="rId88" Type="http://schemas.openxmlformats.org/officeDocument/2006/relationships/ctrlProp" Target="../ctrlProps/ctrlProp300.xml"/><Relationship Id="rId111" Type="http://schemas.openxmlformats.org/officeDocument/2006/relationships/ctrlProp" Target="../ctrlProps/ctrlProp323.xml"/><Relationship Id="rId132" Type="http://schemas.openxmlformats.org/officeDocument/2006/relationships/ctrlProp" Target="../ctrlProps/ctrlProp344.xml"/><Relationship Id="rId153" Type="http://schemas.openxmlformats.org/officeDocument/2006/relationships/ctrlProp" Target="../ctrlProps/ctrlProp365.xml"/><Relationship Id="rId174" Type="http://schemas.openxmlformats.org/officeDocument/2006/relationships/ctrlProp" Target="../ctrlProps/ctrlProp386.xml"/><Relationship Id="rId179" Type="http://schemas.openxmlformats.org/officeDocument/2006/relationships/ctrlProp" Target="../ctrlProps/ctrlProp391.xml"/><Relationship Id="rId195" Type="http://schemas.openxmlformats.org/officeDocument/2006/relationships/ctrlProp" Target="../ctrlProps/ctrlProp407.xml"/><Relationship Id="rId209" Type="http://schemas.openxmlformats.org/officeDocument/2006/relationships/ctrlProp" Target="../ctrlProps/ctrlProp421.xml"/><Relationship Id="rId190" Type="http://schemas.openxmlformats.org/officeDocument/2006/relationships/ctrlProp" Target="../ctrlProps/ctrlProp402.xml"/><Relationship Id="rId204" Type="http://schemas.openxmlformats.org/officeDocument/2006/relationships/ctrlProp" Target="../ctrlProps/ctrlProp416.xml"/><Relationship Id="rId15" Type="http://schemas.openxmlformats.org/officeDocument/2006/relationships/ctrlProp" Target="../ctrlProps/ctrlProp227.xml"/><Relationship Id="rId36" Type="http://schemas.openxmlformats.org/officeDocument/2006/relationships/ctrlProp" Target="../ctrlProps/ctrlProp248.xml"/><Relationship Id="rId57" Type="http://schemas.openxmlformats.org/officeDocument/2006/relationships/ctrlProp" Target="../ctrlProps/ctrlProp269.xml"/><Relationship Id="rId106" Type="http://schemas.openxmlformats.org/officeDocument/2006/relationships/ctrlProp" Target="../ctrlProps/ctrlProp318.xml"/><Relationship Id="rId127" Type="http://schemas.openxmlformats.org/officeDocument/2006/relationships/ctrlProp" Target="../ctrlProps/ctrlProp339.xml"/><Relationship Id="rId10" Type="http://schemas.openxmlformats.org/officeDocument/2006/relationships/ctrlProp" Target="../ctrlProps/ctrlProp222.xml"/><Relationship Id="rId31" Type="http://schemas.openxmlformats.org/officeDocument/2006/relationships/ctrlProp" Target="../ctrlProps/ctrlProp243.xml"/><Relationship Id="rId52" Type="http://schemas.openxmlformats.org/officeDocument/2006/relationships/ctrlProp" Target="../ctrlProps/ctrlProp264.xml"/><Relationship Id="rId73" Type="http://schemas.openxmlformats.org/officeDocument/2006/relationships/ctrlProp" Target="../ctrlProps/ctrlProp285.xml"/><Relationship Id="rId78" Type="http://schemas.openxmlformats.org/officeDocument/2006/relationships/ctrlProp" Target="../ctrlProps/ctrlProp290.xml"/><Relationship Id="rId94" Type="http://schemas.openxmlformats.org/officeDocument/2006/relationships/ctrlProp" Target="../ctrlProps/ctrlProp306.xml"/><Relationship Id="rId99" Type="http://schemas.openxmlformats.org/officeDocument/2006/relationships/ctrlProp" Target="../ctrlProps/ctrlProp311.xml"/><Relationship Id="rId101" Type="http://schemas.openxmlformats.org/officeDocument/2006/relationships/ctrlProp" Target="../ctrlProps/ctrlProp313.xml"/><Relationship Id="rId122" Type="http://schemas.openxmlformats.org/officeDocument/2006/relationships/ctrlProp" Target="../ctrlProps/ctrlProp334.xml"/><Relationship Id="rId143" Type="http://schemas.openxmlformats.org/officeDocument/2006/relationships/ctrlProp" Target="../ctrlProps/ctrlProp355.xml"/><Relationship Id="rId148" Type="http://schemas.openxmlformats.org/officeDocument/2006/relationships/ctrlProp" Target="../ctrlProps/ctrlProp360.xml"/><Relationship Id="rId164" Type="http://schemas.openxmlformats.org/officeDocument/2006/relationships/ctrlProp" Target="../ctrlProps/ctrlProp376.xml"/><Relationship Id="rId169" Type="http://schemas.openxmlformats.org/officeDocument/2006/relationships/ctrlProp" Target="../ctrlProps/ctrlProp381.xml"/><Relationship Id="rId185" Type="http://schemas.openxmlformats.org/officeDocument/2006/relationships/ctrlProp" Target="../ctrlProps/ctrlProp397.xml"/><Relationship Id="rId4" Type="http://schemas.openxmlformats.org/officeDocument/2006/relationships/ctrlProp" Target="../ctrlProps/ctrlProp216.xml"/><Relationship Id="rId9" Type="http://schemas.openxmlformats.org/officeDocument/2006/relationships/ctrlProp" Target="../ctrlProps/ctrlProp221.xml"/><Relationship Id="rId180" Type="http://schemas.openxmlformats.org/officeDocument/2006/relationships/ctrlProp" Target="../ctrlProps/ctrlProp392.xml"/><Relationship Id="rId210" Type="http://schemas.openxmlformats.org/officeDocument/2006/relationships/ctrlProp" Target="../ctrlProps/ctrlProp422.xml"/><Relationship Id="rId215" Type="http://schemas.openxmlformats.org/officeDocument/2006/relationships/ctrlProp" Target="../ctrlProps/ctrlProp427.xml"/><Relationship Id="rId26" Type="http://schemas.openxmlformats.org/officeDocument/2006/relationships/ctrlProp" Target="../ctrlProps/ctrlProp238.xml"/><Relationship Id="rId47" Type="http://schemas.openxmlformats.org/officeDocument/2006/relationships/ctrlProp" Target="../ctrlProps/ctrlProp259.xml"/><Relationship Id="rId68" Type="http://schemas.openxmlformats.org/officeDocument/2006/relationships/ctrlProp" Target="../ctrlProps/ctrlProp280.xml"/><Relationship Id="rId89" Type="http://schemas.openxmlformats.org/officeDocument/2006/relationships/ctrlProp" Target="../ctrlProps/ctrlProp301.xml"/><Relationship Id="rId112" Type="http://schemas.openxmlformats.org/officeDocument/2006/relationships/ctrlProp" Target="../ctrlProps/ctrlProp324.xml"/><Relationship Id="rId133" Type="http://schemas.openxmlformats.org/officeDocument/2006/relationships/ctrlProp" Target="../ctrlProps/ctrlProp345.xml"/><Relationship Id="rId154" Type="http://schemas.openxmlformats.org/officeDocument/2006/relationships/ctrlProp" Target="../ctrlProps/ctrlProp366.xml"/><Relationship Id="rId175" Type="http://schemas.openxmlformats.org/officeDocument/2006/relationships/ctrlProp" Target="../ctrlProps/ctrlProp387.xml"/><Relationship Id="rId196" Type="http://schemas.openxmlformats.org/officeDocument/2006/relationships/ctrlProp" Target="../ctrlProps/ctrlProp408.xml"/><Relationship Id="rId200" Type="http://schemas.openxmlformats.org/officeDocument/2006/relationships/ctrlProp" Target="../ctrlProps/ctrlProp412.xml"/><Relationship Id="rId16" Type="http://schemas.openxmlformats.org/officeDocument/2006/relationships/ctrlProp" Target="../ctrlProps/ctrlProp228.xml"/><Relationship Id="rId37" Type="http://schemas.openxmlformats.org/officeDocument/2006/relationships/ctrlProp" Target="../ctrlProps/ctrlProp249.xml"/><Relationship Id="rId58" Type="http://schemas.openxmlformats.org/officeDocument/2006/relationships/ctrlProp" Target="../ctrlProps/ctrlProp270.xml"/><Relationship Id="rId79" Type="http://schemas.openxmlformats.org/officeDocument/2006/relationships/ctrlProp" Target="../ctrlProps/ctrlProp291.xml"/><Relationship Id="rId102" Type="http://schemas.openxmlformats.org/officeDocument/2006/relationships/ctrlProp" Target="../ctrlProps/ctrlProp314.xml"/><Relationship Id="rId123" Type="http://schemas.openxmlformats.org/officeDocument/2006/relationships/ctrlProp" Target="../ctrlProps/ctrlProp335.xml"/><Relationship Id="rId144" Type="http://schemas.openxmlformats.org/officeDocument/2006/relationships/ctrlProp" Target="../ctrlProps/ctrlProp356.xml"/><Relationship Id="rId90" Type="http://schemas.openxmlformats.org/officeDocument/2006/relationships/ctrlProp" Target="../ctrlProps/ctrlProp302.xml"/><Relationship Id="rId165" Type="http://schemas.openxmlformats.org/officeDocument/2006/relationships/ctrlProp" Target="../ctrlProps/ctrlProp377.xml"/><Relationship Id="rId186" Type="http://schemas.openxmlformats.org/officeDocument/2006/relationships/ctrlProp" Target="../ctrlProps/ctrlProp398.xml"/><Relationship Id="rId211" Type="http://schemas.openxmlformats.org/officeDocument/2006/relationships/ctrlProp" Target="../ctrlProps/ctrlProp423.xml"/><Relationship Id="rId27" Type="http://schemas.openxmlformats.org/officeDocument/2006/relationships/ctrlProp" Target="../ctrlProps/ctrlProp239.xml"/><Relationship Id="rId48" Type="http://schemas.openxmlformats.org/officeDocument/2006/relationships/ctrlProp" Target="../ctrlProps/ctrlProp260.xml"/><Relationship Id="rId69" Type="http://schemas.openxmlformats.org/officeDocument/2006/relationships/ctrlProp" Target="../ctrlProps/ctrlProp281.xml"/><Relationship Id="rId113" Type="http://schemas.openxmlformats.org/officeDocument/2006/relationships/ctrlProp" Target="../ctrlProps/ctrlProp325.xml"/><Relationship Id="rId134" Type="http://schemas.openxmlformats.org/officeDocument/2006/relationships/ctrlProp" Target="../ctrlProps/ctrlProp346.xml"/><Relationship Id="rId80" Type="http://schemas.openxmlformats.org/officeDocument/2006/relationships/ctrlProp" Target="../ctrlProps/ctrlProp292.xml"/><Relationship Id="rId155" Type="http://schemas.openxmlformats.org/officeDocument/2006/relationships/ctrlProp" Target="../ctrlProps/ctrlProp367.xml"/><Relationship Id="rId176" Type="http://schemas.openxmlformats.org/officeDocument/2006/relationships/ctrlProp" Target="../ctrlProps/ctrlProp388.xml"/><Relationship Id="rId197" Type="http://schemas.openxmlformats.org/officeDocument/2006/relationships/ctrlProp" Target="../ctrlProps/ctrlProp409.xml"/><Relationship Id="rId201" Type="http://schemas.openxmlformats.org/officeDocument/2006/relationships/ctrlProp" Target="../ctrlProps/ctrlProp413.xml"/><Relationship Id="rId17" Type="http://schemas.openxmlformats.org/officeDocument/2006/relationships/ctrlProp" Target="../ctrlProps/ctrlProp229.xml"/><Relationship Id="rId38" Type="http://schemas.openxmlformats.org/officeDocument/2006/relationships/ctrlProp" Target="../ctrlProps/ctrlProp250.xml"/><Relationship Id="rId59" Type="http://schemas.openxmlformats.org/officeDocument/2006/relationships/ctrlProp" Target="../ctrlProps/ctrlProp271.xml"/><Relationship Id="rId103" Type="http://schemas.openxmlformats.org/officeDocument/2006/relationships/ctrlProp" Target="../ctrlProps/ctrlProp315.xml"/><Relationship Id="rId124" Type="http://schemas.openxmlformats.org/officeDocument/2006/relationships/ctrlProp" Target="../ctrlProps/ctrlProp336.xml"/><Relationship Id="rId70" Type="http://schemas.openxmlformats.org/officeDocument/2006/relationships/ctrlProp" Target="../ctrlProps/ctrlProp282.xml"/><Relationship Id="rId91" Type="http://schemas.openxmlformats.org/officeDocument/2006/relationships/ctrlProp" Target="../ctrlProps/ctrlProp303.xml"/><Relationship Id="rId145" Type="http://schemas.openxmlformats.org/officeDocument/2006/relationships/ctrlProp" Target="../ctrlProps/ctrlProp357.xml"/><Relationship Id="rId166" Type="http://schemas.openxmlformats.org/officeDocument/2006/relationships/ctrlProp" Target="../ctrlProps/ctrlProp378.xml"/><Relationship Id="rId187" Type="http://schemas.openxmlformats.org/officeDocument/2006/relationships/ctrlProp" Target="../ctrlProps/ctrlProp399.xml"/><Relationship Id="rId1" Type="http://schemas.openxmlformats.org/officeDocument/2006/relationships/printerSettings" Target="../printerSettings/printerSettings2.bin"/><Relationship Id="rId212" Type="http://schemas.openxmlformats.org/officeDocument/2006/relationships/ctrlProp" Target="../ctrlProps/ctrlProp424.xml"/><Relationship Id="rId28" Type="http://schemas.openxmlformats.org/officeDocument/2006/relationships/ctrlProp" Target="../ctrlProps/ctrlProp240.xml"/><Relationship Id="rId49" Type="http://schemas.openxmlformats.org/officeDocument/2006/relationships/ctrlProp" Target="../ctrlProps/ctrlProp261.xml"/><Relationship Id="rId114" Type="http://schemas.openxmlformats.org/officeDocument/2006/relationships/ctrlProp" Target="../ctrlProps/ctrlProp326.xml"/><Relationship Id="rId60" Type="http://schemas.openxmlformats.org/officeDocument/2006/relationships/ctrlProp" Target="../ctrlProps/ctrlProp272.xml"/><Relationship Id="rId81" Type="http://schemas.openxmlformats.org/officeDocument/2006/relationships/ctrlProp" Target="../ctrlProps/ctrlProp293.xml"/><Relationship Id="rId135" Type="http://schemas.openxmlformats.org/officeDocument/2006/relationships/ctrlProp" Target="../ctrlProps/ctrlProp347.xml"/><Relationship Id="rId156" Type="http://schemas.openxmlformats.org/officeDocument/2006/relationships/ctrlProp" Target="../ctrlProps/ctrlProp368.xml"/><Relationship Id="rId177" Type="http://schemas.openxmlformats.org/officeDocument/2006/relationships/ctrlProp" Target="../ctrlProps/ctrlProp389.xml"/><Relationship Id="rId198" Type="http://schemas.openxmlformats.org/officeDocument/2006/relationships/ctrlProp" Target="../ctrlProps/ctrlProp410.xml"/><Relationship Id="rId202" Type="http://schemas.openxmlformats.org/officeDocument/2006/relationships/ctrlProp" Target="../ctrlProps/ctrlProp414.xml"/><Relationship Id="rId18" Type="http://schemas.openxmlformats.org/officeDocument/2006/relationships/ctrlProp" Target="../ctrlProps/ctrlProp230.xml"/><Relationship Id="rId39" Type="http://schemas.openxmlformats.org/officeDocument/2006/relationships/ctrlProp" Target="../ctrlProps/ctrlProp251.xml"/><Relationship Id="rId50" Type="http://schemas.openxmlformats.org/officeDocument/2006/relationships/ctrlProp" Target="../ctrlProps/ctrlProp262.xml"/><Relationship Id="rId104" Type="http://schemas.openxmlformats.org/officeDocument/2006/relationships/ctrlProp" Target="../ctrlProps/ctrlProp316.xml"/><Relationship Id="rId125" Type="http://schemas.openxmlformats.org/officeDocument/2006/relationships/ctrlProp" Target="../ctrlProps/ctrlProp337.xml"/><Relationship Id="rId146" Type="http://schemas.openxmlformats.org/officeDocument/2006/relationships/ctrlProp" Target="../ctrlProps/ctrlProp358.xml"/><Relationship Id="rId167" Type="http://schemas.openxmlformats.org/officeDocument/2006/relationships/ctrlProp" Target="../ctrlProps/ctrlProp379.xml"/><Relationship Id="rId188" Type="http://schemas.openxmlformats.org/officeDocument/2006/relationships/ctrlProp" Target="../ctrlProps/ctrlProp400.xml"/><Relationship Id="rId71" Type="http://schemas.openxmlformats.org/officeDocument/2006/relationships/ctrlProp" Target="../ctrlProps/ctrlProp283.xml"/><Relationship Id="rId92" Type="http://schemas.openxmlformats.org/officeDocument/2006/relationships/ctrlProp" Target="../ctrlProps/ctrlProp304.xml"/><Relationship Id="rId213" Type="http://schemas.openxmlformats.org/officeDocument/2006/relationships/ctrlProp" Target="../ctrlProps/ctrlProp425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241.xml"/><Relationship Id="rId40" Type="http://schemas.openxmlformats.org/officeDocument/2006/relationships/ctrlProp" Target="../ctrlProps/ctrlProp252.xml"/><Relationship Id="rId115" Type="http://schemas.openxmlformats.org/officeDocument/2006/relationships/ctrlProp" Target="../ctrlProps/ctrlProp327.xml"/><Relationship Id="rId136" Type="http://schemas.openxmlformats.org/officeDocument/2006/relationships/ctrlProp" Target="../ctrlProps/ctrlProp348.xml"/><Relationship Id="rId157" Type="http://schemas.openxmlformats.org/officeDocument/2006/relationships/ctrlProp" Target="../ctrlProps/ctrlProp369.xml"/><Relationship Id="rId178" Type="http://schemas.openxmlformats.org/officeDocument/2006/relationships/ctrlProp" Target="../ctrlProps/ctrlProp390.xml"/><Relationship Id="rId61" Type="http://schemas.openxmlformats.org/officeDocument/2006/relationships/ctrlProp" Target="../ctrlProps/ctrlProp273.xml"/><Relationship Id="rId82" Type="http://schemas.openxmlformats.org/officeDocument/2006/relationships/ctrlProp" Target="../ctrlProps/ctrlProp294.xml"/><Relationship Id="rId199" Type="http://schemas.openxmlformats.org/officeDocument/2006/relationships/ctrlProp" Target="../ctrlProps/ctrlProp411.xml"/><Relationship Id="rId203" Type="http://schemas.openxmlformats.org/officeDocument/2006/relationships/ctrlProp" Target="../ctrlProps/ctrlProp415.xml"/><Relationship Id="rId19" Type="http://schemas.openxmlformats.org/officeDocument/2006/relationships/ctrlProp" Target="../ctrlProps/ctrlProp23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544.xml"/><Relationship Id="rId21" Type="http://schemas.openxmlformats.org/officeDocument/2006/relationships/ctrlProp" Target="../ctrlProps/ctrlProp448.xml"/><Relationship Id="rId42" Type="http://schemas.openxmlformats.org/officeDocument/2006/relationships/ctrlProp" Target="../ctrlProps/ctrlProp469.xml"/><Relationship Id="rId63" Type="http://schemas.openxmlformats.org/officeDocument/2006/relationships/ctrlProp" Target="../ctrlProps/ctrlProp490.xml"/><Relationship Id="rId84" Type="http://schemas.openxmlformats.org/officeDocument/2006/relationships/ctrlProp" Target="../ctrlProps/ctrlProp511.xml"/><Relationship Id="rId138" Type="http://schemas.openxmlformats.org/officeDocument/2006/relationships/ctrlProp" Target="../ctrlProps/ctrlProp565.xml"/><Relationship Id="rId159" Type="http://schemas.openxmlformats.org/officeDocument/2006/relationships/ctrlProp" Target="../ctrlProps/ctrlProp586.xml"/><Relationship Id="rId170" Type="http://schemas.openxmlformats.org/officeDocument/2006/relationships/ctrlProp" Target="../ctrlProps/ctrlProp597.xml"/><Relationship Id="rId191" Type="http://schemas.openxmlformats.org/officeDocument/2006/relationships/ctrlProp" Target="../ctrlProps/ctrlProp618.xml"/><Relationship Id="rId205" Type="http://schemas.openxmlformats.org/officeDocument/2006/relationships/ctrlProp" Target="../ctrlProps/ctrlProp632.xml"/><Relationship Id="rId107" Type="http://schemas.openxmlformats.org/officeDocument/2006/relationships/ctrlProp" Target="../ctrlProps/ctrlProp534.xml"/><Relationship Id="rId11" Type="http://schemas.openxmlformats.org/officeDocument/2006/relationships/ctrlProp" Target="../ctrlProps/ctrlProp438.xml"/><Relationship Id="rId32" Type="http://schemas.openxmlformats.org/officeDocument/2006/relationships/ctrlProp" Target="../ctrlProps/ctrlProp459.xml"/><Relationship Id="rId53" Type="http://schemas.openxmlformats.org/officeDocument/2006/relationships/ctrlProp" Target="../ctrlProps/ctrlProp480.xml"/><Relationship Id="rId74" Type="http://schemas.openxmlformats.org/officeDocument/2006/relationships/ctrlProp" Target="../ctrlProps/ctrlProp501.xml"/><Relationship Id="rId128" Type="http://schemas.openxmlformats.org/officeDocument/2006/relationships/ctrlProp" Target="../ctrlProps/ctrlProp555.xml"/><Relationship Id="rId149" Type="http://schemas.openxmlformats.org/officeDocument/2006/relationships/ctrlProp" Target="../ctrlProps/ctrlProp576.xml"/><Relationship Id="rId5" Type="http://schemas.openxmlformats.org/officeDocument/2006/relationships/ctrlProp" Target="../ctrlProps/ctrlProp432.xml"/><Relationship Id="rId95" Type="http://schemas.openxmlformats.org/officeDocument/2006/relationships/ctrlProp" Target="../ctrlProps/ctrlProp522.xml"/><Relationship Id="rId160" Type="http://schemas.openxmlformats.org/officeDocument/2006/relationships/ctrlProp" Target="../ctrlProps/ctrlProp587.xml"/><Relationship Id="rId181" Type="http://schemas.openxmlformats.org/officeDocument/2006/relationships/ctrlProp" Target="../ctrlProps/ctrlProp608.xml"/><Relationship Id="rId216" Type="http://schemas.openxmlformats.org/officeDocument/2006/relationships/ctrlProp" Target="../ctrlProps/ctrlProp643.xml"/><Relationship Id="rId22" Type="http://schemas.openxmlformats.org/officeDocument/2006/relationships/ctrlProp" Target="../ctrlProps/ctrlProp449.xml"/><Relationship Id="rId43" Type="http://schemas.openxmlformats.org/officeDocument/2006/relationships/ctrlProp" Target="../ctrlProps/ctrlProp470.xml"/><Relationship Id="rId64" Type="http://schemas.openxmlformats.org/officeDocument/2006/relationships/ctrlProp" Target="../ctrlProps/ctrlProp491.xml"/><Relationship Id="rId118" Type="http://schemas.openxmlformats.org/officeDocument/2006/relationships/ctrlProp" Target="../ctrlProps/ctrlProp545.xml"/><Relationship Id="rId139" Type="http://schemas.openxmlformats.org/officeDocument/2006/relationships/ctrlProp" Target="../ctrlProps/ctrlProp566.xml"/><Relationship Id="rId85" Type="http://schemas.openxmlformats.org/officeDocument/2006/relationships/ctrlProp" Target="../ctrlProps/ctrlProp512.xml"/><Relationship Id="rId150" Type="http://schemas.openxmlformats.org/officeDocument/2006/relationships/ctrlProp" Target="../ctrlProps/ctrlProp577.xml"/><Relationship Id="rId171" Type="http://schemas.openxmlformats.org/officeDocument/2006/relationships/ctrlProp" Target="../ctrlProps/ctrlProp598.xml"/><Relationship Id="rId192" Type="http://schemas.openxmlformats.org/officeDocument/2006/relationships/ctrlProp" Target="../ctrlProps/ctrlProp619.xml"/><Relationship Id="rId206" Type="http://schemas.openxmlformats.org/officeDocument/2006/relationships/ctrlProp" Target="../ctrlProps/ctrlProp633.xml"/><Relationship Id="rId12" Type="http://schemas.openxmlformats.org/officeDocument/2006/relationships/ctrlProp" Target="../ctrlProps/ctrlProp439.xml"/><Relationship Id="rId33" Type="http://schemas.openxmlformats.org/officeDocument/2006/relationships/ctrlProp" Target="../ctrlProps/ctrlProp460.xml"/><Relationship Id="rId108" Type="http://schemas.openxmlformats.org/officeDocument/2006/relationships/ctrlProp" Target="../ctrlProps/ctrlProp535.xml"/><Relationship Id="rId129" Type="http://schemas.openxmlformats.org/officeDocument/2006/relationships/ctrlProp" Target="../ctrlProps/ctrlProp556.xml"/><Relationship Id="rId54" Type="http://schemas.openxmlformats.org/officeDocument/2006/relationships/ctrlProp" Target="../ctrlProps/ctrlProp481.xml"/><Relationship Id="rId75" Type="http://schemas.openxmlformats.org/officeDocument/2006/relationships/ctrlProp" Target="../ctrlProps/ctrlProp502.xml"/><Relationship Id="rId96" Type="http://schemas.openxmlformats.org/officeDocument/2006/relationships/ctrlProp" Target="../ctrlProps/ctrlProp523.xml"/><Relationship Id="rId140" Type="http://schemas.openxmlformats.org/officeDocument/2006/relationships/ctrlProp" Target="../ctrlProps/ctrlProp567.xml"/><Relationship Id="rId161" Type="http://schemas.openxmlformats.org/officeDocument/2006/relationships/ctrlProp" Target="../ctrlProps/ctrlProp588.xml"/><Relationship Id="rId182" Type="http://schemas.openxmlformats.org/officeDocument/2006/relationships/ctrlProp" Target="../ctrlProps/ctrlProp609.xml"/><Relationship Id="rId217" Type="http://schemas.openxmlformats.org/officeDocument/2006/relationships/ctrlProp" Target="../ctrlProps/ctrlProp644.xml"/><Relationship Id="rId6" Type="http://schemas.openxmlformats.org/officeDocument/2006/relationships/ctrlProp" Target="../ctrlProps/ctrlProp433.xml"/><Relationship Id="rId23" Type="http://schemas.openxmlformats.org/officeDocument/2006/relationships/ctrlProp" Target="../ctrlProps/ctrlProp450.xml"/><Relationship Id="rId119" Type="http://schemas.openxmlformats.org/officeDocument/2006/relationships/ctrlProp" Target="../ctrlProps/ctrlProp546.xml"/><Relationship Id="rId44" Type="http://schemas.openxmlformats.org/officeDocument/2006/relationships/ctrlProp" Target="../ctrlProps/ctrlProp471.xml"/><Relationship Id="rId65" Type="http://schemas.openxmlformats.org/officeDocument/2006/relationships/ctrlProp" Target="../ctrlProps/ctrlProp492.xml"/><Relationship Id="rId86" Type="http://schemas.openxmlformats.org/officeDocument/2006/relationships/ctrlProp" Target="../ctrlProps/ctrlProp513.xml"/><Relationship Id="rId130" Type="http://schemas.openxmlformats.org/officeDocument/2006/relationships/ctrlProp" Target="../ctrlProps/ctrlProp557.xml"/><Relationship Id="rId151" Type="http://schemas.openxmlformats.org/officeDocument/2006/relationships/ctrlProp" Target="../ctrlProps/ctrlProp578.xml"/><Relationship Id="rId172" Type="http://schemas.openxmlformats.org/officeDocument/2006/relationships/ctrlProp" Target="../ctrlProps/ctrlProp599.xml"/><Relationship Id="rId193" Type="http://schemas.openxmlformats.org/officeDocument/2006/relationships/ctrlProp" Target="../ctrlProps/ctrlProp620.xml"/><Relationship Id="rId207" Type="http://schemas.openxmlformats.org/officeDocument/2006/relationships/ctrlProp" Target="../ctrlProps/ctrlProp634.xml"/><Relationship Id="rId13" Type="http://schemas.openxmlformats.org/officeDocument/2006/relationships/ctrlProp" Target="../ctrlProps/ctrlProp440.xml"/><Relationship Id="rId109" Type="http://schemas.openxmlformats.org/officeDocument/2006/relationships/ctrlProp" Target="../ctrlProps/ctrlProp536.xml"/><Relationship Id="rId34" Type="http://schemas.openxmlformats.org/officeDocument/2006/relationships/ctrlProp" Target="../ctrlProps/ctrlProp461.xml"/><Relationship Id="rId55" Type="http://schemas.openxmlformats.org/officeDocument/2006/relationships/ctrlProp" Target="../ctrlProps/ctrlProp482.xml"/><Relationship Id="rId76" Type="http://schemas.openxmlformats.org/officeDocument/2006/relationships/ctrlProp" Target="../ctrlProps/ctrlProp503.xml"/><Relationship Id="rId97" Type="http://schemas.openxmlformats.org/officeDocument/2006/relationships/ctrlProp" Target="../ctrlProps/ctrlProp524.xml"/><Relationship Id="rId120" Type="http://schemas.openxmlformats.org/officeDocument/2006/relationships/ctrlProp" Target="../ctrlProps/ctrlProp547.xml"/><Relationship Id="rId141" Type="http://schemas.openxmlformats.org/officeDocument/2006/relationships/ctrlProp" Target="../ctrlProps/ctrlProp568.xml"/><Relationship Id="rId7" Type="http://schemas.openxmlformats.org/officeDocument/2006/relationships/ctrlProp" Target="../ctrlProps/ctrlProp434.xml"/><Relationship Id="rId162" Type="http://schemas.openxmlformats.org/officeDocument/2006/relationships/ctrlProp" Target="../ctrlProps/ctrlProp589.xml"/><Relationship Id="rId183" Type="http://schemas.openxmlformats.org/officeDocument/2006/relationships/ctrlProp" Target="../ctrlProps/ctrlProp610.xml"/><Relationship Id="rId218" Type="http://schemas.openxmlformats.org/officeDocument/2006/relationships/ctrlProp" Target="../ctrlProps/ctrlProp645.xml"/><Relationship Id="rId24" Type="http://schemas.openxmlformats.org/officeDocument/2006/relationships/ctrlProp" Target="../ctrlProps/ctrlProp451.xml"/><Relationship Id="rId45" Type="http://schemas.openxmlformats.org/officeDocument/2006/relationships/ctrlProp" Target="../ctrlProps/ctrlProp472.xml"/><Relationship Id="rId66" Type="http://schemas.openxmlformats.org/officeDocument/2006/relationships/ctrlProp" Target="../ctrlProps/ctrlProp493.xml"/><Relationship Id="rId87" Type="http://schemas.openxmlformats.org/officeDocument/2006/relationships/ctrlProp" Target="../ctrlProps/ctrlProp514.xml"/><Relationship Id="rId110" Type="http://schemas.openxmlformats.org/officeDocument/2006/relationships/ctrlProp" Target="../ctrlProps/ctrlProp537.xml"/><Relationship Id="rId131" Type="http://schemas.openxmlformats.org/officeDocument/2006/relationships/ctrlProp" Target="../ctrlProps/ctrlProp558.xml"/><Relationship Id="rId152" Type="http://schemas.openxmlformats.org/officeDocument/2006/relationships/ctrlProp" Target="../ctrlProps/ctrlProp579.xml"/><Relationship Id="rId173" Type="http://schemas.openxmlformats.org/officeDocument/2006/relationships/ctrlProp" Target="../ctrlProps/ctrlProp600.xml"/><Relationship Id="rId194" Type="http://schemas.openxmlformats.org/officeDocument/2006/relationships/ctrlProp" Target="../ctrlProps/ctrlProp621.xml"/><Relationship Id="rId208" Type="http://schemas.openxmlformats.org/officeDocument/2006/relationships/ctrlProp" Target="../ctrlProps/ctrlProp635.xml"/><Relationship Id="rId14" Type="http://schemas.openxmlformats.org/officeDocument/2006/relationships/ctrlProp" Target="../ctrlProps/ctrlProp441.xml"/><Relationship Id="rId30" Type="http://schemas.openxmlformats.org/officeDocument/2006/relationships/ctrlProp" Target="../ctrlProps/ctrlProp457.xml"/><Relationship Id="rId35" Type="http://schemas.openxmlformats.org/officeDocument/2006/relationships/ctrlProp" Target="../ctrlProps/ctrlProp462.xml"/><Relationship Id="rId56" Type="http://schemas.openxmlformats.org/officeDocument/2006/relationships/ctrlProp" Target="../ctrlProps/ctrlProp483.xml"/><Relationship Id="rId77" Type="http://schemas.openxmlformats.org/officeDocument/2006/relationships/ctrlProp" Target="../ctrlProps/ctrlProp504.xml"/><Relationship Id="rId100" Type="http://schemas.openxmlformats.org/officeDocument/2006/relationships/ctrlProp" Target="../ctrlProps/ctrlProp527.xml"/><Relationship Id="rId105" Type="http://schemas.openxmlformats.org/officeDocument/2006/relationships/ctrlProp" Target="../ctrlProps/ctrlProp532.xml"/><Relationship Id="rId126" Type="http://schemas.openxmlformats.org/officeDocument/2006/relationships/ctrlProp" Target="../ctrlProps/ctrlProp553.xml"/><Relationship Id="rId147" Type="http://schemas.openxmlformats.org/officeDocument/2006/relationships/ctrlProp" Target="../ctrlProps/ctrlProp574.xml"/><Relationship Id="rId168" Type="http://schemas.openxmlformats.org/officeDocument/2006/relationships/ctrlProp" Target="../ctrlProps/ctrlProp595.xml"/><Relationship Id="rId8" Type="http://schemas.openxmlformats.org/officeDocument/2006/relationships/ctrlProp" Target="../ctrlProps/ctrlProp435.xml"/><Relationship Id="rId51" Type="http://schemas.openxmlformats.org/officeDocument/2006/relationships/ctrlProp" Target="../ctrlProps/ctrlProp478.xml"/><Relationship Id="rId72" Type="http://schemas.openxmlformats.org/officeDocument/2006/relationships/ctrlProp" Target="../ctrlProps/ctrlProp499.xml"/><Relationship Id="rId93" Type="http://schemas.openxmlformats.org/officeDocument/2006/relationships/ctrlProp" Target="../ctrlProps/ctrlProp520.xml"/><Relationship Id="rId98" Type="http://schemas.openxmlformats.org/officeDocument/2006/relationships/ctrlProp" Target="../ctrlProps/ctrlProp525.xml"/><Relationship Id="rId121" Type="http://schemas.openxmlformats.org/officeDocument/2006/relationships/ctrlProp" Target="../ctrlProps/ctrlProp548.xml"/><Relationship Id="rId142" Type="http://schemas.openxmlformats.org/officeDocument/2006/relationships/ctrlProp" Target="../ctrlProps/ctrlProp569.xml"/><Relationship Id="rId163" Type="http://schemas.openxmlformats.org/officeDocument/2006/relationships/ctrlProp" Target="../ctrlProps/ctrlProp590.xml"/><Relationship Id="rId184" Type="http://schemas.openxmlformats.org/officeDocument/2006/relationships/ctrlProp" Target="../ctrlProps/ctrlProp611.xml"/><Relationship Id="rId189" Type="http://schemas.openxmlformats.org/officeDocument/2006/relationships/ctrlProp" Target="../ctrlProps/ctrlProp616.xml"/><Relationship Id="rId3" Type="http://schemas.openxmlformats.org/officeDocument/2006/relationships/vmlDrawing" Target="../drawings/vmlDrawing3.vml"/><Relationship Id="rId214" Type="http://schemas.openxmlformats.org/officeDocument/2006/relationships/ctrlProp" Target="../ctrlProps/ctrlProp641.xml"/><Relationship Id="rId25" Type="http://schemas.openxmlformats.org/officeDocument/2006/relationships/ctrlProp" Target="../ctrlProps/ctrlProp452.xml"/><Relationship Id="rId46" Type="http://schemas.openxmlformats.org/officeDocument/2006/relationships/ctrlProp" Target="../ctrlProps/ctrlProp473.xml"/><Relationship Id="rId67" Type="http://schemas.openxmlformats.org/officeDocument/2006/relationships/ctrlProp" Target="../ctrlProps/ctrlProp494.xml"/><Relationship Id="rId116" Type="http://schemas.openxmlformats.org/officeDocument/2006/relationships/ctrlProp" Target="../ctrlProps/ctrlProp543.xml"/><Relationship Id="rId137" Type="http://schemas.openxmlformats.org/officeDocument/2006/relationships/ctrlProp" Target="../ctrlProps/ctrlProp564.xml"/><Relationship Id="rId158" Type="http://schemas.openxmlformats.org/officeDocument/2006/relationships/ctrlProp" Target="../ctrlProps/ctrlProp585.xml"/><Relationship Id="rId20" Type="http://schemas.openxmlformats.org/officeDocument/2006/relationships/ctrlProp" Target="../ctrlProps/ctrlProp447.xml"/><Relationship Id="rId41" Type="http://schemas.openxmlformats.org/officeDocument/2006/relationships/ctrlProp" Target="../ctrlProps/ctrlProp468.xml"/><Relationship Id="rId62" Type="http://schemas.openxmlformats.org/officeDocument/2006/relationships/ctrlProp" Target="../ctrlProps/ctrlProp489.xml"/><Relationship Id="rId83" Type="http://schemas.openxmlformats.org/officeDocument/2006/relationships/ctrlProp" Target="../ctrlProps/ctrlProp510.xml"/><Relationship Id="rId88" Type="http://schemas.openxmlformats.org/officeDocument/2006/relationships/ctrlProp" Target="../ctrlProps/ctrlProp515.xml"/><Relationship Id="rId111" Type="http://schemas.openxmlformats.org/officeDocument/2006/relationships/ctrlProp" Target="../ctrlProps/ctrlProp538.xml"/><Relationship Id="rId132" Type="http://schemas.openxmlformats.org/officeDocument/2006/relationships/ctrlProp" Target="../ctrlProps/ctrlProp559.xml"/><Relationship Id="rId153" Type="http://schemas.openxmlformats.org/officeDocument/2006/relationships/ctrlProp" Target="../ctrlProps/ctrlProp580.xml"/><Relationship Id="rId174" Type="http://schemas.openxmlformats.org/officeDocument/2006/relationships/ctrlProp" Target="../ctrlProps/ctrlProp601.xml"/><Relationship Id="rId179" Type="http://schemas.openxmlformats.org/officeDocument/2006/relationships/ctrlProp" Target="../ctrlProps/ctrlProp606.xml"/><Relationship Id="rId195" Type="http://schemas.openxmlformats.org/officeDocument/2006/relationships/ctrlProp" Target="../ctrlProps/ctrlProp622.xml"/><Relationship Id="rId209" Type="http://schemas.openxmlformats.org/officeDocument/2006/relationships/ctrlProp" Target="../ctrlProps/ctrlProp636.xml"/><Relationship Id="rId190" Type="http://schemas.openxmlformats.org/officeDocument/2006/relationships/ctrlProp" Target="../ctrlProps/ctrlProp617.xml"/><Relationship Id="rId204" Type="http://schemas.openxmlformats.org/officeDocument/2006/relationships/ctrlProp" Target="../ctrlProps/ctrlProp631.xml"/><Relationship Id="rId15" Type="http://schemas.openxmlformats.org/officeDocument/2006/relationships/ctrlProp" Target="../ctrlProps/ctrlProp442.xml"/><Relationship Id="rId36" Type="http://schemas.openxmlformats.org/officeDocument/2006/relationships/ctrlProp" Target="../ctrlProps/ctrlProp463.xml"/><Relationship Id="rId57" Type="http://schemas.openxmlformats.org/officeDocument/2006/relationships/ctrlProp" Target="../ctrlProps/ctrlProp484.xml"/><Relationship Id="rId106" Type="http://schemas.openxmlformats.org/officeDocument/2006/relationships/ctrlProp" Target="../ctrlProps/ctrlProp533.xml"/><Relationship Id="rId127" Type="http://schemas.openxmlformats.org/officeDocument/2006/relationships/ctrlProp" Target="../ctrlProps/ctrlProp554.xml"/><Relationship Id="rId10" Type="http://schemas.openxmlformats.org/officeDocument/2006/relationships/ctrlProp" Target="../ctrlProps/ctrlProp437.xml"/><Relationship Id="rId31" Type="http://schemas.openxmlformats.org/officeDocument/2006/relationships/ctrlProp" Target="../ctrlProps/ctrlProp458.xml"/><Relationship Id="rId52" Type="http://schemas.openxmlformats.org/officeDocument/2006/relationships/ctrlProp" Target="../ctrlProps/ctrlProp479.xml"/><Relationship Id="rId73" Type="http://schemas.openxmlformats.org/officeDocument/2006/relationships/ctrlProp" Target="../ctrlProps/ctrlProp500.xml"/><Relationship Id="rId78" Type="http://schemas.openxmlformats.org/officeDocument/2006/relationships/ctrlProp" Target="../ctrlProps/ctrlProp505.xml"/><Relationship Id="rId94" Type="http://schemas.openxmlformats.org/officeDocument/2006/relationships/ctrlProp" Target="../ctrlProps/ctrlProp521.xml"/><Relationship Id="rId99" Type="http://schemas.openxmlformats.org/officeDocument/2006/relationships/ctrlProp" Target="../ctrlProps/ctrlProp526.xml"/><Relationship Id="rId101" Type="http://schemas.openxmlformats.org/officeDocument/2006/relationships/ctrlProp" Target="../ctrlProps/ctrlProp528.xml"/><Relationship Id="rId122" Type="http://schemas.openxmlformats.org/officeDocument/2006/relationships/ctrlProp" Target="../ctrlProps/ctrlProp549.xml"/><Relationship Id="rId143" Type="http://schemas.openxmlformats.org/officeDocument/2006/relationships/ctrlProp" Target="../ctrlProps/ctrlProp570.xml"/><Relationship Id="rId148" Type="http://schemas.openxmlformats.org/officeDocument/2006/relationships/ctrlProp" Target="../ctrlProps/ctrlProp575.xml"/><Relationship Id="rId164" Type="http://schemas.openxmlformats.org/officeDocument/2006/relationships/ctrlProp" Target="../ctrlProps/ctrlProp591.xml"/><Relationship Id="rId169" Type="http://schemas.openxmlformats.org/officeDocument/2006/relationships/ctrlProp" Target="../ctrlProps/ctrlProp596.xml"/><Relationship Id="rId185" Type="http://schemas.openxmlformats.org/officeDocument/2006/relationships/ctrlProp" Target="../ctrlProps/ctrlProp612.xml"/><Relationship Id="rId4" Type="http://schemas.openxmlformats.org/officeDocument/2006/relationships/ctrlProp" Target="../ctrlProps/ctrlProp431.xml"/><Relationship Id="rId9" Type="http://schemas.openxmlformats.org/officeDocument/2006/relationships/ctrlProp" Target="../ctrlProps/ctrlProp436.xml"/><Relationship Id="rId180" Type="http://schemas.openxmlformats.org/officeDocument/2006/relationships/ctrlProp" Target="../ctrlProps/ctrlProp607.xml"/><Relationship Id="rId210" Type="http://schemas.openxmlformats.org/officeDocument/2006/relationships/ctrlProp" Target="../ctrlProps/ctrlProp637.xml"/><Relationship Id="rId215" Type="http://schemas.openxmlformats.org/officeDocument/2006/relationships/ctrlProp" Target="../ctrlProps/ctrlProp642.xml"/><Relationship Id="rId26" Type="http://schemas.openxmlformats.org/officeDocument/2006/relationships/ctrlProp" Target="../ctrlProps/ctrlProp453.xml"/><Relationship Id="rId47" Type="http://schemas.openxmlformats.org/officeDocument/2006/relationships/ctrlProp" Target="../ctrlProps/ctrlProp474.xml"/><Relationship Id="rId68" Type="http://schemas.openxmlformats.org/officeDocument/2006/relationships/ctrlProp" Target="../ctrlProps/ctrlProp495.xml"/><Relationship Id="rId89" Type="http://schemas.openxmlformats.org/officeDocument/2006/relationships/ctrlProp" Target="../ctrlProps/ctrlProp516.xml"/><Relationship Id="rId112" Type="http://schemas.openxmlformats.org/officeDocument/2006/relationships/ctrlProp" Target="../ctrlProps/ctrlProp539.xml"/><Relationship Id="rId133" Type="http://schemas.openxmlformats.org/officeDocument/2006/relationships/ctrlProp" Target="../ctrlProps/ctrlProp560.xml"/><Relationship Id="rId154" Type="http://schemas.openxmlformats.org/officeDocument/2006/relationships/ctrlProp" Target="../ctrlProps/ctrlProp581.xml"/><Relationship Id="rId175" Type="http://schemas.openxmlformats.org/officeDocument/2006/relationships/ctrlProp" Target="../ctrlProps/ctrlProp602.xml"/><Relationship Id="rId196" Type="http://schemas.openxmlformats.org/officeDocument/2006/relationships/ctrlProp" Target="../ctrlProps/ctrlProp623.xml"/><Relationship Id="rId200" Type="http://schemas.openxmlformats.org/officeDocument/2006/relationships/ctrlProp" Target="../ctrlProps/ctrlProp627.xml"/><Relationship Id="rId16" Type="http://schemas.openxmlformats.org/officeDocument/2006/relationships/ctrlProp" Target="../ctrlProps/ctrlProp443.xml"/><Relationship Id="rId37" Type="http://schemas.openxmlformats.org/officeDocument/2006/relationships/ctrlProp" Target="../ctrlProps/ctrlProp464.xml"/><Relationship Id="rId58" Type="http://schemas.openxmlformats.org/officeDocument/2006/relationships/ctrlProp" Target="../ctrlProps/ctrlProp485.xml"/><Relationship Id="rId79" Type="http://schemas.openxmlformats.org/officeDocument/2006/relationships/ctrlProp" Target="../ctrlProps/ctrlProp506.xml"/><Relationship Id="rId102" Type="http://schemas.openxmlformats.org/officeDocument/2006/relationships/ctrlProp" Target="../ctrlProps/ctrlProp529.xml"/><Relationship Id="rId123" Type="http://schemas.openxmlformats.org/officeDocument/2006/relationships/ctrlProp" Target="../ctrlProps/ctrlProp550.xml"/><Relationship Id="rId144" Type="http://schemas.openxmlformats.org/officeDocument/2006/relationships/ctrlProp" Target="../ctrlProps/ctrlProp571.xml"/><Relationship Id="rId90" Type="http://schemas.openxmlformats.org/officeDocument/2006/relationships/ctrlProp" Target="../ctrlProps/ctrlProp517.xml"/><Relationship Id="rId165" Type="http://schemas.openxmlformats.org/officeDocument/2006/relationships/ctrlProp" Target="../ctrlProps/ctrlProp592.xml"/><Relationship Id="rId186" Type="http://schemas.openxmlformats.org/officeDocument/2006/relationships/ctrlProp" Target="../ctrlProps/ctrlProp613.xml"/><Relationship Id="rId211" Type="http://schemas.openxmlformats.org/officeDocument/2006/relationships/ctrlProp" Target="../ctrlProps/ctrlProp638.xml"/><Relationship Id="rId27" Type="http://schemas.openxmlformats.org/officeDocument/2006/relationships/ctrlProp" Target="../ctrlProps/ctrlProp454.xml"/><Relationship Id="rId48" Type="http://schemas.openxmlformats.org/officeDocument/2006/relationships/ctrlProp" Target="../ctrlProps/ctrlProp475.xml"/><Relationship Id="rId69" Type="http://schemas.openxmlformats.org/officeDocument/2006/relationships/ctrlProp" Target="../ctrlProps/ctrlProp496.xml"/><Relationship Id="rId113" Type="http://schemas.openxmlformats.org/officeDocument/2006/relationships/ctrlProp" Target="../ctrlProps/ctrlProp540.xml"/><Relationship Id="rId134" Type="http://schemas.openxmlformats.org/officeDocument/2006/relationships/ctrlProp" Target="../ctrlProps/ctrlProp561.xml"/><Relationship Id="rId80" Type="http://schemas.openxmlformats.org/officeDocument/2006/relationships/ctrlProp" Target="../ctrlProps/ctrlProp507.xml"/><Relationship Id="rId155" Type="http://schemas.openxmlformats.org/officeDocument/2006/relationships/ctrlProp" Target="../ctrlProps/ctrlProp582.xml"/><Relationship Id="rId176" Type="http://schemas.openxmlformats.org/officeDocument/2006/relationships/ctrlProp" Target="../ctrlProps/ctrlProp603.xml"/><Relationship Id="rId197" Type="http://schemas.openxmlformats.org/officeDocument/2006/relationships/ctrlProp" Target="../ctrlProps/ctrlProp624.xml"/><Relationship Id="rId201" Type="http://schemas.openxmlformats.org/officeDocument/2006/relationships/ctrlProp" Target="../ctrlProps/ctrlProp628.xml"/><Relationship Id="rId17" Type="http://schemas.openxmlformats.org/officeDocument/2006/relationships/ctrlProp" Target="../ctrlProps/ctrlProp444.xml"/><Relationship Id="rId38" Type="http://schemas.openxmlformats.org/officeDocument/2006/relationships/ctrlProp" Target="../ctrlProps/ctrlProp465.xml"/><Relationship Id="rId59" Type="http://schemas.openxmlformats.org/officeDocument/2006/relationships/ctrlProp" Target="../ctrlProps/ctrlProp486.xml"/><Relationship Id="rId103" Type="http://schemas.openxmlformats.org/officeDocument/2006/relationships/ctrlProp" Target="../ctrlProps/ctrlProp530.xml"/><Relationship Id="rId124" Type="http://schemas.openxmlformats.org/officeDocument/2006/relationships/ctrlProp" Target="../ctrlProps/ctrlProp551.xml"/><Relationship Id="rId70" Type="http://schemas.openxmlformats.org/officeDocument/2006/relationships/ctrlProp" Target="../ctrlProps/ctrlProp497.xml"/><Relationship Id="rId91" Type="http://schemas.openxmlformats.org/officeDocument/2006/relationships/ctrlProp" Target="../ctrlProps/ctrlProp518.xml"/><Relationship Id="rId145" Type="http://schemas.openxmlformats.org/officeDocument/2006/relationships/ctrlProp" Target="../ctrlProps/ctrlProp572.xml"/><Relationship Id="rId166" Type="http://schemas.openxmlformats.org/officeDocument/2006/relationships/ctrlProp" Target="../ctrlProps/ctrlProp593.xml"/><Relationship Id="rId187" Type="http://schemas.openxmlformats.org/officeDocument/2006/relationships/ctrlProp" Target="../ctrlProps/ctrlProp614.xml"/><Relationship Id="rId1" Type="http://schemas.openxmlformats.org/officeDocument/2006/relationships/printerSettings" Target="../printerSettings/printerSettings3.bin"/><Relationship Id="rId212" Type="http://schemas.openxmlformats.org/officeDocument/2006/relationships/ctrlProp" Target="../ctrlProps/ctrlProp639.xml"/><Relationship Id="rId28" Type="http://schemas.openxmlformats.org/officeDocument/2006/relationships/ctrlProp" Target="../ctrlProps/ctrlProp455.xml"/><Relationship Id="rId49" Type="http://schemas.openxmlformats.org/officeDocument/2006/relationships/ctrlProp" Target="../ctrlProps/ctrlProp476.xml"/><Relationship Id="rId114" Type="http://schemas.openxmlformats.org/officeDocument/2006/relationships/ctrlProp" Target="../ctrlProps/ctrlProp541.xml"/><Relationship Id="rId60" Type="http://schemas.openxmlformats.org/officeDocument/2006/relationships/ctrlProp" Target="../ctrlProps/ctrlProp487.xml"/><Relationship Id="rId81" Type="http://schemas.openxmlformats.org/officeDocument/2006/relationships/ctrlProp" Target="../ctrlProps/ctrlProp508.xml"/><Relationship Id="rId135" Type="http://schemas.openxmlformats.org/officeDocument/2006/relationships/ctrlProp" Target="../ctrlProps/ctrlProp562.xml"/><Relationship Id="rId156" Type="http://schemas.openxmlformats.org/officeDocument/2006/relationships/ctrlProp" Target="../ctrlProps/ctrlProp583.xml"/><Relationship Id="rId177" Type="http://schemas.openxmlformats.org/officeDocument/2006/relationships/ctrlProp" Target="../ctrlProps/ctrlProp604.xml"/><Relationship Id="rId198" Type="http://schemas.openxmlformats.org/officeDocument/2006/relationships/ctrlProp" Target="../ctrlProps/ctrlProp625.xml"/><Relationship Id="rId202" Type="http://schemas.openxmlformats.org/officeDocument/2006/relationships/ctrlProp" Target="../ctrlProps/ctrlProp629.xml"/><Relationship Id="rId18" Type="http://schemas.openxmlformats.org/officeDocument/2006/relationships/ctrlProp" Target="../ctrlProps/ctrlProp445.xml"/><Relationship Id="rId39" Type="http://schemas.openxmlformats.org/officeDocument/2006/relationships/ctrlProp" Target="../ctrlProps/ctrlProp466.xml"/><Relationship Id="rId50" Type="http://schemas.openxmlformats.org/officeDocument/2006/relationships/ctrlProp" Target="../ctrlProps/ctrlProp477.xml"/><Relationship Id="rId104" Type="http://schemas.openxmlformats.org/officeDocument/2006/relationships/ctrlProp" Target="../ctrlProps/ctrlProp531.xml"/><Relationship Id="rId125" Type="http://schemas.openxmlformats.org/officeDocument/2006/relationships/ctrlProp" Target="../ctrlProps/ctrlProp552.xml"/><Relationship Id="rId146" Type="http://schemas.openxmlformats.org/officeDocument/2006/relationships/ctrlProp" Target="../ctrlProps/ctrlProp573.xml"/><Relationship Id="rId167" Type="http://schemas.openxmlformats.org/officeDocument/2006/relationships/ctrlProp" Target="../ctrlProps/ctrlProp594.xml"/><Relationship Id="rId188" Type="http://schemas.openxmlformats.org/officeDocument/2006/relationships/ctrlProp" Target="../ctrlProps/ctrlProp615.xml"/><Relationship Id="rId71" Type="http://schemas.openxmlformats.org/officeDocument/2006/relationships/ctrlProp" Target="../ctrlProps/ctrlProp498.xml"/><Relationship Id="rId92" Type="http://schemas.openxmlformats.org/officeDocument/2006/relationships/ctrlProp" Target="../ctrlProps/ctrlProp519.xml"/><Relationship Id="rId213" Type="http://schemas.openxmlformats.org/officeDocument/2006/relationships/ctrlProp" Target="../ctrlProps/ctrlProp640.xml"/><Relationship Id="rId2" Type="http://schemas.openxmlformats.org/officeDocument/2006/relationships/drawing" Target="../drawings/drawing3.xml"/><Relationship Id="rId29" Type="http://schemas.openxmlformats.org/officeDocument/2006/relationships/ctrlProp" Target="../ctrlProps/ctrlProp456.xml"/><Relationship Id="rId40" Type="http://schemas.openxmlformats.org/officeDocument/2006/relationships/ctrlProp" Target="../ctrlProps/ctrlProp467.xml"/><Relationship Id="rId115" Type="http://schemas.openxmlformats.org/officeDocument/2006/relationships/ctrlProp" Target="../ctrlProps/ctrlProp542.xml"/><Relationship Id="rId136" Type="http://schemas.openxmlformats.org/officeDocument/2006/relationships/ctrlProp" Target="../ctrlProps/ctrlProp563.xml"/><Relationship Id="rId157" Type="http://schemas.openxmlformats.org/officeDocument/2006/relationships/ctrlProp" Target="../ctrlProps/ctrlProp584.xml"/><Relationship Id="rId178" Type="http://schemas.openxmlformats.org/officeDocument/2006/relationships/ctrlProp" Target="../ctrlProps/ctrlProp605.xml"/><Relationship Id="rId61" Type="http://schemas.openxmlformats.org/officeDocument/2006/relationships/ctrlProp" Target="../ctrlProps/ctrlProp488.xml"/><Relationship Id="rId82" Type="http://schemas.openxmlformats.org/officeDocument/2006/relationships/ctrlProp" Target="../ctrlProps/ctrlProp509.xml"/><Relationship Id="rId199" Type="http://schemas.openxmlformats.org/officeDocument/2006/relationships/ctrlProp" Target="../ctrlProps/ctrlProp626.xml"/><Relationship Id="rId203" Type="http://schemas.openxmlformats.org/officeDocument/2006/relationships/ctrlProp" Target="../ctrlProps/ctrlProp630.xml"/><Relationship Id="rId19" Type="http://schemas.openxmlformats.org/officeDocument/2006/relationships/ctrlProp" Target="../ctrlProps/ctrlProp446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59.xml"/><Relationship Id="rId21" Type="http://schemas.openxmlformats.org/officeDocument/2006/relationships/ctrlProp" Target="../ctrlProps/ctrlProp663.xml"/><Relationship Id="rId42" Type="http://schemas.openxmlformats.org/officeDocument/2006/relationships/ctrlProp" Target="../ctrlProps/ctrlProp684.xml"/><Relationship Id="rId63" Type="http://schemas.openxmlformats.org/officeDocument/2006/relationships/ctrlProp" Target="../ctrlProps/ctrlProp705.xml"/><Relationship Id="rId84" Type="http://schemas.openxmlformats.org/officeDocument/2006/relationships/ctrlProp" Target="../ctrlProps/ctrlProp726.xml"/><Relationship Id="rId138" Type="http://schemas.openxmlformats.org/officeDocument/2006/relationships/ctrlProp" Target="../ctrlProps/ctrlProp780.xml"/><Relationship Id="rId159" Type="http://schemas.openxmlformats.org/officeDocument/2006/relationships/ctrlProp" Target="../ctrlProps/ctrlProp801.xml"/><Relationship Id="rId170" Type="http://schemas.openxmlformats.org/officeDocument/2006/relationships/ctrlProp" Target="../ctrlProps/ctrlProp812.xml"/><Relationship Id="rId191" Type="http://schemas.openxmlformats.org/officeDocument/2006/relationships/ctrlProp" Target="../ctrlProps/ctrlProp833.xml"/><Relationship Id="rId205" Type="http://schemas.openxmlformats.org/officeDocument/2006/relationships/ctrlProp" Target="../ctrlProps/ctrlProp847.xml"/><Relationship Id="rId107" Type="http://schemas.openxmlformats.org/officeDocument/2006/relationships/ctrlProp" Target="../ctrlProps/ctrlProp749.xml"/><Relationship Id="rId11" Type="http://schemas.openxmlformats.org/officeDocument/2006/relationships/ctrlProp" Target="../ctrlProps/ctrlProp653.xml"/><Relationship Id="rId32" Type="http://schemas.openxmlformats.org/officeDocument/2006/relationships/ctrlProp" Target="../ctrlProps/ctrlProp674.xml"/><Relationship Id="rId53" Type="http://schemas.openxmlformats.org/officeDocument/2006/relationships/ctrlProp" Target="../ctrlProps/ctrlProp695.xml"/><Relationship Id="rId74" Type="http://schemas.openxmlformats.org/officeDocument/2006/relationships/ctrlProp" Target="../ctrlProps/ctrlProp716.xml"/><Relationship Id="rId128" Type="http://schemas.openxmlformats.org/officeDocument/2006/relationships/ctrlProp" Target="../ctrlProps/ctrlProp770.xml"/><Relationship Id="rId149" Type="http://schemas.openxmlformats.org/officeDocument/2006/relationships/ctrlProp" Target="../ctrlProps/ctrlProp791.xml"/><Relationship Id="rId5" Type="http://schemas.openxmlformats.org/officeDocument/2006/relationships/ctrlProp" Target="../ctrlProps/ctrlProp647.xml"/><Relationship Id="rId95" Type="http://schemas.openxmlformats.org/officeDocument/2006/relationships/ctrlProp" Target="../ctrlProps/ctrlProp737.xml"/><Relationship Id="rId160" Type="http://schemas.openxmlformats.org/officeDocument/2006/relationships/ctrlProp" Target="../ctrlProps/ctrlProp802.xml"/><Relationship Id="rId181" Type="http://schemas.openxmlformats.org/officeDocument/2006/relationships/ctrlProp" Target="../ctrlProps/ctrlProp823.xml"/><Relationship Id="rId22" Type="http://schemas.openxmlformats.org/officeDocument/2006/relationships/ctrlProp" Target="../ctrlProps/ctrlProp664.xml"/><Relationship Id="rId43" Type="http://schemas.openxmlformats.org/officeDocument/2006/relationships/ctrlProp" Target="../ctrlProps/ctrlProp685.xml"/><Relationship Id="rId64" Type="http://schemas.openxmlformats.org/officeDocument/2006/relationships/ctrlProp" Target="../ctrlProps/ctrlProp706.xml"/><Relationship Id="rId118" Type="http://schemas.openxmlformats.org/officeDocument/2006/relationships/ctrlProp" Target="../ctrlProps/ctrlProp760.xml"/><Relationship Id="rId139" Type="http://schemas.openxmlformats.org/officeDocument/2006/relationships/ctrlProp" Target="../ctrlProps/ctrlProp781.xml"/><Relationship Id="rId85" Type="http://schemas.openxmlformats.org/officeDocument/2006/relationships/ctrlProp" Target="../ctrlProps/ctrlProp727.xml"/><Relationship Id="rId150" Type="http://schemas.openxmlformats.org/officeDocument/2006/relationships/ctrlProp" Target="../ctrlProps/ctrlProp792.xml"/><Relationship Id="rId171" Type="http://schemas.openxmlformats.org/officeDocument/2006/relationships/ctrlProp" Target="../ctrlProps/ctrlProp813.xml"/><Relationship Id="rId192" Type="http://schemas.openxmlformats.org/officeDocument/2006/relationships/ctrlProp" Target="../ctrlProps/ctrlProp834.xml"/><Relationship Id="rId206" Type="http://schemas.openxmlformats.org/officeDocument/2006/relationships/ctrlProp" Target="../ctrlProps/ctrlProp848.xml"/><Relationship Id="rId12" Type="http://schemas.openxmlformats.org/officeDocument/2006/relationships/ctrlProp" Target="../ctrlProps/ctrlProp654.xml"/><Relationship Id="rId33" Type="http://schemas.openxmlformats.org/officeDocument/2006/relationships/ctrlProp" Target="../ctrlProps/ctrlProp675.xml"/><Relationship Id="rId108" Type="http://schemas.openxmlformats.org/officeDocument/2006/relationships/ctrlProp" Target="../ctrlProps/ctrlProp750.xml"/><Relationship Id="rId129" Type="http://schemas.openxmlformats.org/officeDocument/2006/relationships/ctrlProp" Target="../ctrlProps/ctrlProp771.xml"/><Relationship Id="rId54" Type="http://schemas.openxmlformats.org/officeDocument/2006/relationships/ctrlProp" Target="../ctrlProps/ctrlProp696.xml"/><Relationship Id="rId75" Type="http://schemas.openxmlformats.org/officeDocument/2006/relationships/ctrlProp" Target="../ctrlProps/ctrlProp717.xml"/><Relationship Id="rId96" Type="http://schemas.openxmlformats.org/officeDocument/2006/relationships/ctrlProp" Target="../ctrlProps/ctrlProp738.xml"/><Relationship Id="rId140" Type="http://schemas.openxmlformats.org/officeDocument/2006/relationships/ctrlProp" Target="../ctrlProps/ctrlProp782.xml"/><Relationship Id="rId161" Type="http://schemas.openxmlformats.org/officeDocument/2006/relationships/ctrlProp" Target="../ctrlProps/ctrlProp803.xml"/><Relationship Id="rId182" Type="http://schemas.openxmlformats.org/officeDocument/2006/relationships/ctrlProp" Target="../ctrlProps/ctrlProp824.xml"/><Relationship Id="rId6" Type="http://schemas.openxmlformats.org/officeDocument/2006/relationships/ctrlProp" Target="../ctrlProps/ctrlProp648.xml"/><Relationship Id="rId23" Type="http://schemas.openxmlformats.org/officeDocument/2006/relationships/ctrlProp" Target="../ctrlProps/ctrlProp665.xml"/><Relationship Id="rId119" Type="http://schemas.openxmlformats.org/officeDocument/2006/relationships/ctrlProp" Target="../ctrlProps/ctrlProp761.xml"/><Relationship Id="rId44" Type="http://schemas.openxmlformats.org/officeDocument/2006/relationships/ctrlProp" Target="../ctrlProps/ctrlProp686.xml"/><Relationship Id="rId65" Type="http://schemas.openxmlformats.org/officeDocument/2006/relationships/ctrlProp" Target="../ctrlProps/ctrlProp707.xml"/><Relationship Id="rId86" Type="http://schemas.openxmlformats.org/officeDocument/2006/relationships/ctrlProp" Target="../ctrlProps/ctrlProp728.xml"/><Relationship Id="rId130" Type="http://schemas.openxmlformats.org/officeDocument/2006/relationships/ctrlProp" Target="../ctrlProps/ctrlProp772.xml"/><Relationship Id="rId151" Type="http://schemas.openxmlformats.org/officeDocument/2006/relationships/ctrlProp" Target="../ctrlProps/ctrlProp793.xml"/><Relationship Id="rId172" Type="http://schemas.openxmlformats.org/officeDocument/2006/relationships/ctrlProp" Target="../ctrlProps/ctrlProp814.xml"/><Relationship Id="rId193" Type="http://schemas.openxmlformats.org/officeDocument/2006/relationships/ctrlProp" Target="../ctrlProps/ctrlProp835.xml"/><Relationship Id="rId207" Type="http://schemas.openxmlformats.org/officeDocument/2006/relationships/ctrlProp" Target="../ctrlProps/ctrlProp849.xml"/><Relationship Id="rId13" Type="http://schemas.openxmlformats.org/officeDocument/2006/relationships/ctrlProp" Target="../ctrlProps/ctrlProp655.xml"/><Relationship Id="rId109" Type="http://schemas.openxmlformats.org/officeDocument/2006/relationships/ctrlProp" Target="../ctrlProps/ctrlProp751.xml"/><Relationship Id="rId34" Type="http://schemas.openxmlformats.org/officeDocument/2006/relationships/ctrlProp" Target="../ctrlProps/ctrlProp676.xml"/><Relationship Id="rId55" Type="http://schemas.openxmlformats.org/officeDocument/2006/relationships/ctrlProp" Target="../ctrlProps/ctrlProp697.xml"/><Relationship Id="rId76" Type="http://schemas.openxmlformats.org/officeDocument/2006/relationships/ctrlProp" Target="../ctrlProps/ctrlProp718.xml"/><Relationship Id="rId97" Type="http://schemas.openxmlformats.org/officeDocument/2006/relationships/ctrlProp" Target="../ctrlProps/ctrlProp739.xml"/><Relationship Id="rId120" Type="http://schemas.openxmlformats.org/officeDocument/2006/relationships/ctrlProp" Target="../ctrlProps/ctrlProp762.xml"/><Relationship Id="rId141" Type="http://schemas.openxmlformats.org/officeDocument/2006/relationships/ctrlProp" Target="../ctrlProps/ctrlProp783.xml"/><Relationship Id="rId7" Type="http://schemas.openxmlformats.org/officeDocument/2006/relationships/ctrlProp" Target="../ctrlProps/ctrlProp649.xml"/><Relationship Id="rId162" Type="http://schemas.openxmlformats.org/officeDocument/2006/relationships/ctrlProp" Target="../ctrlProps/ctrlProp804.xml"/><Relationship Id="rId183" Type="http://schemas.openxmlformats.org/officeDocument/2006/relationships/ctrlProp" Target="../ctrlProps/ctrlProp825.xml"/><Relationship Id="rId24" Type="http://schemas.openxmlformats.org/officeDocument/2006/relationships/ctrlProp" Target="../ctrlProps/ctrlProp666.xml"/><Relationship Id="rId45" Type="http://schemas.openxmlformats.org/officeDocument/2006/relationships/ctrlProp" Target="../ctrlProps/ctrlProp687.xml"/><Relationship Id="rId66" Type="http://schemas.openxmlformats.org/officeDocument/2006/relationships/ctrlProp" Target="../ctrlProps/ctrlProp708.xml"/><Relationship Id="rId87" Type="http://schemas.openxmlformats.org/officeDocument/2006/relationships/ctrlProp" Target="../ctrlProps/ctrlProp729.xml"/><Relationship Id="rId110" Type="http://schemas.openxmlformats.org/officeDocument/2006/relationships/ctrlProp" Target="../ctrlProps/ctrlProp752.xml"/><Relationship Id="rId131" Type="http://schemas.openxmlformats.org/officeDocument/2006/relationships/ctrlProp" Target="../ctrlProps/ctrlProp773.xml"/><Relationship Id="rId152" Type="http://schemas.openxmlformats.org/officeDocument/2006/relationships/ctrlProp" Target="../ctrlProps/ctrlProp794.xml"/><Relationship Id="rId173" Type="http://schemas.openxmlformats.org/officeDocument/2006/relationships/ctrlProp" Target="../ctrlProps/ctrlProp815.xml"/><Relationship Id="rId194" Type="http://schemas.openxmlformats.org/officeDocument/2006/relationships/ctrlProp" Target="../ctrlProps/ctrlProp836.xml"/><Relationship Id="rId208" Type="http://schemas.openxmlformats.org/officeDocument/2006/relationships/ctrlProp" Target="../ctrlProps/ctrlProp850.xml"/><Relationship Id="rId19" Type="http://schemas.openxmlformats.org/officeDocument/2006/relationships/ctrlProp" Target="../ctrlProps/ctrlProp661.xml"/><Relationship Id="rId14" Type="http://schemas.openxmlformats.org/officeDocument/2006/relationships/ctrlProp" Target="../ctrlProps/ctrlProp656.xml"/><Relationship Id="rId30" Type="http://schemas.openxmlformats.org/officeDocument/2006/relationships/ctrlProp" Target="../ctrlProps/ctrlProp672.xml"/><Relationship Id="rId35" Type="http://schemas.openxmlformats.org/officeDocument/2006/relationships/ctrlProp" Target="../ctrlProps/ctrlProp677.xml"/><Relationship Id="rId56" Type="http://schemas.openxmlformats.org/officeDocument/2006/relationships/ctrlProp" Target="../ctrlProps/ctrlProp698.xml"/><Relationship Id="rId77" Type="http://schemas.openxmlformats.org/officeDocument/2006/relationships/ctrlProp" Target="../ctrlProps/ctrlProp719.xml"/><Relationship Id="rId100" Type="http://schemas.openxmlformats.org/officeDocument/2006/relationships/ctrlProp" Target="../ctrlProps/ctrlProp742.xml"/><Relationship Id="rId105" Type="http://schemas.openxmlformats.org/officeDocument/2006/relationships/ctrlProp" Target="../ctrlProps/ctrlProp747.xml"/><Relationship Id="rId126" Type="http://schemas.openxmlformats.org/officeDocument/2006/relationships/ctrlProp" Target="../ctrlProps/ctrlProp768.xml"/><Relationship Id="rId147" Type="http://schemas.openxmlformats.org/officeDocument/2006/relationships/ctrlProp" Target="../ctrlProps/ctrlProp789.xml"/><Relationship Id="rId168" Type="http://schemas.openxmlformats.org/officeDocument/2006/relationships/ctrlProp" Target="../ctrlProps/ctrlProp810.xml"/><Relationship Id="rId8" Type="http://schemas.openxmlformats.org/officeDocument/2006/relationships/ctrlProp" Target="../ctrlProps/ctrlProp650.xml"/><Relationship Id="rId51" Type="http://schemas.openxmlformats.org/officeDocument/2006/relationships/ctrlProp" Target="../ctrlProps/ctrlProp693.xml"/><Relationship Id="rId72" Type="http://schemas.openxmlformats.org/officeDocument/2006/relationships/ctrlProp" Target="../ctrlProps/ctrlProp714.xml"/><Relationship Id="rId93" Type="http://schemas.openxmlformats.org/officeDocument/2006/relationships/ctrlProp" Target="../ctrlProps/ctrlProp735.xml"/><Relationship Id="rId98" Type="http://schemas.openxmlformats.org/officeDocument/2006/relationships/ctrlProp" Target="../ctrlProps/ctrlProp740.xml"/><Relationship Id="rId121" Type="http://schemas.openxmlformats.org/officeDocument/2006/relationships/ctrlProp" Target="../ctrlProps/ctrlProp763.xml"/><Relationship Id="rId142" Type="http://schemas.openxmlformats.org/officeDocument/2006/relationships/ctrlProp" Target="../ctrlProps/ctrlProp784.xml"/><Relationship Id="rId163" Type="http://schemas.openxmlformats.org/officeDocument/2006/relationships/ctrlProp" Target="../ctrlProps/ctrlProp805.xml"/><Relationship Id="rId184" Type="http://schemas.openxmlformats.org/officeDocument/2006/relationships/ctrlProp" Target="../ctrlProps/ctrlProp826.xml"/><Relationship Id="rId189" Type="http://schemas.openxmlformats.org/officeDocument/2006/relationships/ctrlProp" Target="../ctrlProps/ctrlProp831.xml"/><Relationship Id="rId3" Type="http://schemas.openxmlformats.org/officeDocument/2006/relationships/vmlDrawing" Target="../drawings/vmlDrawing4.vml"/><Relationship Id="rId214" Type="http://schemas.openxmlformats.org/officeDocument/2006/relationships/ctrlProp" Target="../ctrlProps/ctrlProp856.xml"/><Relationship Id="rId25" Type="http://schemas.openxmlformats.org/officeDocument/2006/relationships/ctrlProp" Target="../ctrlProps/ctrlProp667.xml"/><Relationship Id="rId46" Type="http://schemas.openxmlformats.org/officeDocument/2006/relationships/ctrlProp" Target="../ctrlProps/ctrlProp688.xml"/><Relationship Id="rId67" Type="http://schemas.openxmlformats.org/officeDocument/2006/relationships/ctrlProp" Target="../ctrlProps/ctrlProp709.xml"/><Relationship Id="rId116" Type="http://schemas.openxmlformats.org/officeDocument/2006/relationships/ctrlProp" Target="../ctrlProps/ctrlProp758.xml"/><Relationship Id="rId137" Type="http://schemas.openxmlformats.org/officeDocument/2006/relationships/ctrlProp" Target="../ctrlProps/ctrlProp779.xml"/><Relationship Id="rId158" Type="http://schemas.openxmlformats.org/officeDocument/2006/relationships/ctrlProp" Target="../ctrlProps/ctrlProp800.xml"/><Relationship Id="rId20" Type="http://schemas.openxmlformats.org/officeDocument/2006/relationships/ctrlProp" Target="../ctrlProps/ctrlProp662.xml"/><Relationship Id="rId41" Type="http://schemas.openxmlformats.org/officeDocument/2006/relationships/ctrlProp" Target="../ctrlProps/ctrlProp683.xml"/><Relationship Id="rId62" Type="http://schemas.openxmlformats.org/officeDocument/2006/relationships/ctrlProp" Target="../ctrlProps/ctrlProp704.xml"/><Relationship Id="rId83" Type="http://schemas.openxmlformats.org/officeDocument/2006/relationships/ctrlProp" Target="../ctrlProps/ctrlProp725.xml"/><Relationship Id="rId88" Type="http://schemas.openxmlformats.org/officeDocument/2006/relationships/ctrlProp" Target="../ctrlProps/ctrlProp730.xml"/><Relationship Id="rId111" Type="http://schemas.openxmlformats.org/officeDocument/2006/relationships/ctrlProp" Target="../ctrlProps/ctrlProp753.xml"/><Relationship Id="rId132" Type="http://schemas.openxmlformats.org/officeDocument/2006/relationships/ctrlProp" Target="../ctrlProps/ctrlProp774.xml"/><Relationship Id="rId153" Type="http://schemas.openxmlformats.org/officeDocument/2006/relationships/ctrlProp" Target="../ctrlProps/ctrlProp795.xml"/><Relationship Id="rId174" Type="http://schemas.openxmlformats.org/officeDocument/2006/relationships/ctrlProp" Target="../ctrlProps/ctrlProp816.xml"/><Relationship Id="rId179" Type="http://schemas.openxmlformats.org/officeDocument/2006/relationships/ctrlProp" Target="../ctrlProps/ctrlProp821.xml"/><Relationship Id="rId195" Type="http://schemas.openxmlformats.org/officeDocument/2006/relationships/ctrlProp" Target="../ctrlProps/ctrlProp837.xml"/><Relationship Id="rId209" Type="http://schemas.openxmlformats.org/officeDocument/2006/relationships/ctrlProp" Target="../ctrlProps/ctrlProp851.xml"/><Relationship Id="rId190" Type="http://schemas.openxmlformats.org/officeDocument/2006/relationships/ctrlProp" Target="../ctrlProps/ctrlProp832.xml"/><Relationship Id="rId204" Type="http://schemas.openxmlformats.org/officeDocument/2006/relationships/ctrlProp" Target="../ctrlProps/ctrlProp846.xml"/><Relationship Id="rId15" Type="http://schemas.openxmlformats.org/officeDocument/2006/relationships/ctrlProp" Target="../ctrlProps/ctrlProp657.xml"/><Relationship Id="rId36" Type="http://schemas.openxmlformats.org/officeDocument/2006/relationships/ctrlProp" Target="../ctrlProps/ctrlProp678.xml"/><Relationship Id="rId57" Type="http://schemas.openxmlformats.org/officeDocument/2006/relationships/ctrlProp" Target="../ctrlProps/ctrlProp699.xml"/><Relationship Id="rId106" Type="http://schemas.openxmlformats.org/officeDocument/2006/relationships/ctrlProp" Target="../ctrlProps/ctrlProp748.xml"/><Relationship Id="rId127" Type="http://schemas.openxmlformats.org/officeDocument/2006/relationships/ctrlProp" Target="../ctrlProps/ctrlProp769.xml"/><Relationship Id="rId10" Type="http://schemas.openxmlformats.org/officeDocument/2006/relationships/ctrlProp" Target="../ctrlProps/ctrlProp652.xml"/><Relationship Id="rId31" Type="http://schemas.openxmlformats.org/officeDocument/2006/relationships/ctrlProp" Target="../ctrlProps/ctrlProp673.xml"/><Relationship Id="rId52" Type="http://schemas.openxmlformats.org/officeDocument/2006/relationships/ctrlProp" Target="../ctrlProps/ctrlProp694.xml"/><Relationship Id="rId73" Type="http://schemas.openxmlformats.org/officeDocument/2006/relationships/ctrlProp" Target="../ctrlProps/ctrlProp715.xml"/><Relationship Id="rId78" Type="http://schemas.openxmlformats.org/officeDocument/2006/relationships/ctrlProp" Target="../ctrlProps/ctrlProp720.xml"/><Relationship Id="rId94" Type="http://schemas.openxmlformats.org/officeDocument/2006/relationships/ctrlProp" Target="../ctrlProps/ctrlProp736.xml"/><Relationship Id="rId99" Type="http://schemas.openxmlformats.org/officeDocument/2006/relationships/ctrlProp" Target="../ctrlProps/ctrlProp741.xml"/><Relationship Id="rId101" Type="http://schemas.openxmlformats.org/officeDocument/2006/relationships/ctrlProp" Target="../ctrlProps/ctrlProp743.xml"/><Relationship Id="rId122" Type="http://schemas.openxmlformats.org/officeDocument/2006/relationships/ctrlProp" Target="../ctrlProps/ctrlProp764.xml"/><Relationship Id="rId143" Type="http://schemas.openxmlformats.org/officeDocument/2006/relationships/ctrlProp" Target="../ctrlProps/ctrlProp785.xml"/><Relationship Id="rId148" Type="http://schemas.openxmlformats.org/officeDocument/2006/relationships/ctrlProp" Target="../ctrlProps/ctrlProp790.xml"/><Relationship Id="rId164" Type="http://schemas.openxmlformats.org/officeDocument/2006/relationships/ctrlProp" Target="../ctrlProps/ctrlProp806.xml"/><Relationship Id="rId169" Type="http://schemas.openxmlformats.org/officeDocument/2006/relationships/ctrlProp" Target="../ctrlProps/ctrlProp811.xml"/><Relationship Id="rId185" Type="http://schemas.openxmlformats.org/officeDocument/2006/relationships/ctrlProp" Target="../ctrlProps/ctrlProp827.xml"/><Relationship Id="rId4" Type="http://schemas.openxmlformats.org/officeDocument/2006/relationships/ctrlProp" Target="../ctrlProps/ctrlProp646.xml"/><Relationship Id="rId9" Type="http://schemas.openxmlformats.org/officeDocument/2006/relationships/ctrlProp" Target="../ctrlProps/ctrlProp651.xml"/><Relationship Id="rId180" Type="http://schemas.openxmlformats.org/officeDocument/2006/relationships/ctrlProp" Target="../ctrlProps/ctrlProp822.xml"/><Relationship Id="rId210" Type="http://schemas.openxmlformats.org/officeDocument/2006/relationships/ctrlProp" Target="../ctrlProps/ctrlProp852.xml"/><Relationship Id="rId215" Type="http://schemas.openxmlformats.org/officeDocument/2006/relationships/ctrlProp" Target="../ctrlProps/ctrlProp857.xml"/><Relationship Id="rId26" Type="http://schemas.openxmlformats.org/officeDocument/2006/relationships/ctrlProp" Target="../ctrlProps/ctrlProp668.xml"/><Relationship Id="rId47" Type="http://schemas.openxmlformats.org/officeDocument/2006/relationships/ctrlProp" Target="../ctrlProps/ctrlProp689.xml"/><Relationship Id="rId68" Type="http://schemas.openxmlformats.org/officeDocument/2006/relationships/ctrlProp" Target="../ctrlProps/ctrlProp710.xml"/><Relationship Id="rId89" Type="http://schemas.openxmlformats.org/officeDocument/2006/relationships/ctrlProp" Target="../ctrlProps/ctrlProp731.xml"/><Relationship Id="rId112" Type="http://schemas.openxmlformats.org/officeDocument/2006/relationships/ctrlProp" Target="../ctrlProps/ctrlProp754.xml"/><Relationship Id="rId133" Type="http://schemas.openxmlformats.org/officeDocument/2006/relationships/ctrlProp" Target="../ctrlProps/ctrlProp775.xml"/><Relationship Id="rId154" Type="http://schemas.openxmlformats.org/officeDocument/2006/relationships/ctrlProp" Target="../ctrlProps/ctrlProp796.xml"/><Relationship Id="rId175" Type="http://schemas.openxmlformats.org/officeDocument/2006/relationships/ctrlProp" Target="../ctrlProps/ctrlProp817.xml"/><Relationship Id="rId196" Type="http://schemas.openxmlformats.org/officeDocument/2006/relationships/ctrlProp" Target="../ctrlProps/ctrlProp838.xml"/><Relationship Id="rId200" Type="http://schemas.openxmlformats.org/officeDocument/2006/relationships/ctrlProp" Target="../ctrlProps/ctrlProp842.xml"/><Relationship Id="rId16" Type="http://schemas.openxmlformats.org/officeDocument/2006/relationships/ctrlProp" Target="../ctrlProps/ctrlProp658.xml"/><Relationship Id="rId37" Type="http://schemas.openxmlformats.org/officeDocument/2006/relationships/ctrlProp" Target="../ctrlProps/ctrlProp679.xml"/><Relationship Id="rId58" Type="http://schemas.openxmlformats.org/officeDocument/2006/relationships/ctrlProp" Target="../ctrlProps/ctrlProp700.xml"/><Relationship Id="rId79" Type="http://schemas.openxmlformats.org/officeDocument/2006/relationships/ctrlProp" Target="../ctrlProps/ctrlProp721.xml"/><Relationship Id="rId102" Type="http://schemas.openxmlformats.org/officeDocument/2006/relationships/ctrlProp" Target="../ctrlProps/ctrlProp744.xml"/><Relationship Id="rId123" Type="http://schemas.openxmlformats.org/officeDocument/2006/relationships/ctrlProp" Target="../ctrlProps/ctrlProp765.xml"/><Relationship Id="rId144" Type="http://schemas.openxmlformats.org/officeDocument/2006/relationships/ctrlProp" Target="../ctrlProps/ctrlProp786.xml"/><Relationship Id="rId90" Type="http://schemas.openxmlformats.org/officeDocument/2006/relationships/ctrlProp" Target="../ctrlProps/ctrlProp732.xml"/><Relationship Id="rId165" Type="http://schemas.openxmlformats.org/officeDocument/2006/relationships/ctrlProp" Target="../ctrlProps/ctrlProp807.xml"/><Relationship Id="rId186" Type="http://schemas.openxmlformats.org/officeDocument/2006/relationships/ctrlProp" Target="../ctrlProps/ctrlProp828.xml"/><Relationship Id="rId211" Type="http://schemas.openxmlformats.org/officeDocument/2006/relationships/ctrlProp" Target="../ctrlProps/ctrlProp853.xml"/><Relationship Id="rId27" Type="http://schemas.openxmlformats.org/officeDocument/2006/relationships/ctrlProp" Target="../ctrlProps/ctrlProp669.xml"/><Relationship Id="rId48" Type="http://schemas.openxmlformats.org/officeDocument/2006/relationships/ctrlProp" Target="../ctrlProps/ctrlProp690.xml"/><Relationship Id="rId69" Type="http://schemas.openxmlformats.org/officeDocument/2006/relationships/ctrlProp" Target="../ctrlProps/ctrlProp711.xml"/><Relationship Id="rId113" Type="http://schemas.openxmlformats.org/officeDocument/2006/relationships/ctrlProp" Target="../ctrlProps/ctrlProp755.xml"/><Relationship Id="rId134" Type="http://schemas.openxmlformats.org/officeDocument/2006/relationships/ctrlProp" Target="../ctrlProps/ctrlProp776.xml"/><Relationship Id="rId80" Type="http://schemas.openxmlformats.org/officeDocument/2006/relationships/ctrlProp" Target="../ctrlProps/ctrlProp722.xml"/><Relationship Id="rId155" Type="http://schemas.openxmlformats.org/officeDocument/2006/relationships/ctrlProp" Target="../ctrlProps/ctrlProp797.xml"/><Relationship Id="rId176" Type="http://schemas.openxmlformats.org/officeDocument/2006/relationships/ctrlProp" Target="../ctrlProps/ctrlProp818.xml"/><Relationship Id="rId197" Type="http://schemas.openxmlformats.org/officeDocument/2006/relationships/ctrlProp" Target="../ctrlProps/ctrlProp839.xml"/><Relationship Id="rId201" Type="http://schemas.openxmlformats.org/officeDocument/2006/relationships/ctrlProp" Target="../ctrlProps/ctrlProp843.xml"/><Relationship Id="rId17" Type="http://schemas.openxmlformats.org/officeDocument/2006/relationships/ctrlProp" Target="../ctrlProps/ctrlProp659.xml"/><Relationship Id="rId38" Type="http://schemas.openxmlformats.org/officeDocument/2006/relationships/ctrlProp" Target="../ctrlProps/ctrlProp680.xml"/><Relationship Id="rId59" Type="http://schemas.openxmlformats.org/officeDocument/2006/relationships/ctrlProp" Target="../ctrlProps/ctrlProp701.xml"/><Relationship Id="rId103" Type="http://schemas.openxmlformats.org/officeDocument/2006/relationships/ctrlProp" Target="../ctrlProps/ctrlProp745.xml"/><Relationship Id="rId124" Type="http://schemas.openxmlformats.org/officeDocument/2006/relationships/ctrlProp" Target="../ctrlProps/ctrlProp766.xml"/><Relationship Id="rId70" Type="http://schemas.openxmlformats.org/officeDocument/2006/relationships/ctrlProp" Target="../ctrlProps/ctrlProp712.xml"/><Relationship Id="rId91" Type="http://schemas.openxmlformats.org/officeDocument/2006/relationships/ctrlProp" Target="../ctrlProps/ctrlProp733.xml"/><Relationship Id="rId145" Type="http://schemas.openxmlformats.org/officeDocument/2006/relationships/ctrlProp" Target="../ctrlProps/ctrlProp787.xml"/><Relationship Id="rId166" Type="http://schemas.openxmlformats.org/officeDocument/2006/relationships/ctrlProp" Target="../ctrlProps/ctrlProp808.xml"/><Relationship Id="rId187" Type="http://schemas.openxmlformats.org/officeDocument/2006/relationships/ctrlProp" Target="../ctrlProps/ctrlProp829.xml"/><Relationship Id="rId1" Type="http://schemas.openxmlformats.org/officeDocument/2006/relationships/printerSettings" Target="../printerSettings/printerSettings4.bin"/><Relationship Id="rId212" Type="http://schemas.openxmlformats.org/officeDocument/2006/relationships/ctrlProp" Target="../ctrlProps/ctrlProp854.xml"/><Relationship Id="rId28" Type="http://schemas.openxmlformats.org/officeDocument/2006/relationships/ctrlProp" Target="../ctrlProps/ctrlProp670.xml"/><Relationship Id="rId49" Type="http://schemas.openxmlformats.org/officeDocument/2006/relationships/ctrlProp" Target="../ctrlProps/ctrlProp691.xml"/><Relationship Id="rId114" Type="http://schemas.openxmlformats.org/officeDocument/2006/relationships/ctrlProp" Target="../ctrlProps/ctrlProp756.xml"/><Relationship Id="rId60" Type="http://schemas.openxmlformats.org/officeDocument/2006/relationships/ctrlProp" Target="../ctrlProps/ctrlProp702.xml"/><Relationship Id="rId81" Type="http://schemas.openxmlformats.org/officeDocument/2006/relationships/ctrlProp" Target="../ctrlProps/ctrlProp723.xml"/><Relationship Id="rId135" Type="http://schemas.openxmlformats.org/officeDocument/2006/relationships/ctrlProp" Target="../ctrlProps/ctrlProp777.xml"/><Relationship Id="rId156" Type="http://schemas.openxmlformats.org/officeDocument/2006/relationships/ctrlProp" Target="../ctrlProps/ctrlProp798.xml"/><Relationship Id="rId177" Type="http://schemas.openxmlformats.org/officeDocument/2006/relationships/ctrlProp" Target="../ctrlProps/ctrlProp819.xml"/><Relationship Id="rId198" Type="http://schemas.openxmlformats.org/officeDocument/2006/relationships/ctrlProp" Target="../ctrlProps/ctrlProp840.xml"/><Relationship Id="rId202" Type="http://schemas.openxmlformats.org/officeDocument/2006/relationships/ctrlProp" Target="../ctrlProps/ctrlProp844.xml"/><Relationship Id="rId18" Type="http://schemas.openxmlformats.org/officeDocument/2006/relationships/ctrlProp" Target="../ctrlProps/ctrlProp660.xml"/><Relationship Id="rId39" Type="http://schemas.openxmlformats.org/officeDocument/2006/relationships/ctrlProp" Target="../ctrlProps/ctrlProp681.xml"/><Relationship Id="rId50" Type="http://schemas.openxmlformats.org/officeDocument/2006/relationships/ctrlProp" Target="../ctrlProps/ctrlProp692.xml"/><Relationship Id="rId104" Type="http://schemas.openxmlformats.org/officeDocument/2006/relationships/ctrlProp" Target="../ctrlProps/ctrlProp746.xml"/><Relationship Id="rId125" Type="http://schemas.openxmlformats.org/officeDocument/2006/relationships/ctrlProp" Target="../ctrlProps/ctrlProp767.xml"/><Relationship Id="rId146" Type="http://schemas.openxmlformats.org/officeDocument/2006/relationships/ctrlProp" Target="../ctrlProps/ctrlProp788.xml"/><Relationship Id="rId167" Type="http://schemas.openxmlformats.org/officeDocument/2006/relationships/ctrlProp" Target="../ctrlProps/ctrlProp809.xml"/><Relationship Id="rId188" Type="http://schemas.openxmlformats.org/officeDocument/2006/relationships/ctrlProp" Target="../ctrlProps/ctrlProp830.xml"/><Relationship Id="rId71" Type="http://schemas.openxmlformats.org/officeDocument/2006/relationships/ctrlProp" Target="../ctrlProps/ctrlProp713.xml"/><Relationship Id="rId92" Type="http://schemas.openxmlformats.org/officeDocument/2006/relationships/ctrlProp" Target="../ctrlProps/ctrlProp734.xml"/><Relationship Id="rId213" Type="http://schemas.openxmlformats.org/officeDocument/2006/relationships/ctrlProp" Target="../ctrlProps/ctrlProp855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671.xml"/><Relationship Id="rId40" Type="http://schemas.openxmlformats.org/officeDocument/2006/relationships/ctrlProp" Target="../ctrlProps/ctrlProp682.xml"/><Relationship Id="rId115" Type="http://schemas.openxmlformats.org/officeDocument/2006/relationships/ctrlProp" Target="../ctrlProps/ctrlProp757.xml"/><Relationship Id="rId136" Type="http://schemas.openxmlformats.org/officeDocument/2006/relationships/ctrlProp" Target="../ctrlProps/ctrlProp778.xml"/><Relationship Id="rId157" Type="http://schemas.openxmlformats.org/officeDocument/2006/relationships/ctrlProp" Target="../ctrlProps/ctrlProp799.xml"/><Relationship Id="rId178" Type="http://schemas.openxmlformats.org/officeDocument/2006/relationships/ctrlProp" Target="../ctrlProps/ctrlProp820.xml"/><Relationship Id="rId61" Type="http://schemas.openxmlformats.org/officeDocument/2006/relationships/ctrlProp" Target="../ctrlProps/ctrlProp703.xml"/><Relationship Id="rId82" Type="http://schemas.openxmlformats.org/officeDocument/2006/relationships/ctrlProp" Target="../ctrlProps/ctrlProp724.xml"/><Relationship Id="rId199" Type="http://schemas.openxmlformats.org/officeDocument/2006/relationships/ctrlProp" Target="../ctrlProps/ctrlProp841.xml"/><Relationship Id="rId203" Type="http://schemas.openxmlformats.org/officeDocument/2006/relationships/ctrlProp" Target="../ctrlProps/ctrlProp84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1"/>
  <dimension ref="A1:AC42"/>
  <sheetViews>
    <sheetView showGridLines="0" view="pageBreakPreview" topLeftCell="A14" zoomScale="115" zoomScaleNormal="100" zoomScaleSheetLayoutView="115" workbookViewId="0">
      <selection activeCell="A18" sqref="A18:H36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39"/>
      <c r="B1" s="37"/>
      <c r="I1" s="40" t="s">
        <v>33</v>
      </c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3"/>
    </row>
    <row r="2" spans="1:29" ht="37.5" customHeight="1" x14ac:dyDescent="0.2">
      <c r="A2" s="39"/>
      <c r="B2" s="37"/>
      <c r="I2" s="42" t="s">
        <v>32</v>
      </c>
      <c r="J2" s="43"/>
      <c r="K2" s="43"/>
      <c r="L2" s="43"/>
      <c r="M2" s="43"/>
      <c r="N2" s="43"/>
      <c r="O2" s="4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4" t="s">
        <v>1</v>
      </c>
      <c r="B4" s="44"/>
      <c r="C4" s="44"/>
      <c r="D4" s="44"/>
      <c r="E4" s="44"/>
      <c r="F4" s="45"/>
      <c r="G4" s="46"/>
      <c r="H4" s="46"/>
      <c r="I4" s="46"/>
      <c r="J4" s="46"/>
      <c r="K4" s="46"/>
      <c r="L4" s="46"/>
      <c r="M4" s="46"/>
      <c r="N4" s="47" t="s">
        <v>11</v>
      </c>
      <c r="O4" s="47"/>
      <c r="P4" s="47"/>
      <c r="Q4" s="47"/>
      <c r="R4" s="47"/>
      <c r="S4" s="47"/>
      <c r="T4" s="47"/>
      <c r="U4" s="48" t="s">
        <v>64</v>
      </c>
      <c r="V4" s="49"/>
      <c r="W4" s="49"/>
      <c r="X4" s="49"/>
      <c r="Y4" s="49"/>
      <c r="Z4" s="49"/>
      <c r="AA4" s="49"/>
      <c r="AB4" s="50"/>
      <c r="AC4" s="3"/>
    </row>
    <row r="5" spans="1:29" ht="24" customHeight="1" x14ac:dyDescent="0.2">
      <c r="A5" s="44" t="s">
        <v>5</v>
      </c>
      <c r="B5" s="44"/>
      <c r="C5" s="44"/>
      <c r="D5" s="44"/>
      <c r="E5" s="44"/>
      <c r="F5" s="45"/>
      <c r="G5" s="51" t="s">
        <v>61</v>
      </c>
      <c r="H5" s="51"/>
      <c r="I5" s="51"/>
      <c r="J5" s="51"/>
      <c r="K5" s="51"/>
      <c r="L5" s="51"/>
      <c r="M5" s="51"/>
      <c r="N5" s="44" t="s">
        <v>9</v>
      </c>
      <c r="O5" s="44"/>
      <c r="P5" s="44"/>
      <c r="Q5" s="44"/>
      <c r="R5" s="44"/>
      <c r="S5" s="44"/>
      <c r="T5" s="44"/>
      <c r="U5" s="58">
        <v>44431</v>
      </c>
      <c r="V5" s="58"/>
      <c r="W5" s="58"/>
      <c r="X5" s="24" t="s">
        <v>30</v>
      </c>
      <c r="Y5" s="59">
        <v>0.63541666666666663</v>
      </c>
      <c r="Z5" s="60"/>
      <c r="AA5" s="60"/>
      <c r="AB5" s="60"/>
    </row>
    <row r="6" spans="1:29" ht="24" customHeight="1" x14ac:dyDescent="0.2">
      <c r="A6" s="54" t="s">
        <v>7</v>
      </c>
      <c r="B6" s="54"/>
      <c r="C6" s="54"/>
      <c r="D6" s="54"/>
      <c r="E6" s="54"/>
      <c r="F6" s="55"/>
      <c r="G6" s="51" t="s">
        <v>62</v>
      </c>
      <c r="H6" s="51"/>
      <c r="I6" s="51"/>
      <c r="J6" s="51"/>
      <c r="K6" s="51"/>
      <c r="L6" s="51"/>
      <c r="M6" s="51"/>
      <c r="N6" s="61" t="s">
        <v>0</v>
      </c>
      <c r="O6" s="61"/>
      <c r="P6" s="61"/>
      <c r="Q6" s="61"/>
      <c r="R6" s="61"/>
      <c r="S6" s="61"/>
      <c r="T6" s="61"/>
      <c r="U6" s="58">
        <v>44431</v>
      </c>
      <c r="V6" s="58"/>
      <c r="W6" s="58"/>
      <c r="X6" s="24" t="s">
        <v>30</v>
      </c>
      <c r="Y6" s="59">
        <v>0.65625</v>
      </c>
      <c r="Z6" s="60"/>
      <c r="AA6" s="60"/>
      <c r="AB6" s="60"/>
    </row>
    <row r="7" spans="1:29" ht="24" customHeight="1" x14ac:dyDescent="0.2">
      <c r="A7" s="44" t="s">
        <v>10</v>
      </c>
      <c r="B7" s="44"/>
      <c r="C7" s="44"/>
      <c r="D7" s="44"/>
      <c r="E7" s="44"/>
      <c r="F7" s="45"/>
      <c r="G7" s="51" t="s">
        <v>63</v>
      </c>
      <c r="H7" s="51"/>
      <c r="I7" s="51"/>
      <c r="J7" s="51"/>
      <c r="K7" s="51"/>
      <c r="L7" s="51"/>
      <c r="M7" s="51"/>
      <c r="N7" s="52" t="s">
        <v>35</v>
      </c>
      <c r="O7" s="52"/>
      <c r="P7" s="52"/>
      <c r="Q7" s="52"/>
      <c r="R7" s="52"/>
      <c r="S7" s="52"/>
      <c r="T7" s="52"/>
      <c r="U7" s="53" t="s">
        <v>65</v>
      </c>
      <c r="V7" s="53"/>
      <c r="W7" s="53"/>
      <c r="X7" s="53"/>
      <c r="Y7" s="53"/>
      <c r="Z7" s="53"/>
      <c r="AA7" s="53"/>
      <c r="AB7" s="53"/>
    </row>
    <row r="8" spans="1:29" ht="24" customHeight="1" x14ac:dyDescent="0.2">
      <c r="A8" s="54" t="s">
        <v>2</v>
      </c>
      <c r="B8" s="54"/>
      <c r="C8" s="54"/>
      <c r="D8" s="54"/>
      <c r="E8" s="54"/>
      <c r="F8" s="55"/>
      <c r="G8" s="56">
        <v>514059</v>
      </c>
      <c r="H8" s="56"/>
      <c r="I8" s="56"/>
      <c r="J8" s="56"/>
      <c r="K8" s="56"/>
      <c r="L8" s="56"/>
      <c r="M8" s="56"/>
      <c r="N8" s="52" t="s">
        <v>4</v>
      </c>
      <c r="O8" s="52"/>
      <c r="P8" s="52"/>
      <c r="Q8" s="52"/>
      <c r="R8" s="52"/>
      <c r="S8" s="52"/>
      <c r="T8" s="52"/>
      <c r="U8" s="57" t="s">
        <v>66</v>
      </c>
      <c r="V8" s="57"/>
      <c r="W8" s="57"/>
      <c r="X8" s="57"/>
      <c r="Y8" s="57"/>
      <c r="Z8" s="57"/>
      <c r="AA8" s="57"/>
      <c r="AB8" s="57"/>
    </row>
    <row r="9" spans="1:29" ht="24" customHeight="1" x14ac:dyDescent="0.2">
      <c r="A9" s="54" t="s">
        <v>6</v>
      </c>
      <c r="B9" s="54"/>
      <c r="C9" s="54"/>
      <c r="D9" s="54"/>
      <c r="E9" s="54"/>
      <c r="F9" s="55"/>
      <c r="G9" s="62" t="s">
        <v>68</v>
      </c>
      <c r="H9" s="62"/>
      <c r="I9" s="62"/>
      <c r="J9" s="62"/>
      <c r="K9" s="62"/>
      <c r="L9" s="62"/>
      <c r="M9" s="62"/>
      <c r="N9" s="52" t="s">
        <v>31</v>
      </c>
      <c r="O9" s="52"/>
      <c r="P9" s="52"/>
      <c r="Q9" s="52"/>
      <c r="R9" s="52"/>
      <c r="S9" s="52"/>
      <c r="T9" s="52"/>
      <c r="U9" s="53" t="s">
        <v>76</v>
      </c>
      <c r="V9" s="53"/>
      <c r="W9" s="53"/>
      <c r="X9" s="53"/>
      <c r="Y9" s="53"/>
      <c r="Z9" s="53"/>
      <c r="AA9" s="53"/>
      <c r="AB9" s="53"/>
    </row>
    <row r="10" spans="1:29" ht="6" customHeight="1" x14ac:dyDescent="0.2">
      <c r="U10" s="7"/>
      <c r="V10" s="7"/>
      <c r="W10" s="7"/>
    </row>
    <row r="11" spans="1:29" ht="23.25" customHeight="1" x14ac:dyDescent="0.2">
      <c r="A11" s="63" t="s">
        <v>8</v>
      </c>
      <c r="B11" s="63"/>
      <c r="C11" s="63"/>
      <c r="D11" s="63"/>
      <c r="E11" s="63"/>
      <c r="F11" s="63"/>
      <c r="G11" s="63"/>
      <c r="H11" s="63"/>
      <c r="I11" s="63"/>
      <c r="J11" s="63"/>
      <c r="K11" s="63"/>
      <c r="L11" s="63"/>
      <c r="M11" s="18"/>
      <c r="N11" s="52" t="s">
        <v>12</v>
      </c>
      <c r="O11" s="52"/>
      <c r="P11" s="52"/>
      <c r="Q11" s="52"/>
      <c r="R11" s="52"/>
      <c r="S11" s="51"/>
      <c r="T11" s="51"/>
      <c r="U11" s="52" t="s">
        <v>13</v>
      </c>
      <c r="V11" s="52"/>
      <c r="W11" s="52"/>
      <c r="X11" s="52"/>
      <c r="Y11" s="52"/>
      <c r="Z11" s="52"/>
      <c r="AA11" s="48"/>
      <c r="AB11" s="50"/>
    </row>
    <row r="12" spans="1:29" ht="6" customHeight="1" x14ac:dyDescent="0.2"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</row>
    <row r="13" spans="1:29" ht="36" customHeight="1" x14ac:dyDescent="0.2">
      <c r="A13" s="71" t="s">
        <v>60</v>
      </c>
      <c r="B13" s="65"/>
      <c r="C13" s="65"/>
      <c r="D13" s="65"/>
      <c r="E13" s="65"/>
      <c r="F13" s="38" t="s">
        <v>37</v>
      </c>
      <c r="G13" s="64" t="s">
        <v>14</v>
      </c>
      <c r="H13" s="64"/>
      <c r="I13" s="64"/>
      <c r="J13" s="72" t="s">
        <v>67</v>
      </c>
      <c r="K13" s="73"/>
      <c r="L13" s="64" t="s">
        <v>15</v>
      </c>
      <c r="M13" s="64"/>
      <c r="N13" s="64"/>
      <c r="O13" s="48">
        <v>0</v>
      </c>
      <c r="P13" s="49"/>
      <c r="Q13" s="50"/>
      <c r="R13" s="64" t="s">
        <v>16</v>
      </c>
      <c r="S13" s="64"/>
      <c r="T13" s="64"/>
      <c r="U13" s="51">
        <v>1</v>
      </c>
      <c r="V13" s="51"/>
      <c r="W13" s="64" t="s">
        <v>17</v>
      </c>
      <c r="X13" s="64"/>
      <c r="Y13" s="64"/>
      <c r="Z13" s="64"/>
      <c r="AA13" s="51">
        <v>2</v>
      </c>
      <c r="AB13" s="51"/>
    </row>
    <row r="14" spans="1:29" ht="27" customHeight="1" x14ac:dyDescent="0.2">
      <c r="A14" s="65" t="s">
        <v>3</v>
      </c>
      <c r="B14" s="65"/>
      <c r="C14" s="65"/>
      <c r="D14" s="65"/>
      <c r="E14" s="65"/>
      <c r="F14" s="38"/>
      <c r="G14" s="64" t="s">
        <v>18</v>
      </c>
      <c r="H14" s="64"/>
      <c r="I14" s="64"/>
      <c r="J14" s="64"/>
      <c r="K14" s="64"/>
      <c r="L14" s="64"/>
      <c r="M14" s="66"/>
      <c r="N14" s="67"/>
      <c r="O14" s="67"/>
      <c r="P14" s="67"/>
      <c r="Q14" s="68"/>
      <c r="R14" s="64" t="s">
        <v>19</v>
      </c>
      <c r="S14" s="64"/>
      <c r="T14" s="64"/>
      <c r="U14" s="64"/>
      <c r="V14" s="64"/>
      <c r="W14" s="69"/>
      <c r="X14" s="69"/>
      <c r="Y14" s="69"/>
      <c r="Z14" s="69"/>
      <c r="AA14" s="69"/>
      <c r="AB14" s="69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78" t="s">
        <v>20</v>
      </c>
      <c r="B17" s="79"/>
      <c r="C17" s="79"/>
      <c r="D17" s="79"/>
      <c r="E17" s="79"/>
      <c r="F17" s="80"/>
      <c r="G17" s="74" t="s">
        <v>21</v>
      </c>
      <c r="H17" s="74"/>
      <c r="I17" s="74"/>
      <c r="J17" s="74" t="s">
        <v>23</v>
      </c>
      <c r="K17" s="74"/>
      <c r="L17" s="74"/>
      <c r="M17" s="74" t="s">
        <v>24</v>
      </c>
      <c r="N17" s="74"/>
      <c r="O17" s="74"/>
      <c r="P17" s="74" t="s">
        <v>22</v>
      </c>
      <c r="Q17" s="74"/>
      <c r="R17" s="74"/>
      <c r="S17" s="74"/>
      <c r="T17" s="74" t="s">
        <v>25</v>
      </c>
      <c r="U17" s="74"/>
      <c r="V17" s="74"/>
      <c r="W17" s="74" t="s">
        <v>26</v>
      </c>
      <c r="X17" s="74"/>
      <c r="Y17" s="74"/>
      <c r="Z17" s="74" t="s">
        <v>27</v>
      </c>
      <c r="AA17" s="74"/>
      <c r="AB17" s="74"/>
    </row>
    <row r="18" spans="1:28" ht="15" customHeight="1" x14ac:dyDescent="0.2">
      <c r="A18" s="75" t="s">
        <v>77</v>
      </c>
      <c r="B18" s="75"/>
      <c r="C18" s="75"/>
      <c r="D18" s="75"/>
      <c r="E18" s="75"/>
      <c r="F18" s="75"/>
      <c r="G18" s="15"/>
      <c r="H18" s="15">
        <v>1</v>
      </c>
      <c r="I18" s="15"/>
      <c r="J18" s="76"/>
      <c r="K18" s="76"/>
      <c r="L18" s="76"/>
      <c r="M18" s="15"/>
      <c r="N18" s="15"/>
      <c r="O18" s="15"/>
      <c r="P18" s="77"/>
      <c r="Q18" s="77"/>
      <c r="R18" s="77"/>
      <c r="S18" s="77"/>
      <c r="T18" s="16"/>
      <c r="U18" s="15">
        <v>0</v>
      </c>
      <c r="V18" s="16"/>
      <c r="W18" s="77"/>
      <c r="X18" s="77"/>
      <c r="Y18" s="77"/>
      <c r="Z18" s="16"/>
      <c r="AA18" s="15">
        <v>0</v>
      </c>
      <c r="AB18" s="16"/>
    </row>
    <row r="19" spans="1:28" ht="15" customHeight="1" x14ac:dyDescent="0.2">
      <c r="A19" s="75"/>
      <c r="B19" s="75"/>
      <c r="C19" s="75"/>
      <c r="D19" s="75"/>
      <c r="E19" s="75"/>
      <c r="F19" s="75"/>
      <c r="G19" s="15"/>
      <c r="H19" s="15"/>
      <c r="I19" s="15"/>
      <c r="J19" s="76"/>
      <c r="K19" s="76"/>
      <c r="L19" s="76"/>
      <c r="M19" s="15"/>
      <c r="N19" s="15"/>
      <c r="O19" s="15"/>
      <c r="P19" s="77"/>
      <c r="Q19" s="77"/>
      <c r="R19" s="77"/>
      <c r="S19" s="77"/>
      <c r="T19" s="16"/>
      <c r="U19" s="15">
        <v>0</v>
      </c>
      <c r="V19" s="16"/>
      <c r="W19" s="77"/>
      <c r="X19" s="77"/>
      <c r="Y19" s="77"/>
      <c r="Z19" s="16"/>
      <c r="AA19" s="15">
        <v>0</v>
      </c>
      <c r="AB19" s="16"/>
    </row>
    <row r="20" spans="1:28" ht="15" customHeight="1" x14ac:dyDescent="0.2">
      <c r="A20" s="75" t="s">
        <v>78</v>
      </c>
      <c r="B20" s="75"/>
      <c r="C20" s="75"/>
      <c r="D20" s="75"/>
      <c r="E20" s="75"/>
      <c r="F20" s="75"/>
      <c r="G20" s="15"/>
      <c r="H20" s="15">
        <v>1</v>
      </c>
      <c r="I20" s="15"/>
      <c r="J20" s="76"/>
      <c r="K20" s="76"/>
      <c r="L20" s="76"/>
      <c r="M20" s="15"/>
      <c r="N20" s="15"/>
      <c r="O20" s="15"/>
      <c r="P20" s="77"/>
      <c r="Q20" s="77"/>
      <c r="R20" s="77"/>
      <c r="S20" s="77"/>
      <c r="T20" s="16"/>
      <c r="U20" s="15">
        <v>0</v>
      </c>
      <c r="V20" s="16"/>
      <c r="W20" s="77"/>
      <c r="X20" s="77"/>
      <c r="Y20" s="77"/>
      <c r="Z20" s="17"/>
      <c r="AA20" s="15">
        <v>0</v>
      </c>
      <c r="AB20" s="16"/>
    </row>
    <row r="21" spans="1:28" ht="15" customHeight="1" x14ac:dyDescent="0.2">
      <c r="A21" s="75"/>
      <c r="B21" s="75"/>
      <c r="C21" s="75"/>
      <c r="D21" s="75"/>
      <c r="E21" s="75"/>
      <c r="F21" s="75"/>
      <c r="G21" s="15"/>
      <c r="H21" s="15"/>
      <c r="I21" s="15"/>
      <c r="J21" s="76"/>
      <c r="K21" s="76"/>
      <c r="L21" s="76"/>
      <c r="M21" s="15"/>
      <c r="N21" s="15"/>
      <c r="O21" s="15"/>
      <c r="P21" s="77"/>
      <c r="Q21" s="77"/>
      <c r="R21" s="77"/>
      <c r="S21" s="77"/>
      <c r="T21" s="16"/>
      <c r="U21" s="15">
        <v>0</v>
      </c>
      <c r="V21" s="16"/>
      <c r="W21" s="81"/>
      <c r="X21" s="81"/>
      <c r="Y21" s="81"/>
      <c r="Z21" s="16"/>
      <c r="AA21" s="15">
        <v>0</v>
      </c>
      <c r="AB21" s="16"/>
    </row>
    <row r="22" spans="1:28" ht="15" customHeight="1" x14ac:dyDescent="0.2">
      <c r="A22" s="75" t="s">
        <v>79</v>
      </c>
      <c r="B22" s="75"/>
      <c r="C22" s="75"/>
      <c r="D22" s="75"/>
      <c r="E22" s="75"/>
      <c r="F22" s="75"/>
      <c r="G22" s="15"/>
      <c r="H22" s="15">
        <v>1</v>
      </c>
      <c r="I22" s="15"/>
      <c r="J22" s="76"/>
      <c r="K22" s="76"/>
      <c r="L22" s="76"/>
      <c r="M22" s="15"/>
      <c r="N22" s="15"/>
      <c r="O22" s="15"/>
      <c r="P22" s="77"/>
      <c r="Q22" s="77"/>
      <c r="R22" s="77"/>
      <c r="S22" s="77"/>
      <c r="T22" s="16"/>
      <c r="U22" s="15">
        <v>0</v>
      </c>
      <c r="V22" s="16"/>
      <c r="W22" s="81"/>
      <c r="X22" s="81"/>
      <c r="Y22" s="81"/>
      <c r="Z22" s="16"/>
      <c r="AA22" s="15">
        <v>0</v>
      </c>
      <c r="AB22" s="16"/>
    </row>
    <row r="23" spans="1:28" ht="15" customHeight="1" x14ac:dyDescent="0.2">
      <c r="A23" s="75" t="s">
        <v>80</v>
      </c>
      <c r="B23" s="75"/>
      <c r="C23" s="75"/>
      <c r="D23" s="75"/>
      <c r="E23" s="75"/>
      <c r="F23" s="75"/>
      <c r="G23" s="15"/>
      <c r="H23" s="15">
        <v>4</v>
      </c>
      <c r="I23" s="15"/>
      <c r="J23" s="76"/>
      <c r="K23" s="76"/>
      <c r="L23" s="76"/>
      <c r="M23" s="15"/>
      <c r="N23" s="15"/>
      <c r="O23" s="15"/>
      <c r="P23" s="77"/>
      <c r="Q23" s="77"/>
      <c r="R23" s="77"/>
      <c r="S23" s="77"/>
      <c r="T23" s="16"/>
      <c r="U23" s="15">
        <v>0</v>
      </c>
      <c r="V23" s="16"/>
      <c r="W23" s="81"/>
      <c r="X23" s="81"/>
      <c r="Y23" s="81"/>
      <c r="Z23" s="16"/>
      <c r="AA23" s="15">
        <v>0</v>
      </c>
      <c r="AB23" s="16"/>
    </row>
    <row r="24" spans="1:28" ht="15" customHeight="1" x14ac:dyDescent="0.2">
      <c r="A24" s="75"/>
      <c r="B24" s="75"/>
      <c r="C24" s="75"/>
      <c r="D24" s="75"/>
      <c r="E24" s="75"/>
      <c r="F24" s="75"/>
      <c r="G24" s="15"/>
      <c r="H24" s="15"/>
      <c r="I24" s="15"/>
      <c r="J24" s="76"/>
      <c r="K24" s="76"/>
      <c r="L24" s="76"/>
      <c r="M24" s="15"/>
      <c r="N24" s="15"/>
      <c r="O24" s="15"/>
      <c r="P24" s="77"/>
      <c r="Q24" s="77"/>
      <c r="R24" s="77"/>
      <c r="S24" s="77"/>
      <c r="T24" s="16"/>
      <c r="U24" s="15">
        <v>0</v>
      </c>
      <c r="V24" s="16"/>
      <c r="W24" s="81"/>
      <c r="X24" s="81"/>
      <c r="Y24" s="81"/>
      <c r="Z24" s="16"/>
      <c r="AA24" s="15">
        <v>0</v>
      </c>
      <c r="AB24" s="16"/>
    </row>
    <row r="25" spans="1:28" ht="15" customHeight="1" x14ac:dyDescent="0.2">
      <c r="A25" s="75"/>
      <c r="B25" s="75"/>
      <c r="C25" s="75"/>
      <c r="D25" s="75"/>
      <c r="E25" s="75"/>
      <c r="F25" s="75"/>
      <c r="G25" s="15"/>
      <c r="H25" s="15"/>
      <c r="I25" s="15"/>
      <c r="J25" s="76"/>
      <c r="K25" s="76"/>
      <c r="L25" s="76"/>
      <c r="M25" s="15"/>
      <c r="N25" s="15"/>
      <c r="O25" s="15"/>
      <c r="P25" s="77"/>
      <c r="Q25" s="77"/>
      <c r="R25" s="77"/>
      <c r="S25" s="77"/>
      <c r="T25" s="16"/>
      <c r="U25" s="15">
        <v>0</v>
      </c>
      <c r="V25" s="16"/>
      <c r="W25" s="81"/>
      <c r="X25" s="81"/>
      <c r="Y25" s="81"/>
      <c r="Z25" s="16"/>
      <c r="AA25" s="15">
        <v>0</v>
      </c>
      <c r="AB25" s="16"/>
    </row>
    <row r="26" spans="1:28" ht="15" customHeight="1" x14ac:dyDescent="0.2">
      <c r="A26" s="75" t="s">
        <v>82</v>
      </c>
      <c r="B26" s="75"/>
      <c r="C26" s="75"/>
      <c r="D26" s="75"/>
      <c r="E26" s="75"/>
      <c r="F26" s="75"/>
      <c r="G26" s="15"/>
      <c r="H26" s="15">
        <v>1</v>
      </c>
      <c r="I26" s="15"/>
      <c r="J26" s="76"/>
      <c r="K26" s="76"/>
      <c r="L26" s="76"/>
      <c r="M26" s="15"/>
      <c r="N26" s="15"/>
      <c r="O26" s="15"/>
      <c r="P26" s="77"/>
      <c r="Q26" s="77"/>
      <c r="R26" s="77"/>
      <c r="S26" s="77"/>
      <c r="T26" s="16"/>
      <c r="U26" s="15">
        <v>0</v>
      </c>
      <c r="V26" s="16"/>
      <c r="W26" s="81"/>
      <c r="X26" s="81"/>
      <c r="Y26" s="81"/>
      <c r="Z26" s="16"/>
      <c r="AA26" s="15">
        <v>0</v>
      </c>
      <c r="AB26" s="16"/>
    </row>
    <row r="27" spans="1:28" ht="15" customHeight="1" x14ac:dyDescent="0.2">
      <c r="A27" s="75" t="s">
        <v>75</v>
      </c>
      <c r="B27" s="75"/>
      <c r="C27" s="75"/>
      <c r="D27" s="75"/>
      <c r="E27" s="75"/>
      <c r="F27" s="75"/>
      <c r="G27" s="15"/>
      <c r="H27" s="15">
        <v>2</v>
      </c>
      <c r="I27" s="15"/>
      <c r="J27" s="76"/>
      <c r="K27" s="76"/>
      <c r="L27" s="76"/>
      <c r="M27" s="15"/>
      <c r="N27" s="15"/>
      <c r="O27" s="15"/>
      <c r="P27" s="77"/>
      <c r="Q27" s="77"/>
      <c r="R27" s="77"/>
      <c r="S27" s="77"/>
      <c r="T27" s="16"/>
      <c r="U27" s="15">
        <v>0</v>
      </c>
      <c r="V27" s="16"/>
      <c r="W27" s="81"/>
      <c r="X27" s="81"/>
      <c r="Y27" s="81"/>
      <c r="Z27" s="16"/>
      <c r="AA27" s="15">
        <v>0</v>
      </c>
      <c r="AB27" s="16"/>
    </row>
    <row r="28" spans="1:28" ht="15" customHeight="1" x14ac:dyDescent="0.2">
      <c r="A28" s="75"/>
      <c r="B28" s="75"/>
      <c r="C28" s="75"/>
      <c r="D28" s="75"/>
      <c r="E28" s="75"/>
      <c r="F28" s="75"/>
      <c r="G28" s="15"/>
      <c r="H28" s="15"/>
      <c r="I28" s="15"/>
      <c r="J28" s="76"/>
      <c r="K28" s="76"/>
      <c r="L28" s="76"/>
      <c r="M28" s="15"/>
      <c r="N28" s="15"/>
      <c r="O28" s="15"/>
      <c r="P28" s="77"/>
      <c r="Q28" s="77"/>
      <c r="R28" s="77"/>
      <c r="S28" s="77"/>
      <c r="T28" s="16"/>
      <c r="U28" s="15">
        <v>0</v>
      </c>
      <c r="V28" s="16"/>
      <c r="W28" s="81"/>
      <c r="X28" s="81"/>
      <c r="Y28" s="81"/>
      <c r="Z28" s="16"/>
      <c r="AA28" s="15">
        <v>0</v>
      </c>
      <c r="AB28" s="16"/>
    </row>
    <row r="29" spans="1:28" ht="15" customHeight="1" x14ac:dyDescent="0.2">
      <c r="A29" s="75"/>
      <c r="B29" s="75"/>
      <c r="C29" s="75"/>
      <c r="D29" s="75"/>
      <c r="E29" s="75"/>
      <c r="F29" s="75"/>
      <c r="G29" s="15"/>
      <c r="H29" s="15"/>
      <c r="I29" s="15"/>
      <c r="J29" s="76"/>
      <c r="K29" s="76"/>
      <c r="L29" s="76"/>
      <c r="M29" s="15"/>
      <c r="N29" s="15"/>
      <c r="O29" s="15"/>
      <c r="P29" s="77"/>
      <c r="Q29" s="77"/>
      <c r="R29" s="77"/>
      <c r="S29" s="77"/>
      <c r="T29" s="16"/>
      <c r="U29" s="15">
        <v>0</v>
      </c>
      <c r="V29" s="16"/>
      <c r="W29" s="81"/>
      <c r="X29" s="81"/>
      <c r="Y29" s="81"/>
      <c r="Z29" s="16"/>
      <c r="AA29" s="15">
        <v>0</v>
      </c>
      <c r="AB29" s="16"/>
    </row>
    <row r="30" spans="1:28" ht="15" customHeight="1" x14ac:dyDescent="0.2">
      <c r="A30" s="75" t="s">
        <v>74</v>
      </c>
      <c r="B30" s="75"/>
      <c r="C30" s="75"/>
      <c r="D30" s="75"/>
      <c r="E30" s="75"/>
      <c r="F30" s="75"/>
      <c r="G30" s="15"/>
      <c r="H30" s="15">
        <v>3</v>
      </c>
      <c r="I30" s="15"/>
      <c r="J30" s="76"/>
      <c r="K30" s="76"/>
      <c r="L30" s="76"/>
      <c r="M30" s="15"/>
      <c r="N30" s="15"/>
      <c r="O30" s="15"/>
      <c r="P30" s="77"/>
      <c r="Q30" s="77"/>
      <c r="R30" s="77"/>
      <c r="S30" s="77"/>
      <c r="T30" s="16"/>
      <c r="U30" s="15">
        <v>0</v>
      </c>
      <c r="V30" s="16"/>
      <c r="W30" s="81"/>
      <c r="X30" s="81"/>
      <c r="Y30" s="81"/>
      <c r="Z30" s="16"/>
      <c r="AA30" s="15">
        <v>0</v>
      </c>
      <c r="AB30" s="16"/>
    </row>
    <row r="31" spans="1:28" ht="15" customHeight="1" x14ac:dyDescent="0.2">
      <c r="A31" s="75" t="s">
        <v>72</v>
      </c>
      <c r="B31" s="75"/>
      <c r="C31" s="75"/>
      <c r="D31" s="75"/>
      <c r="E31" s="75"/>
      <c r="F31" s="75"/>
      <c r="G31" s="15"/>
      <c r="H31" s="15">
        <v>2</v>
      </c>
      <c r="I31" s="15"/>
      <c r="J31" s="76"/>
      <c r="K31" s="76"/>
      <c r="L31" s="76"/>
      <c r="M31" s="15"/>
      <c r="N31" s="15"/>
      <c r="O31" s="15"/>
      <c r="P31" s="77"/>
      <c r="Q31" s="77"/>
      <c r="R31" s="77"/>
      <c r="S31" s="77"/>
      <c r="T31" s="16"/>
      <c r="U31" s="15">
        <v>0</v>
      </c>
      <c r="V31" s="16"/>
      <c r="W31" s="81"/>
      <c r="X31" s="81"/>
      <c r="Y31" s="81"/>
      <c r="Z31" s="16"/>
      <c r="AA31" s="15">
        <v>0</v>
      </c>
      <c r="AB31" s="16"/>
    </row>
    <row r="32" spans="1:28" ht="15" customHeight="1" x14ac:dyDescent="0.2">
      <c r="A32" s="75" t="s">
        <v>70</v>
      </c>
      <c r="B32" s="75"/>
      <c r="C32" s="75"/>
      <c r="D32" s="75"/>
      <c r="E32" s="75"/>
      <c r="F32" s="75"/>
      <c r="G32" s="15"/>
      <c r="H32" s="15">
        <v>6</v>
      </c>
      <c r="I32" s="15"/>
      <c r="J32" s="76"/>
      <c r="K32" s="76"/>
      <c r="L32" s="76"/>
      <c r="M32" s="15"/>
      <c r="N32" s="15"/>
      <c r="O32" s="15"/>
      <c r="P32" s="77"/>
      <c r="Q32" s="77"/>
      <c r="R32" s="77"/>
      <c r="S32" s="77"/>
      <c r="T32" s="16"/>
      <c r="U32" s="15">
        <v>0</v>
      </c>
      <c r="V32" s="16"/>
      <c r="W32" s="81"/>
      <c r="X32" s="81"/>
      <c r="Y32" s="81"/>
      <c r="Z32" s="16"/>
      <c r="AA32" s="15">
        <v>0</v>
      </c>
      <c r="AB32" s="16"/>
    </row>
    <row r="33" spans="1:28" ht="15" customHeight="1" x14ac:dyDescent="0.2">
      <c r="A33" s="75"/>
      <c r="B33" s="75"/>
      <c r="C33" s="75"/>
      <c r="D33" s="75"/>
      <c r="E33" s="75"/>
      <c r="F33" s="75"/>
      <c r="G33" s="15"/>
      <c r="H33" s="15"/>
      <c r="I33" s="15"/>
      <c r="J33" s="82"/>
      <c r="K33" s="81"/>
      <c r="L33" s="81"/>
      <c r="M33" s="15"/>
      <c r="N33" s="15"/>
      <c r="O33" s="15"/>
      <c r="P33" s="77"/>
      <c r="Q33" s="77"/>
      <c r="R33" s="77"/>
      <c r="S33" s="77"/>
      <c r="T33" s="16"/>
      <c r="U33" s="15">
        <v>0</v>
      </c>
      <c r="V33" s="16"/>
      <c r="W33" s="81"/>
      <c r="X33" s="81"/>
      <c r="Y33" s="81"/>
      <c r="Z33" s="16"/>
      <c r="AA33" s="15">
        <v>0</v>
      </c>
      <c r="AB33" s="16"/>
    </row>
    <row r="34" spans="1:28" ht="15" customHeight="1" x14ac:dyDescent="0.2">
      <c r="A34" s="75"/>
      <c r="B34" s="75"/>
      <c r="C34" s="75"/>
      <c r="D34" s="75"/>
      <c r="E34" s="75"/>
      <c r="F34" s="75"/>
      <c r="G34" s="15"/>
      <c r="H34" s="15"/>
      <c r="I34" s="15"/>
      <c r="J34" s="76"/>
      <c r="K34" s="76"/>
      <c r="L34" s="76"/>
      <c r="M34" s="15"/>
      <c r="N34" s="15"/>
      <c r="O34" s="15"/>
      <c r="P34" s="77"/>
      <c r="Q34" s="77"/>
      <c r="R34" s="77"/>
      <c r="S34" s="77"/>
      <c r="T34" s="16"/>
      <c r="U34" s="15">
        <v>0</v>
      </c>
      <c r="V34" s="16"/>
      <c r="W34" s="81"/>
      <c r="X34" s="81"/>
      <c r="Y34" s="81"/>
      <c r="Z34" s="16"/>
      <c r="AA34" s="15">
        <v>0</v>
      </c>
      <c r="AB34" s="16"/>
    </row>
    <row r="35" spans="1:28" ht="15" customHeight="1" x14ac:dyDescent="0.2">
      <c r="A35" s="75"/>
      <c r="B35" s="75"/>
      <c r="C35" s="75"/>
      <c r="D35" s="75"/>
      <c r="E35" s="75"/>
      <c r="F35" s="75"/>
      <c r="G35" s="15"/>
      <c r="H35" s="15"/>
      <c r="I35" s="15"/>
      <c r="J35" s="76"/>
      <c r="K35" s="76"/>
      <c r="L35" s="76"/>
      <c r="M35" s="15"/>
      <c r="N35" s="15"/>
      <c r="O35" s="15"/>
      <c r="P35" s="77"/>
      <c r="Q35" s="77"/>
      <c r="R35" s="77"/>
      <c r="S35" s="77"/>
      <c r="T35" s="16"/>
      <c r="U35" s="15">
        <v>0</v>
      </c>
      <c r="V35" s="16"/>
      <c r="W35" s="81"/>
      <c r="X35" s="81"/>
      <c r="Y35" s="81"/>
      <c r="Z35" s="16"/>
      <c r="AA35" s="15">
        <v>0</v>
      </c>
      <c r="AB35" s="16"/>
    </row>
    <row r="36" spans="1:28" ht="15" customHeight="1" x14ac:dyDescent="0.2">
      <c r="A36" s="75" t="s">
        <v>88</v>
      </c>
      <c r="B36" s="75"/>
      <c r="C36" s="75"/>
      <c r="D36" s="75"/>
      <c r="E36" s="75"/>
      <c r="F36" s="75"/>
      <c r="G36" s="15"/>
      <c r="H36" s="15">
        <v>1</v>
      </c>
      <c r="I36" s="15"/>
      <c r="J36" s="82"/>
      <c r="K36" s="81"/>
      <c r="L36" s="81"/>
      <c r="M36" s="15"/>
      <c r="N36" s="15"/>
      <c r="O36" s="15"/>
      <c r="P36" s="77"/>
      <c r="Q36" s="77"/>
      <c r="R36" s="77"/>
      <c r="S36" s="77"/>
      <c r="T36" s="16"/>
      <c r="U36" s="15">
        <v>0</v>
      </c>
      <c r="V36" s="16"/>
      <c r="W36" s="81"/>
      <c r="X36" s="81"/>
      <c r="Y36" s="81"/>
      <c r="Z36" s="16"/>
      <c r="AA36" s="15">
        <v>0</v>
      </c>
      <c r="AB36" s="16"/>
    </row>
    <row r="37" spans="1:28" ht="15" customHeight="1" x14ac:dyDescent="0.2">
      <c r="A37" s="75"/>
      <c r="B37" s="75"/>
      <c r="C37" s="75"/>
      <c r="D37" s="75"/>
      <c r="E37" s="75"/>
      <c r="F37" s="75"/>
      <c r="G37" s="15"/>
      <c r="H37" s="15"/>
      <c r="I37" s="15"/>
      <c r="J37" s="81"/>
      <c r="K37" s="81"/>
      <c r="L37" s="81"/>
      <c r="M37" s="15"/>
      <c r="N37" s="15"/>
      <c r="O37" s="15"/>
      <c r="P37" s="77"/>
      <c r="Q37" s="77"/>
      <c r="R37" s="77"/>
      <c r="S37" s="77"/>
      <c r="T37" s="16"/>
      <c r="U37" s="15">
        <v>0</v>
      </c>
      <c r="V37" s="16"/>
      <c r="W37" s="81"/>
      <c r="X37" s="81"/>
      <c r="Y37" s="81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97" t="s">
        <v>71</v>
      </c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97"/>
      <c r="Q39" s="97"/>
      <c r="R39" s="97"/>
      <c r="S39" s="97"/>
      <c r="T39" s="97"/>
      <c r="U39" s="97"/>
      <c r="W39" s="71" t="s">
        <v>34</v>
      </c>
      <c r="X39" s="71"/>
      <c r="Y39" s="71"/>
      <c r="Z39" s="71"/>
      <c r="AA39" s="71"/>
      <c r="AB39" s="71"/>
    </row>
    <row r="40" spans="1:28" ht="22.5" customHeight="1" x14ac:dyDescent="0.2">
      <c r="A40" s="83"/>
      <c r="B40" s="84"/>
      <c r="C40" s="84"/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5"/>
      <c r="W40" s="89"/>
      <c r="X40" s="90"/>
      <c r="Y40" s="90"/>
      <c r="Z40" s="90"/>
      <c r="AA40" s="90"/>
      <c r="AB40" s="91"/>
    </row>
    <row r="41" spans="1:28" ht="26.25" customHeight="1" x14ac:dyDescent="0.2">
      <c r="A41" s="86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  <c r="Q41" s="87"/>
      <c r="R41" s="87"/>
      <c r="S41" s="87"/>
      <c r="T41" s="87"/>
      <c r="U41" s="88"/>
      <c r="V41" s="92"/>
      <c r="W41" s="93" t="s">
        <v>29</v>
      </c>
      <c r="X41" s="71"/>
      <c r="Y41" s="71"/>
      <c r="Z41" s="71"/>
      <c r="AA41" s="71"/>
      <c r="AB41" s="71"/>
    </row>
    <row r="42" spans="1:28" ht="22.5" customHeight="1" x14ac:dyDescent="0.2">
      <c r="A42" s="86"/>
      <c r="B42" s="87"/>
      <c r="C42" s="87"/>
      <c r="D42" s="87"/>
      <c r="E42" s="87"/>
      <c r="F42" s="87"/>
      <c r="G42" s="87"/>
      <c r="H42" s="87"/>
      <c r="I42" s="87"/>
      <c r="J42" s="87"/>
      <c r="K42" s="87"/>
      <c r="L42" s="87"/>
      <c r="M42" s="87"/>
      <c r="N42" s="87"/>
      <c r="O42" s="87"/>
      <c r="P42" s="87"/>
      <c r="Q42" s="87"/>
      <c r="R42" s="87"/>
      <c r="S42" s="87"/>
      <c r="T42" s="87"/>
      <c r="U42" s="88"/>
      <c r="V42" s="92"/>
      <c r="W42" s="94"/>
      <c r="X42" s="95"/>
      <c r="Y42" s="95"/>
      <c r="Z42" s="95"/>
      <c r="AA42" s="95"/>
      <c r="AB42" s="96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209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0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1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2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3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4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5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6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7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8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9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0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1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2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3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4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5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6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7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8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9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0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1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2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3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4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5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6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7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8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9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40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41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42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43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44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45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46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47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48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49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50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51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52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53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54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55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56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57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58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59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60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61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62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63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64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65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66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67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68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69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70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71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72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73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74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75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76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77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78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79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80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81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82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83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84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85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86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87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88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89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90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91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92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93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94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95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96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97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98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99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00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01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02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03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04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05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06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07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08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09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10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11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12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13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14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15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16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17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18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19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20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21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22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23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24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25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26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27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28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29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30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31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32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33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34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35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36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37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38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39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40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41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42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43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44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45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46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47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48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49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50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51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52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53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54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55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56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57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58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59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60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61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62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63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64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65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66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67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68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69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70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71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72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73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74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75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76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77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78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79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80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81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82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83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84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85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86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87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88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89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90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91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92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93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94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95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96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97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98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99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00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01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02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03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04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05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06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07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08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09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10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11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12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13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14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15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16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17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18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19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20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21" r:id="rId216" name="Button 21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22" r:id="rId217" name="Button 21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23" r:id="rId218" name="Button 215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0"/>
  <dimension ref="A1:AC42"/>
  <sheetViews>
    <sheetView showGridLines="0" view="pageBreakPreview" topLeftCell="A8" zoomScale="115" zoomScaleNormal="100" zoomScaleSheetLayoutView="115" workbookViewId="0">
      <selection activeCell="A20" sqref="A20:H37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39"/>
      <c r="B1" s="37"/>
      <c r="I1" s="40" t="s">
        <v>33</v>
      </c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3"/>
    </row>
    <row r="2" spans="1:29" ht="37.5" customHeight="1" x14ac:dyDescent="0.2">
      <c r="A2" s="39"/>
      <c r="B2" s="37"/>
      <c r="I2" s="42" t="s">
        <v>32</v>
      </c>
      <c r="J2" s="43"/>
      <c r="K2" s="43"/>
      <c r="L2" s="43"/>
      <c r="M2" s="43"/>
      <c r="N2" s="43"/>
      <c r="O2" s="4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4" t="s">
        <v>1</v>
      </c>
      <c r="B4" s="44"/>
      <c r="C4" s="44"/>
      <c r="D4" s="44"/>
      <c r="E4" s="44"/>
      <c r="F4" s="45"/>
      <c r="G4" s="46"/>
      <c r="H4" s="46"/>
      <c r="I4" s="46"/>
      <c r="J4" s="46"/>
      <c r="K4" s="46"/>
      <c r="L4" s="46"/>
      <c r="M4" s="46"/>
      <c r="N4" s="47" t="s">
        <v>11</v>
      </c>
      <c r="O4" s="47"/>
      <c r="P4" s="47"/>
      <c r="Q4" s="47"/>
      <c r="R4" s="47"/>
      <c r="S4" s="47"/>
      <c r="T4" s="47"/>
      <c r="U4" s="48" t="s">
        <v>64</v>
      </c>
      <c r="V4" s="49"/>
      <c r="W4" s="49"/>
      <c r="X4" s="49"/>
      <c r="Y4" s="49"/>
      <c r="Z4" s="49"/>
      <c r="AA4" s="49"/>
      <c r="AB4" s="50"/>
      <c r="AC4" s="3"/>
    </row>
    <row r="5" spans="1:29" ht="24" customHeight="1" x14ac:dyDescent="0.2">
      <c r="A5" s="44" t="s">
        <v>5</v>
      </c>
      <c r="B5" s="44"/>
      <c r="C5" s="44"/>
      <c r="D5" s="44"/>
      <c r="E5" s="44"/>
      <c r="F5" s="45"/>
      <c r="G5" s="51" t="s">
        <v>61</v>
      </c>
      <c r="H5" s="51"/>
      <c r="I5" s="51"/>
      <c r="J5" s="51"/>
      <c r="K5" s="51"/>
      <c r="L5" s="51"/>
      <c r="M5" s="51"/>
      <c r="N5" s="44" t="s">
        <v>9</v>
      </c>
      <c r="O5" s="44"/>
      <c r="P5" s="44"/>
      <c r="Q5" s="44"/>
      <c r="R5" s="44"/>
      <c r="S5" s="44"/>
      <c r="T5" s="44"/>
      <c r="U5" s="58">
        <v>44431</v>
      </c>
      <c r="V5" s="58"/>
      <c r="W5" s="58"/>
      <c r="X5" s="24" t="s">
        <v>30</v>
      </c>
      <c r="Y5" s="59">
        <v>0.61111111111111105</v>
      </c>
      <c r="Z5" s="60"/>
      <c r="AA5" s="60"/>
      <c r="AB5" s="60"/>
    </row>
    <row r="6" spans="1:29" ht="24" customHeight="1" x14ac:dyDescent="0.2">
      <c r="A6" s="54" t="s">
        <v>7</v>
      </c>
      <c r="B6" s="54"/>
      <c r="C6" s="54"/>
      <c r="D6" s="54"/>
      <c r="E6" s="54"/>
      <c r="F6" s="55"/>
      <c r="G6" s="51" t="s">
        <v>62</v>
      </c>
      <c r="H6" s="51"/>
      <c r="I6" s="51"/>
      <c r="J6" s="51"/>
      <c r="K6" s="51"/>
      <c r="L6" s="51"/>
      <c r="M6" s="51"/>
      <c r="N6" s="61" t="s">
        <v>0</v>
      </c>
      <c r="O6" s="61"/>
      <c r="P6" s="61"/>
      <c r="Q6" s="61"/>
      <c r="R6" s="61"/>
      <c r="S6" s="61"/>
      <c r="T6" s="61"/>
      <c r="U6" s="58">
        <v>44431</v>
      </c>
      <c r="V6" s="58"/>
      <c r="W6" s="58"/>
      <c r="X6" s="24" t="s">
        <v>30</v>
      </c>
      <c r="Y6" s="59">
        <v>0.63541666666666663</v>
      </c>
      <c r="Z6" s="60"/>
      <c r="AA6" s="60"/>
      <c r="AB6" s="60"/>
    </row>
    <row r="7" spans="1:29" ht="24" customHeight="1" x14ac:dyDescent="0.2">
      <c r="A7" s="44" t="s">
        <v>10</v>
      </c>
      <c r="B7" s="44"/>
      <c r="C7" s="44"/>
      <c r="D7" s="44"/>
      <c r="E7" s="44"/>
      <c r="F7" s="45"/>
      <c r="G7" s="51" t="s">
        <v>63</v>
      </c>
      <c r="H7" s="51"/>
      <c r="I7" s="51"/>
      <c r="J7" s="51"/>
      <c r="K7" s="51"/>
      <c r="L7" s="51"/>
      <c r="M7" s="51"/>
      <c r="N7" s="52" t="s">
        <v>35</v>
      </c>
      <c r="O7" s="52"/>
      <c r="P7" s="52"/>
      <c r="Q7" s="52"/>
      <c r="R7" s="52"/>
      <c r="S7" s="52"/>
      <c r="T7" s="52"/>
      <c r="U7" s="53" t="s">
        <v>65</v>
      </c>
      <c r="V7" s="53"/>
      <c r="W7" s="53"/>
      <c r="X7" s="53"/>
      <c r="Y7" s="53"/>
      <c r="Z7" s="53"/>
      <c r="AA7" s="53"/>
      <c r="AB7" s="53"/>
    </row>
    <row r="8" spans="1:29" ht="24" customHeight="1" x14ac:dyDescent="0.2">
      <c r="A8" s="54" t="s">
        <v>2</v>
      </c>
      <c r="B8" s="54"/>
      <c r="C8" s="54"/>
      <c r="D8" s="54"/>
      <c r="E8" s="54"/>
      <c r="F8" s="55"/>
      <c r="G8" s="56">
        <v>514059</v>
      </c>
      <c r="H8" s="56"/>
      <c r="I8" s="56"/>
      <c r="J8" s="56"/>
      <c r="K8" s="56"/>
      <c r="L8" s="56"/>
      <c r="M8" s="56"/>
      <c r="N8" s="52" t="s">
        <v>4</v>
      </c>
      <c r="O8" s="52"/>
      <c r="P8" s="52"/>
      <c r="Q8" s="52"/>
      <c r="R8" s="52"/>
      <c r="S8" s="52"/>
      <c r="T8" s="52"/>
      <c r="U8" s="57" t="s">
        <v>66</v>
      </c>
      <c r="V8" s="57"/>
      <c r="W8" s="57"/>
      <c r="X8" s="57"/>
      <c r="Y8" s="57"/>
      <c r="Z8" s="57"/>
      <c r="AA8" s="57"/>
      <c r="AB8" s="57"/>
    </row>
    <row r="9" spans="1:29" ht="24" customHeight="1" x14ac:dyDescent="0.2">
      <c r="A9" s="54" t="s">
        <v>6</v>
      </c>
      <c r="B9" s="54"/>
      <c r="C9" s="54"/>
      <c r="D9" s="54"/>
      <c r="E9" s="54"/>
      <c r="F9" s="55"/>
      <c r="G9" s="62" t="s">
        <v>68</v>
      </c>
      <c r="H9" s="62"/>
      <c r="I9" s="62"/>
      <c r="J9" s="62"/>
      <c r="K9" s="62"/>
      <c r="L9" s="62"/>
      <c r="M9" s="62"/>
      <c r="N9" s="52" t="s">
        <v>31</v>
      </c>
      <c r="O9" s="52"/>
      <c r="P9" s="52"/>
      <c r="Q9" s="52"/>
      <c r="R9" s="52"/>
      <c r="S9" s="52"/>
      <c r="T9" s="52"/>
      <c r="U9" s="53" t="s">
        <v>76</v>
      </c>
      <c r="V9" s="53"/>
      <c r="W9" s="53"/>
      <c r="X9" s="53"/>
      <c r="Y9" s="53"/>
      <c r="Z9" s="53"/>
      <c r="AA9" s="53"/>
      <c r="AB9" s="53"/>
    </row>
    <row r="10" spans="1:29" ht="6" customHeight="1" x14ac:dyDescent="0.2">
      <c r="U10" s="7"/>
      <c r="V10" s="7"/>
      <c r="W10" s="7"/>
    </row>
    <row r="11" spans="1:29" ht="23.25" customHeight="1" x14ac:dyDescent="0.2">
      <c r="A11" s="63" t="s">
        <v>8</v>
      </c>
      <c r="B11" s="63"/>
      <c r="C11" s="63"/>
      <c r="D11" s="63"/>
      <c r="E11" s="63"/>
      <c r="F11" s="63"/>
      <c r="G11" s="63"/>
      <c r="H11" s="63"/>
      <c r="I11" s="63"/>
      <c r="J11" s="63"/>
      <c r="K11" s="63"/>
      <c r="L11" s="63"/>
      <c r="M11" s="18"/>
      <c r="N11" s="52" t="s">
        <v>12</v>
      </c>
      <c r="O11" s="52"/>
      <c r="P11" s="52"/>
      <c r="Q11" s="52"/>
      <c r="R11" s="52"/>
      <c r="S11" s="51"/>
      <c r="T11" s="51"/>
      <c r="U11" s="52" t="s">
        <v>13</v>
      </c>
      <c r="V11" s="52"/>
      <c r="W11" s="52"/>
      <c r="X11" s="52"/>
      <c r="Y11" s="52"/>
      <c r="Z11" s="52"/>
      <c r="AA11" s="48"/>
      <c r="AB11" s="50"/>
    </row>
    <row r="12" spans="1:29" ht="6" customHeight="1" x14ac:dyDescent="0.2"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</row>
    <row r="13" spans="1:29" ht="36" customHeight="1" x14ac:dyDescent="0.2">
      <c r="A13" s="71" t="s">
        <v>60</v>
      </c>
      <c r="B13" s="65"/>
      <c r="C13" s="65"/>
      <c r="D13" s="65"/>
      <c r="E13" s="65"/>
      <c r="F13" s="38" t="s">
        <v>37</v>
      </c>
      <c r="G13" s="64" t="s">
        <v>14</v>
      </c>
      <c r="H13" s="64"/>
      <c r="I13" s="64"/>
      <c r="J13" s="72" t="s">
        <v>67</v>
      </c>
      <c r="K13" s="73"/>
      <c r="L13" s="64" t="s">
        <v>15</v>
      </c>
      <c r="M13" s="64"/>
      <c r="N13" s="64"/>
      <c r="O13" s="48">
        <v>0</v>
      </c>
      <c r="P13" s="49"/>
      <c r="Q13" s="50"/>
      <c r="R13" s="64" t="s">
        <v>16</v>
      </c>
      <c r="S13" s="64"/>
      <c r="T13" s="64"/>
      <c r="U13" s="51">
        <v>1</v>
      </c>
      <c r="V13" s="51"/>
      <c r="W13" s="64" t="s">
        <v>17</v>
      </c>
      <c r="X13" s="64"/>
      <c r="Y13" s="64"/>
      <c r="Z13" s="64"/>
      <c r="AA13" s="51">
        <v>2</v>
      </c>
      <c r="AB13" s="51"/>
    </row>
    <row r="14" spans="1:29" ht="27" customHeight="1" x14ac:dyDescent="0.2">
      <c r="A14" s="65" t="s">
        <v>3</v>
      </c>
      <c r="B14" s="65"/>
      <c r="C14" s="65"/>
      <c r="D14" s="65"/>
      <c r="E14" s="65"/>
      <c r="F14" s="38"/>
      <c r="G14" s="64" t="s">
        <v>18</v>
      </c>
      <c r="H14" s="64"/>
      <c r="I14" s="64"/>
      <c r="J14" s="64"/>
      <c r="K14" s="64"/>
      <c r="L14" s="64"/>
      <c r="M14" s="66"/>
      <c r="N14" s="67"/>
      <c r="O14" s="67"/>
      <c r="P14" s="67"/>
      <c r="Q14" s="68"/>
      <c r="R14" s="64" t="s">
        <v>19</v>
      </c>
      <c r="S14" s="64"/>
      <c r="T14" s="64"/>
      <c r="U14" s="64"/>
      <c r="V14" s="64"/>
      <c r="W14" s="69"/>
      <c r="X14" s="69"/>
      <c r="Y14" s="69"/>
      <c r="Z14" s="69"/>
      <c r="AA14" s="69"/>
      <c r="AB14" s="69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78" t="s">
        <v>20</v>
      </c>
      <c r="B17" s="79"/>
      <c r="C17" s="79"/>
      <c r="D17" s="79"/>
      <c r="E17" s="79"/>
      <c r="F17" s="80"/>
      <c r="G17" s="74" t="s">
        <v>21</v>
      </c>
      <c r="H17" s="74"/>
      <c r="I17" s="74"/>
      <c r="J17" s="74" t="s">
        <v>23</v>
      </c>
      <c r="K17" s="74"/>
      <c r="L17" s="74"/>
      <c r="M17" s="74" t="s">
        <v>24</v>
      </c>
      <c r="N17" s="74"/>
      <c r="O17" s="74"/>
      <c r="P17" s="74" t="s">
        <v>22</v>
      </c>
      <c r="Q17" s="74"/>
      <c r="R17" s="74"/>
      <c r="S17" s="74"/>
      <c r="T17" s="74" t="s">
        <v>25</v>
      </c>
      <c r="U17" s="74"/>
      <c r="V17" s="74"/>
      <c r="W17" s="74" t="s">
        <v>26</v>
      </c>
      <c r="X17" s="74"/>
      <c r="Y17" s="74"/>
      <c r="Z17" s="74" t="s">
        <v>27</v>
      </c>
      <c r="AA17" s="74"/>
      <c r="AB17" s="74"/>
    </row>
    <row r="18" spans="1:28" ht="15" customHeight="1" x14ac:dyDescent="0.2">
      <c r="A18" s="75"/>
      <c r="B18" s="75"/>
      <c r="C18" s="75"/>
      <c r="D18" s="75"/>
      <c r="E18" s="75"/>
      <c r="F18" s="75"/>
      <c r="G18" s="15"/>
      <c r="H18" s="15"/>
      <c r="I18" s="15"/>
      <c r="J18" s="76"/>
      <c r="K18" s="76"/>
      <c r="L18" s="76"/>
      <c r="M18" s="15"/>
      <c r="N18" s="15"/>
      <c r="O18" s="15"/>
      <c r="P18" s="77"/>
      <c r="Q18" s="77"/>
      <c r="R18" s="77"/>
      <c r="S18" s="77"/>
      <c r="T18" s="16"/>
      <c r="U18" s="15">
        <v>0</v>
      </c>
      <c r="V18" s="16"/>
      <c r="W18" s="77"/>
      <c r="X18" s="77"/>
      <c r="Y18" s="77"/>
      <c r="Z18" s="16"/>
      <c r="AA18" s="15">
        <v>0</v>
      </c>
      <c r="AB18" s="16"/>
    </row>
    <row r="19" spans="1:28" ht="15" customHeight="1" x14ac:dyDescent="0.2">
      <c r="A19" s="75"/>
      <c r="B19" s="75"/>
      <c r="C19" s="75"/>
      <c r="D19" s="75"/>
      <c r="E19" s="75"/>
      <c r="F19" s="75"/>
      <c r="G19" s="15"/>
      <c r="H19" s="15"/>
      <c r="I19" s="15"/>
      <c r="J19" s="76"/>
      <c r="K19" s="76"/>
      <c r="L19" s="76"/>
      <c r="M19" s="15"/>
      <c r="N19" s="15"/>
      <c r="O19" s="15"/>
      <c r="P19" s="77"/>
      <c r="Q19" s="77"/>
      <c r="R19" s="77"/>
      <c r="S19" s="77"/>
      <c r="T19" s="16"/>
      <c r="U19" s="15">
        <v>0</v>
      </c>
      <c r="V19" s="16"/>
      <c r="W19" s="77"/>
      <c r="X19" s="77"/>
      <c r="Y19" s="77"/>
      <c r="Z19" s="16"/>
      <c r="AA19" s="15">
        <v>0</v>
      </c>
      <c r="AB19" s="16"/>
    </row>
    <row r="20" spans="1:28" ht="15" customHeight="1" x14ac:dyDescent="0.2">
      <c r="A20" s="75" t="s">
        <v>78</v>
      </c>
      <c r="B20" s="75"/>
      <c r="C20" s="75"/>
      <c r="D20" s="75"/>
      <c r="E20" s="75"/>
      <c r="F20" s="75"/>
      <c r="G20" s="15"/>
      <c r="H20" s="15">
        <v>1</v>
      </c>
      <c r="I20" s="15"/>
      <c r="J20" s="76"/>
      <c r="K20" s="76"/>
      <c r="L20" s="76"/>
      <c r="M20" s="15"/>
      <c r="N20" s="15"/>
      <c r="O20" s="15"/>
      <c r="P20" s="77"/>
      <c r="Q20" s="77"/>
      <c r="R20" s="77"/>
      <c r="S20" s="77"/>
      <c r="T20" s="16"/>
      <c r="U20" s="15">
        <v>0</v>
      </c>
      <c r="V20" s="16"/>
      <c r="W20" s="77"/>
      <c r="X20" s="77"/>
      <c r="Y20" s="77"/>
      <c r="Z20" s="17"/>
      <c r="AA20" s="15">
        <v>0</v>
      </c>
      <c r="AB20" s="16"/>
    </row>
    <row r="21" spans="1:28" ht="15" customHeight="1" x14ac:dyDescent="0.2">
      <c r="A21" s="75"/>
      <c r="B21" s="75"/>
      <c r="C21" s="75"/>
      <c r="D21" s="75"/>
      <c r="E21" s="75"/>
      <c r="F21" s="75"/>
      <c r="G21" s="15"/>
      <c r="H21" s="15"/>
      <c r="I21" s="15"/>
      <c r="J21" s="76"/>
      <c r="K21" s="76"/>
      <c r="L21" s="76"/>
      <c r="M21" s="15"/>
      <c r="N21" s="15"/>
      <c r="O21" s="15"/>
      <c r="P21" s="77"/>
      <c r="Q21" s="77"/>
      <c r="R21" s="77"/>
      <c r="S21" s="77"/>
      <c r="T21" s="16"/>
      <c r="U21" s="15">
        <v>0</v>
      </c>
      <c r="V21" s="16"/>
      <c r="W21" s="81"/>
      <c r="X21" s="81"/>
      <c r="Y21" s="81"/>
      <c r="Z21" s="16"/>
      <c r="AA21" s="15">
        <v>0</v>
      </c>
      <c r="AB21" s="16"/>
    </row>
    <row r="22" spans="1:28" ht="15" customHeight="1" x14ac:dyDescent="0.2">
      <c r="A22" s="75"/>
      <c r="B22" s="75"/>
      <c r="C22" s="75"/>
      <c r="D22" s="75"/>
      <c r="E22" s="75"/>
      <c r="F22" s="75"/>
      <c r="G22" s="15"/>
      <c r="H22" s="15"/>
      <c r="I22" s="15"/>
      <c r="J22" s="76"/>
      <c r="K22" s="76"/>
      <c r="L22" s="76"/>
      <c r="M22" s="15"/>
      <c r="N22" s="15"/>
      <c r="O22" s="15"/>
      <c r="P22" s="77"/>
      <c r="Q22" s="77"/>
      <c r="R22" s="77"/>
      <c r="S22" s="77"/>
      <c r="T22" s="16"/>
      <c r="U22" s="15">
        <v>0</v>
      </c>
      <c r="V22" s="16"/>
      <c r="W22" s="81"/>
      <c r="X22" s="81"/>
      <c r="Y22" s="81"/>
      <c r="Z22" s="16"/>
      <c r="AA22" s="15">
        <v>0</v>
      </c>
      <c r="AB22" s="16"/>
    </row>
    <row r="23" spans="1:28" ht="15" customHeight="1" x14ac:dyDescent="0.2">
      <c r="A23" s="75"/>
      <c r="B23" s="75"/>
      <c r="C23" s="75"/>
      <c r="D23" s="75"/>
      <c r="E23" s="75"/>
      <c r="F23" s="75"/>
      <c r="G23" s="15"/>
      <c r="H23" s="15"/>
      <c r="I23" s="15"/>
      <c r="J23" s="76"/>
      <c r="K23" s="76"/>
      <c r="L23" s="76"/>
      <c r="M23" s="15"/>
      <c r="N23" s="15"/>
      <c r="O23" s="15"/>
      <c r="P23" s="77"/>
      <c r="Q23" s="77"/>
      <c r="R23" s="77"/>
      <c r="S23" s="77"/>
      <c r="T23" s="16"/>
      <c r="U23" s="15">
        <v>0</v>
      </c>
      <c r="V23" s="16"/>
      <c r="W23" s="81"/>
      <c r="X23" s="81"/>
      <c r="Y23" s="81"/>
      <c r="Z23" s="16"/>
      <c r="AA23" s="15">
        <v>0</v>
      </c>
      <c r="AB23" s="16"/>
    </row>
    <row r="24" spans="1:28" ht="15" customHeight="1" x14ac:dyDescent="0.2">
      <c r="A24" s="75"/>
      <c r="B24" s="75"/>
      <c r="C24" s="75"/>
      <c r="D24" s="75"/>
      <c r="E24" s="75"/>
      <c r="F24" s="75"/>
      <c r="G24" s="15"/>
      <c r="H24" s="15"/>
      <c r="I24" s="15"/>
      <c r="J24" s="76"/>
      <c r="K24" s="76"/>
      <c r="L24" s="76"/>
      <c r="M24" s="15"/>
      <c r="N24" s="15"/>
      <c r="O24" s="15"/>
      <c r="P24" s="77"/>
      <c r="Q24" s="77"/>
      <c r="R24" s="77"/>
      <c r="S24" s="77"/>
      <c r="T24" s="16"/>
      <c r="U24" s="15">
        <v>0</v>
      </c>
      <c r="V24" s="16"/>
      <c r="W24" s="81"/>
      <c r="X24" s="81"/>
      <c r="Y24" s="81"/>
      <c r="Z24" s="16"/>
      <c r="AA24" s="15">
        <v>0</v>
      </c>
      <c r="AB24" s="16"/>
    </row>
    <row r="25" spans="1:28" ht="15" customHeight="1" x14ac:dyDescent="0.2">
      <c r="A25" s="75"/>
      <c r="B25" s="75"/>
      <c r="C25" s="75"/>
      <c r="D25" s="75"/>
      <c r="E25" s="75"/>
      <c r="F25" s="75"/>
      <c r="G25" s="15"/>
      <c r="H25" s="15"/>
      <c r="I25" s="15"/>
      <c r="J25" s="76"/>
      <c r="K25" s="76"/>
      <c r="L25" s="76"/>
      <c r="M25" s="15"/>
      <c r="N25" s="15"/>
      <c r="O25" s="15"/>
      <c r="P25" s="77"/>
      <c r="Q25" s="77"/>
      <c r="R25" s="77"/>
      <c r="S25" s="77"/>
      <c r="T25" s="16"/>
      <c r="U25" s="15">
        <v>0</v>
      </c>
      <c r="V25" s="16"/>
      <c r="W25" s="81"/>
      <c r="X25" s="81"/>
      <c r="Y25" s="81"/>
      <c r="Z25" s="16"/>
      <c r="AA25" s="15">
        <v>0</v>
      </c>
      <c r="AB25" s="16"/>
    </row>
    <row r="26" spans="1:28" ht="15" customHeight="1" x14ac:dyDescent="0.2">
      <c r="A26" s="75" t="s">
        <v>82</v>
      </c>
      <c r="B26" s="75"/>
      <c r="C26" s="75"/>
      <c r="D26" s="75"/>
      <c r="E26" s="75"/>
      <c r="F26" s="75"/>
      <c r="G26" s="15"/>
      <c r="H26" s="15">
        <v>1</v>
      </c>
      <c r="I26" s="15"/>
      <c r="J26" s="76"/>
      <c r="K26" s="76"/>
      <c r="L26" s="76"/>
      <c r="M26" s="15"/>
      <c r="N26" s="15"/>
      <c r="O26" s="15"/>
      <c r="P26" s="77"/>
      <c r="Q26" s="77"/>
      <c r="R26" s="77"/>
      <c r="S26" s="77"/>
      <c r="T26" s="16"/>
      <c r="U26" s="15">
        <v>0</v>
      </c>
      <c r="V26" s="16"/>
      <c r="W26" s="81"/>
      <c r="X26" s="81"/>
      <c r="Y26" s="81"/>
      <c r="Z26" s="16"/>
      <c r="AA26" s="15">
        <v>0</v>
      </c>
      <c r="AB26" s="16"/>
    </row>
    <row r="27" spans="1:28" ht="15" customHeight="1" x14ac:dyDescent="0.2">
      <c r="A27" s="75"/>
      <c r="B27" s="75"/>
      <c r="C27" s="75"/>
      <c r="D27" s="75"/>
      <c r="E27" s="75"/>
      <c r="F27" s="75"/>
      <c r="G27" s="15"/>
      <c r="H27" s="15"/>
      <c r="I27" s="15"/>
      <c r="J27" s="76"/>
      <c r="K27" s="76"/>
      <c r="L27" s="76"/>
      <c r="M27" s="15"/>
      <c r="N27" s="15"/>
      <c r="O27" s="15"/>
      <c r="P27" s="77"/>
      <c r="Q27" s="77"/>
      <c r="R27" s="77"/>
      <c r="S27" s="77"/>
      <c r="T27" s="16"/>
      <c r="U27" s="15">
        <v>0</v>
      </c>
      <c r="V27" s="16"/>
      <c r="W27" s="81"/>
      <c r="X27" s="81"/>
      <c r="Y27" s="81"/>
      <c r="Z27" s="16"/>
      <c r="AA27" s="15">
        <v>0</v>
      </c>
      <c r="AB27" s="16"/>
    </row>
    <row r="28" spans="1:28" ht="15" customHeight="1" x14ac:dyDescent="0.2">
      <c r="A28" s="75"/>
      <c r="B28" s="75"/>
      <c r="C28" s="75"/>
      <c r="D28" s="75"/>
      <c r="E28" s="75"/>
      <c r="F28" s="75"/>
      <c r="G28" s="15"/>
      <c r="H28" s="15"/>
      <c r="I28" s="15"/>
      <c r="J28" s="76"/>
      <c r="K28" s="76"/>
      <c r="L28" s="76"/>
      <c r="M28" s="15"/>
      <c r="N28" s="15"/>
      <c r="O28" s="15"/>
      <c r="P28" s="77"/>
      <c r="Q28" s="77"/>
      <c r="R28" s="77"/>
      <c r="S28" s="77"/>
      <c r="T28" s="16"/>
      <c r="U28" s="15">
        <v>0</v>
      </c>
      <c r="V28" s="16"/>
      <c r="W28" s="81"/>
      <c r="X28" s="81"/>
      <c r="Y28" s="81"/>
      <c r="Z28" s="16"/>
      <c r="AA28" s="15">
        <v>0</v>
      </c>
      <c r="AB28" s="16"/>
    </row>
    <row r="29" spans="1:28" ht="15" customHeight="1" x14ac:dyDescent="0.2">
      <c r="A29" s="75"/>
      <c r="B29" s="75"/>
      <c r="C29" s="75"/>
      <c r="D29" s="75"/>
      <c r="E29" s="75"/>
      <c r="F29" s="75"/>
      <c r="G29" s="15"/>
      <c r="H29" s="15"/>
      <c r="I29" s="15"/>
      <c r="J29" s="76"/>
      <c r="K29" s="76"/>
      <c r="L29" s="76"/>
      <c r="M29" s="15"/>
      <c r="N29" s="15"/>
      <c r="O29" s="15"/>
      <c r="P29" s="77"/>
      <c r="Q29" s="77"/>
      <c r="R29" s="77"/>
      <c r="S29" s="77"/>
      <c r="T29" s="16"/>
      <c r="U29" s="15">
        <v>0</v>
      </c>
      <c r="V29" s="16"/>
      <c r="W29" s="81"/>
      <c r="X29" s="81"/>
      <c r="Y29" s="81"/>
      <c r="Z29" s="16"/>
      <c r="AA29" s="15">
        <v>0</v>
      </c>
      <c r="AB29" s="16"/>
    </row>
    <row r="30" spans="1:28" ht="15" customHeight="1" x14ac:dyDescent="0.2">
      <c r="A30" s="75"/>
      <c r="B30" s="75"/>
      <c r="C30" s="75"/>
      <c r="D30" s="75"/>
      <c r="E30" s="75"/>
      <c r="F30" s="75"/>
      <c r="G30" s="15"/>
      <c r="H30" s="15"/>
      <c r="I30" s="15"/>
      <c r="J30" s="76"/>
      <c r="K30" s="76"/>
      <c r="L30" s="76"/>
      <c r="M30" s="15"/>
      <c r="N30" s="15"/>
      <c r="O30" s="15"/>
      <c r="P30" s="77"/>
      <c r="Q30" s="77"/>
      <c r="R30" s="77"/>
      <c r="S30" s="77"/>
      <c r="T30" s="16"/>
      <c r="U30" s="15">
        <v>0</v>
      </c>
      <c r="V30" s="16"/>
      <c r="W30" s="81"/>
      <c r="X30" s="81"/>
      <c r="Y30" s="81"/>
      <c r="Z30" s="16"/>
      <c r="AA30" s="15">
        <v>0</v>
      </c>
      <c r="AB30" s="16"/>
    </row>
    <row r="31" spans="1:28" ht="15" customHeight="1" x14ac:dyDescent="0.2">
      <c r="A31" s="75" t="s">
        <v>72</v>
      </c>
      <c r="B31" s="75"/>
      <c r="C31" s="75"/>
      <c r="D31" s="75"/>
      <c r="E31" s="75"/>
      <c r="F31" s="75"/>
      <c r="G31" s="15"/>
      <c r="H31" s="15">
        <v>2</v>
      </c>
      <c r="I31" s="15"/>
      <c r="J31" s="76"/>
      <c r="K31" s="76"/>
      <c r="L31" s="76"/>
      <c r="M31" s="15"/>
      <c r="N31" s="15"/>
      <c r="O31" s="15"/>
      <c r="P31" s="77"/>
      <c r="Q31" s="77"/>
      <c r="R31" s="77"/>
      <c r="S31" s="77"/>
      <c r="T31" s="16"/>
      <c r="U31" s="15">
        <v>0</v>
      </c>
      <c r="V31" s="16"/>
      <c r="W31" s="81"/>
      <c r="X31" s="81"/>
      <c r="Y31" s="81"/>
      <c r="Z31" s="16"/>
      <c r="AA31" s="15">
        <v>0</v>
      </c>
      <c r="AB31" s="16"/>
    </row>
    <row r="32" spans="1:28" ht="15" customHeight="1" x14ac:dyDescent="0.2">
      <c r="A32" s="75" t="s">
        <v>70</v>
      </c>
      <c r="B32" s="75"/>
      <c r="C32" s="75"/>
      <c r="D32" s="75"/>
      <c r="E32" s="75"/>
      <c r="F32" s="75"/>
      <c r="G32" s="15"/>
      <c r="H32" s="15">
        <v>6</v>
      </c>
      <c r="I32" s="15"/>
      <c r="J32" s="76"/>
      <c r="K32" s="76"/>
      <c r="L32" s="76"/>
      <c r="M32" s="15"/>
      <c r="N32" s="15"/>
      <c r="O32" s="15"/>
      <c r="P32" s="77"/>
      <c r="Q32" s="77"/>
      <c r="R32" s="77"/>
      <c r="S32" s="77"/>
      <c r="T32" s="16"/>
      <c r="U32" s="15">
        <v>0</v>
      </c>
      <c r="V32" s="16"/>
      <c r="W32" s="81"/>
      <c r="X32" s="81"/>
      <c r="Y32" s="81"/>
      <c r="Z32" s="16"/>
      <c r="AA32" s="15">
        <v>0</v>
      </c>
      <c r="AB32" s="16"/>
    </row>
    <row r="33" spans="1:28" ht="15" customHeight="1" x14ac:dyDescent="0.2">
      <c r="A33" s="75" t="s">
        <v>84</v>
      </c>
      <c r="B33" s="75"/>
      <c r="C33" s="75"/>
      <c r="D33" s="75"/>
      <c r="E33" s="75"/>
      <c r="F33" s="75"/>
      <c r="G33" s="15"/>
      <c r="H33" s="15">
        <v>1</v>
      </c>
      <c r="I33" s="15"/>
      <c r="J33" s="82"/>
      <c r="K33" s="81"/>
      <c r="L33" s="81"/>
      <c r="M33" s="15"/>
      <c r="N33" s="15"/>
      <c r="O33" s="15"/>
      <c r="P33" s="77"/>
      <c r="Q33" s="77"/>
      <c r="R33" s="77"/>
      <c r="S33" s="77"/>
      <c r="T33" s="16"/>
      <c r="U33" s="15">
        <v>0</v>
      </c>
      <c r="V33" s="16"/>
      <c r="W33" s="81"/>
      <c r="X33" s="81"/>
      <c r="Y33" s="81"/>
      <c r="Z33" s="16"/>
      <c r="AA33" s="15">
        <v>0</v>
      </c>
      <c r="AB33" s="16"/>
    </row>
    <row r="34" spans="1:28" ht="15" customHeight="1" x14ac:dyDescent="0.2">
      <c r="A34" s="75" t="s">
        <v>85</v>
      </c>
      <c r="B34" s="75"/>
      <c r="C34" s="75"/>
      <c r="D34" s="75"/>
      <c r="E34" s="75"/>
      <c r="F34" s="75"/>
      <c r="G34" s="15"/>
      <c r="H34" s="15">
        <v>1</v>
      </c>
      <c r="I34" s="15"/>
      <c r="J34" s="76"/>
      <c r="K34" s="76"/>
      <c r="L34" s="76"/>
      <c r="M34" s="15"/>
      <c r="N34" s="15"/>
      <c r="O34" s="15"/>
      <c r="P34" s="77"/>
      <c r="Q34" s="77"/>
      <c r="R34" s="77"/>
      <c r="S34" s="77"/>
      <c r="T34" s="16"/>
      <c r="U34" s="15">
        <v>0</v>
      </c>
      <c r="V34" s="16"/>
      <c r="W34" s="81"/>
      <c r="X34" s="81"/>
      <c r="Y34" s="81"/>
      <c r="Z34" s="16"/>
      <c r="AA34" s="15">
        <v>0</v>
      </c>
      <c r="AB34" s="16"/>
    </row>
    <row r="35" spans="1:28" ht="15" customHeight="1" x14ac:dyDescent="0.2">
      <c r="A35" s="75" t="s">
        <v>86</v>
      </c>
      <c r="B35" s="75"/>
      <c r="C35" s="75"/>
      <c r="D35" s="75"/>
      <c r="E35" s="75"/>
      <c r="F35" s="75"/>
      <c r="G35" s="15"/>
      <c r="H35" s="15">
        <v>1</v>
      </c>
      <c r="I35" s="15"/>
      <c r="J35" s="76"/>
      <c r="K35" s="76"/>
      <c r="L35" s="76"/>
      <c r="M35" s="15"/>
      <c r="N35" s="15"/>
      <c r="O35" s="15"/>
      <c r="P35" s="77"/>
      <c r="Q35" s="77"/>
      <c r="R35" s="77"/>
      <c r="S35" s="77"/>
      <c r="T35" s="16"/>
      <c r="U35" s="15">
        <v>0</v>
      </c>
      <c r="V35" s="16"/>
      <c r="W35" s="81"/>
      <c r="X35" s="81"/>
      <c r="Y35" s="81"/>
      <c r="Z35" s="16"/>
      <c r="AA35" s="15">
        <v>0</v>
      </c>
      <c r="AB35" s="16"/>
    </row>
    <row r="36" spans="1:28" ht="15" customHeight="1" x14ac:dyDescent="0.2">
      <c r="A36" s="75" t="s">
        <v>88</v>
      </c>
      <c r="B36" s="75"/>
      <c r="C36" s="75"/>
      <c r="D36" s="75"/>
      <c r="E36" s="75"/>
      <c r="F36" s="75"/>
      <c r="G36" s="15"/>
      <c r="H36" s="15">
        <v>2</v>
      </c>
      <c r="I36" s="15"/>
      <c r="J36" s="82"/>
      <c r="K36" s="81"/>
      <c r="L36" s="81"/>
      <c r="M36" s="15"/>
      <c r="N36" s="15"/>
      <c r="O36" s="15"/>
      <c r="P36" s="77"/>
      <c r="Q36" s="77"/>
      <c r="R36" s="77"/>
      <c r="S36" s="77"/>
      <c r="T36" s="16"/>
      <c r="U36" s="15">
        <v>0</v>
      </c>
      <c r="V36" s="16"/>
      <c r="W36" s="81"/>
      <c r="X36" s="81"/>
      <c r="Y36" s="81"/>
      <c r="Z36" s="16"/>
      <c r="AA36" s="15">
        <v>0</v>
      </c>
      <c r="AB36" s="16"/>
    </row>
    <row r="37" spans="1:28" ht="15" customHeight="1" x14ac:dyDescent="0.2">
      <c r="A37" s="75" t="s">
        <v>87</v>
      </c>
      <c r="B37" s="75"/>
      <c r="C37" s="75"/>
      <c r="D37" s="75"/>
      <c r="E37" s="75"/>
      <c r="F37" s="75"/>
      <c r="G37" s="15"/>
      <c r="H37" s="15">
        <v>1</v>
      </c>
      <c r="I37" s="15"/>
      <c r="J37" s="81"/>
      <c r="K37" s="81"/>
      <c r="L37" s="81"/>
      <c r="M37" s="15"/>
      <c r="N37" s="15"/>
      <c r="O37" s="15"/>
      <c r="P37" s="77"/>
      <c r="Q37" s="77"/>
      <c r="R37" s="77"/>
      <c r="S37" s="77"/>
      <c r="T37" s="16"/>
      <c r="U37" s="15">
        <v>0</v>
      </c>
      <c r="V37" s="16"/>
      <c r="W37" s="81"/>
      <c r="X37" s="81"/>
      <c r="Y37" s="81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97" t="s">
        <v>71</v>
      </c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97"/>
      <c r="Q39" s="97"/>
      <c r="R39" s="97"/>
      <c r="S39" s="97"/>
      <c r="T39" s="97"/>
      <c r="U39" s="97"/>
      <c r="W39" s="71" t="s">
        <v>34</v>
      </c>
      <c r="X39" s="71"/>
      <c r="Y39" s="71"/>
      <c r="Z39" s="71"/>
      <c r="AA39" s="71"/>
      <c r="AB39" s="71"/>
    </row>
    <row r="40" spans="1:28" ht="22.5" customHeight="1" x14ac:dyDescent="0.2">
      <c r="A40" s="83"/>
      <c r="B40" s="84"/>
      <c r="C40" s="84"/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5"/>
      <c r="W40" s="89"/>
      <c r="X40" s="90"/>
      <c r="Y40" s="90"/>
      <c r="Z40" s="90"/>
      <c r="AA40" s="90"/>
      <c r="AB40" s="91"/>
    </row>
    <row r="41" spans="1:28" ht="26.25" customHeight="1" x14ac:dyDescent="0.2">
      <c r="A41" s="86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  <c r="Q41" s="87"/>
      <c r="R41" s="87"/>
      <c r="S41" s="87"/>
      <c r="T41" s="87"/>
      <c r="U41" s="88"/>
      <c r="V41" s="92"/>
      <c r="W41" s="93" t="s">
        <v>29</v>
      </c>
      <c r="X41" s="71"/>
      <c r="Y41" s="71"/>
      <c r="Z41" s="71"/>
      <c r="AA41" s="71"/>
      <c r="AB41" s="71"/>
    </row>
    <row r="42" spans="1:28" ht="22.5" customHeight="1" x14ac:dyDescent="0.2">
      <c r="A42" s="86"/>
      <c r="B42" s="87"/>
      <c r="C42" s="87"/>
      <c r="D42" s="87"/>
      <c r="E42" s="87"/>
      <c r="F42" s="87"/>
      <c r="G42" s="87"/>
      <c r="H42" s="87"/>
      <c r="I42" s="87"/>
      <c r="J42" s="87"/>
      <c r="K42" s="87"/>
      <c r="L42" s="87"/>
      <c r="M42" s="87"/>
      <c r="N42" s="87"/>
      <c r="O42" s="87"/>
      <c r="P42" s="87"/>
      <c r="Q42" s="87"/>
      <c r="R42" s="87"/>
      <c r="S42" s="87"/>
      <c r="T42" s="87"/>
      <c r="U42" s="88"/>
      <c r="V42" s="92"/>
      <c r="W42" s="94"/>
      <c r="X42" s="95"/>
      <c r="Y42" s="95"/>
      <c r="Z42" s="95"/>
      <c r="AA42" s="95"/>
      <c r="AB42" s="96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185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6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7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8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9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0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1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2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3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4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5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6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7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8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9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00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01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02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03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04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05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06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07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08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09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10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11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12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13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14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15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16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17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18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19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20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21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22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23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24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25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26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27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28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29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30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31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32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33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34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35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36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37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38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39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40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41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42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43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44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45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46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47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48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49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50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51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52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53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54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55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56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57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58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59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60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61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62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63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64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65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66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67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68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69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70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71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72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73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74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75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76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77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78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79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80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81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82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83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84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85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86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87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88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89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90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91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92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93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94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95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96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97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98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99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00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01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02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03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04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05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06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07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08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09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10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11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12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13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14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15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16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17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18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19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20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21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22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23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24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25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26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27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28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29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30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31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32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33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34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35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36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37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38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39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40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41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42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43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44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45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46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47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48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49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50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51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52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53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54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55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56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57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58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59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60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61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62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63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64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65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66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67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68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69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70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71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72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73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74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75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76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77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78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79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80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81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82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83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84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85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86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87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88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89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90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91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92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93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94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95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96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97" r:id="rId216" name="Button 21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98" r:id="rId217" name="Button 21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99" r:id="rId218" name="Button 215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9"/>
  <dimension ref="A1:AC42"/>
  <sheetViews>
    <sheetView showGridLines="0" tabSelected="1" view="pageBreakPreview" topLeftCell="A13" zoomScale="115" zoomScaleNormal="100" zoomScaleSheetLayoutView="115" workbookViewId="0">
      <selection activeCell="A18" sqref="A18:H28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39"/>
      <c r="B1" s="35"/>
      <c r="I1" s="40" t="s">
        <v>33</v>
      </c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3"/>
    </row>
    <row r="2" spans="1:29" ht="37.5" customHeight="1" x14ac:dyDescent="0.2">
      <c r="A2" s="39"/>
      <c r="B2" s="35"/>
      <c r="I2" s="42" t="s">
        <v>32</v>
      </c>
      <c r="J2" s="43"/>
      <c r="K2" s="43"/>
      <c r="L2" s="43"/>
      <c r="M2" s="43"/>
      <c r="N2" s="43"/>
      <c r="O2" s="4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4" t="s">
        <v>1</v>
      </c>
      <c r="B4" s="44"/>
      <c r="C4" s="44"/>
      <c r="D4" s="44"/>
      <c r="E4" s="44"/>
      <c r="F4" s="45"/>
      <c r="G4" s="46"/>
      <c r="H4" s="46"/>
      <c r="I4" s="46"/>
      <c r="J4" s="46"/>
      <c r="K4" s="46"/>
      <c r="L4" s="46"/>
      <c r="M4" s="46"/>
      <c r="N4" s="47" t="s">
        <v>11</v>
      </c>
      <c r="O4" s="47"/>
      <c r="P4" s="47"/>
      <c r="Q4" s="47"/>
      <c r="R4" s="47"/>
      <c r="S4" s="47"/>
      <c r="T4" s="47"/>
      <c r="U4" s="48" t="s">
        <v>64</v>
      </c>
      <c r="V4" s="49"/>
      <c r="W4" s="49"/>
      <c r="X4" s="49"/>
      <c r="Y4" s="49"/>
      <c r="Z4" s="49"/>
      <c r="AA4" s="49"/>
      <c r="AB4" s="50"/>
      <c r="AC4" s="3"/>
    </row>
    <row r="5" spans="1:29" ht="24" customHeight="1" x14ac:dyDescent="0.2">
      <c r="A5" s="44" t="s">
        <v>5</v>
      </c>
      <c r="B5" s="44"/>
      <c r="C5" s="44"/>
      <c r="D5" s="44"/>
      <c r="E5" s="44"/>
      <c r="F5" s="45"/>
      <c r="G5" s="51" t="s">
        <v>61</v>
      </c>
      <c r="H5" s="51"/>
      <c r="I5" s="51"/>
      <c r="J5" s="51"/>
      <c r="K5" s="51"/>
      <c r="L5" s="51"/>
      <c r="M5" s="51"/>
      <c r="N5" s="44" t="s">
        <v>9</v>
      </c>
      <c r="O5" s="44"/>
      <c r="P5" s="44"/>
      <c r="Q5" s="44"/>
      <c r="R5" s="44"/>
      <c r="S5" s="44"/>
      <c r="T5" s="44"/>
      <c r="U5" s="58">
        <v>44431</v>
      </c>
      <c r="V5" s="58"/>
      <c r="W5" s="58"/>
      <c r="X5" s="24" t="s">
        <v>30</v>
      </c>
      <c r="Y5" s="59">
        <v>0.58333333333333337</v>
      </c>
      <c r="Z5" s="60"/>
      <c r="AA5" s="60"/>
      <c r="AB5" s="60"/>
    </row>
    <row r="6" spans="1:29" ht="24" customHeight="1" x14ac:dyDescent="0.2">
      <c r="A6" s="54" t="s">
        <v>7</v>
      </c>
      <c r="B6" s="54"/>
      <c r="C6" s="54"/>
      <c r="D6" s="54"/>
      <c r="E6" s="54"/>
      <c r="F6" s="55"/>
      <c r="G6" s="51" t="s">
        <v>62</v>
      </c>
      <c r="H6" s="51"/>
      <c r="I6" s="51"/>
      <c r="J6" s="51"/>
      <c r="K6" s="51"/>
      <c r="L6" s="51"/>
      <c r="M6" s="51"/>
      <c r="N6" s="61" t="s">
        <v>0</v>
      </c>
      <c r="O6" s="61"/>
      <c r="P6" s="61"/>
      <c r="Q6" s="61"/>
      <c r="R6" s="61"/>
      <c r="S6" s="61"/>
      <c r="T6" s="61"/>
      <c r="U6" s="58">
        <v>44431</v>
      </c>
      <c r="V6" s="58"/>
      <c r="W6" s="58"/>
      <c r="X6" s="24" t="s">
        <v>30</v>
      </c>
      <c r="Y6" s="59">
        <v>0.60416666666666663</v>
      </c>
      <c r="Z6" s="60"/>
      <c r="AA6" s="60"/>
      <c r="AB6" s="60"/>
    </row>
    <row r="7" spans="1:29" ht="24" customHeight="1" x14ac:dyDescent="0.2">
      <c r="A7" s="44" t="s">
        <v>10</v>
      </c>
      <c r="B7" s="44"/>
      <c r="C7" s="44"/>
      <c r="D7" s="44"/>
      <c r="E7" s="44"/>
      <c r="F7" s="45"/>
      <c r="G7" s="51" t="s">
        <v>63</v>
      </c>
      <c r="H7" s="51"/>
      <c r="I7" s="51"/>
      <c r="J7" s="51"/>
      <c r="K7" s="51"/>
      <c r="L7" s="51"/>
      <c r="M7" s="51"/>
      <c r="N7" s="52" t="s">
        <v>35</v>
      </c>
      <c r="O7" s="52"/>
      <c r="P7" s="52"/>
      <c r="Q7" s="52"/>
      <c r="R7" s="52"/>
      <c r="S7" s="52"/>
      <c r="T7" s="52"/>
      <c r="U7" s="53" t="s">
        <v>65</v>
      </c>
      <c r="V7" s="53"/>
      <c r="W7" s="53"/>
      <c r="X7" s="53"/>
      <c r="Y7" s="53"/>
      <c r="Z7" s="53"/>
      <c r="AA7" s="53"/>
      <c r="AB7" s="53"/>
    </row>
    <row r="8" spans="1:29" ht="24" customHeight="1" x14ac:dyDescent="0.2">
      <c r="A8" s="54" t="s">
        <v>2</v>
      </c>
      <c r="B8" s="54"/>
      <c r="C8" s="54"/>
      <c r="D8" s="54"/>
      <c r="E8" s="54"/>
      <c r="F8" s="55"/>
      <c r="G8" s="56">
        <v>514059</v>
      </c>
      <c r="H8" s="56"/>
      <c r="I8" s="56"/>
      <c r="J8" s="56"/>
      <c r="K8" s="56"/>
      <c r="L8" s="56"/>
      <c r="M8" s="56"/>
      <c r="N8" s="52" t="s">
        <v>4</v>
      </c>
      <c r="O8" s="52"/>
      <c r="P8" s="52"/>
      <c r="Q8" s="52"/>
      <c r="R8" s="52"/>
      <c r="S8" s="52"/>
      <c r="T8" s="52"/>
      <c r="U8" s="57" t="s">
        <v>66</v>
      </c>
      <c r="V8" s="57"/>
      <c r="W8" s="57"/>
      <c r="X8" s="57"/>
      <c r="Y8" s="57"/>
      <c r="Z8" s="57"/>
      <c r="AA8" s="57"/>
      <c r="AB8" s="57"/>
    </row>
    <row r="9" spans="1:29" ht="24" customHeight="1" x14ac:dyDescent="0.2">
      <c r="A9" s="54" t="s">
        <v>6</v>
      </c>
      <c r="B9" s="54"/>
      <c r="C9" s="54"/>
      <c r="D9" s="54"/>
      <c r="E9" s="54"/>
      <c r="F9" s="55"/>
      <c r="G9" s="62" t="s">
        <v>68</v>
      </c>
      <c r="H9" s="62"/>
      <c r="I9" s="62"/>
      <c r="J9" s="62"/>
      <c r="K9" s="62"/>
      <c r="L9" s="62"/>
      <c r="M9" s="62"/>
      <c r="N9" s="52" t="s">
        <v>31</v>
      </c>
      <c r="O9" s="52"/>
      <c r="P9" s="52"/>
      <c r="Q9" s="52"/>
      <c r="R9" s="52"/>
      <c r="S9" s="52"/>
      <c r="T9" s="52"/>
      <c r="U9" s="53" t="s">
        <v>76</v>
      </c>
      <c r="V9" s="53"/>
      <c r="W9" s="53"/>
      <c r="X9" s="53"/>
      <c r="Y9" s="53"/>
      <c r="Z9" s="53"/>
      <c r="AA9" s="53"/>
      <c r="AB9" s="53"/>
    </row>
    <row r="10" spans="1:29" ht="6" customHeight="1" x14ac:dyDescent="0.2">
      <c r="U10" s="7"/>
      <c r="V10" s="7"/>
      <c r="W10" s="7"/>
    </row>
    <row r="11" spans="1:29" ht="23.25" customHeight="1" x14ac:dyDescent="0.2">
      <c r="A11" s="63" t="s">
        <v>8</v>
      </c>
      <c r="B11" s="63"/>
      <c r="C11" s="63"/>
      <c r="D11" s="63"/>
      <c r="E11" s="63"/>
      <c r="F11" s="63"/>
      <c r="G11" s="63"/>
      <c r="H11" s="63"/>
      <c r="I11" s="63"/>
      <c r="J11" s="63"/>
      <c r="K11" s="63"/>
      <c r="L11" s="63"/>
      <c r="M11" s="18"/>
      <c r="N11" s="52" t="s">
        <v>12</v>
      </c>
      <c r="O11" s="52"/>
      <c r="P11" s="52"/>
      <c r="Q11" s="52"/>
      <c r="R11" s="52"/>
      <c r="S11" s="51"/>
      <c r="T11" s="51"/>
      <c r="U11" s="52" t="s">
        <v>13</v>
      </c>
      <c r="V11" s="52"/>
      <c r="W11" s="52"/>
      <c r="X11" s="52"/>
      <c r="Y11" s="52"/>
      <c r="Z11" s="52"/>
      <c r="AA11" s="48"/>
      <c r="AB11" s="50"/>
    </row>
    <row r="12" spans="1:29" ht="6" customHeight="1" x14ac:dyDescent="0.2"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</row>
    <row r="13" spans="1:29" ht="36" customHeight="1" x14ac:dyDescent="0.2">
      <c r="A13" s="71" t="s">
        <v>60</v>
      </c>
      <c r="B13" s="65"/>
      <c r="C13" s="65"/>
      <c r="D13" s="65"/>
      <c r="E13" s="65"/>
      <c r="F13" s="36" t="s">
        <v>37</v>
      </c>
      <c r="G13" s="64" t="s">
        <v>14</v>
      </c>
      <c r="H13" s="64"/>
      <c r="I13" s="64"/>
      <c r="J13" s="72" t="s">
        <v>67</v>
      </c>
      <c r="K13" s="73"/>
      <c r="L13" s="64" t="s">
        <v>15</v>
      </c>
      <c r="M13" s="64"/>
      <c r="N13" s="64"/>
      <c r="O13" s="48">
        <v>0</v>
      </c>
      <c r="P13" s="49"/>
      <c r="Q13" s="50"/>
      <c r="R13" s="64" t="s">
        <v>16</v>
      </c>
      <c r="S13" s="64"/>
      <c r="T13" s="64"/>
      <c r="U13" s="51">
        <v>1</v>
      </c>
      <c r="V13" s="51"/>
      <c r="W13" s="64" t="s">
        <v>17</v>
      </c>
      <c r="X13" s="64"/>
      <c r="Y13" s="64"/>
      <c r="Z13" s="64"/>
      <c r="AA13" s="51">
        <v>2</v>
      </c>
      <c r="AB13" s="51"/>
    </row>
    <row r="14" spans="1:29" ht="27" customHeight="1" x14ac:dyDescent="0.2">
      <c r="A14" s="65" t="s">
        <v>3</v>
      </c>
      <c r="B14" s="65"/>
      <c r="C14" s="65"/>
      <c r="D14" s="65"/>
      <c r="E14" s="65"/>
      <c r="F14" s="36"/>
      <c r="G14" s="64" t="s">
        <v>18</v>
      </c>
      <c r="H14" s="64"/>
      <c r="I14" s="64"/>
      <c r="J14" s="64"/>
      <c r="K14" s="64"/>
      <c r="L14" s="64"/>
      <c r="M14" s="66"/>
      <c r="N14" s="67"/>
      <c r="O14" s="67"/>
      <c r="P14" s="67"/>
      <c r="Q14" s="68"/>
      <c r="R14" s="64" t="s">
        <v>19</v>
      </c>
      <c r="S14" s="64"/>
      <c r="T14" s="64"/>
      <c r="U14" s="64"/>
      <c r="V14" s="64"/>
      <c r="W14" s="69"/>
      <c r="X14" s="69"/>
      <c r="Y14" s="69"/>
      <c r="Z14" s="69"/>
      <c r="AA14" s="69"/>
      <c r="AB14" s="69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78" t="s">
        <v>20</v>
      </c>
      <c r="B17" s="79"/>
      <c r="C17" s="79"/>
      <c r="D17" s="79"/>
      <c r="E17" s="79"/>
      <c r="F17" s="80"/>
      <c r="G17" s="74" t="s">
        <v>21</v>
      </c>
      <c r="H17" s="74"/>
      <c r="I17" s="74"/>
      <c r="J17" s="74" t="s">
        <v>23</v>
      </c>
      <c r="K17" s="74"/>
      <c r="L17" s="74"/>
      <c r="M17" s="74" t="s">
        <v>24</v>
      </c>
      <c r="N17" s="74"/>
      <c r="O17" s="74"/>
      <c r="P17" s="74" t="s">
        <v>22</v>
      </c>
      <c r="Q17" s="74"/>
      <c r="R17" s="74"/>
      <c r="S17" s="74"/>
      <c r="T17" s="74" t="s">
        <v>25</v>
      </c>
      <c r="U17" s="74"/>
      <c r="V17" s="74"/>
      <c r="W17" s="74" t="s">
        <v>26</v>
      </c>
      <c r="X17" s="74"/>
      <c r="Y17" s="74"/>
      <c r="Z17" s="74" t="s">
        <v>27</v>
      </c>
      <c r="AA17" s="74"/>
      <c r="AB17" s="74"/>
    </row>
    <row r="18" spans="1:28" ht="15" customHeight="1" x14ac:dyDescent="0.2">
      <c r="A18" s="75" t="s">
        <v>77</v>
      </c>
      <c r="B18" s="75"/>
      <c r="C18" s="75"/>
      <c r="D18" s="75"/>
      <c r="E18" s="75"/>
      <c r="F18" s="75"/>
      <c r="G18" s="15"/>
      <c r="H18" s="15">
        <v>1</v>
      </c>
      <c r="I18" s="15"/>
      <c r="J18" s="76"/>
      <c r="K18" s="76"/>
      <c r="L18" s="76"/>
      <c r="M18" s="15"/>
      <c r="N18" s="15"/>
      <c r="O18" s="15"/>
      <c r="P18" s="77"/>
      <c r="Q18" s="77"/>
      <c r="R18" s="77"/>
      <c r="S18" s="77"/>
      <c r="T18" s="16"/>
      <c r="U18" s="15">
        <v>0</v>
      </c>
      <c r="V18" s="16"/>
      <c r="W18" s="77"/>
      <c r="X18" s="77"/>
      <c r="Y18" s="77"/>
      <c r="Z18" s="16"/>
      <c r="AA18" s="15">
        <v>0</v>
      </c>
      <c r="AB18" s="16"/>
    </row>
    <row r="19" spans="1:28" ht="15" customHeight="1" x14ac:dyDescent="0.2">
      <c r="A19" s="75" t="s">
        <v>69</v>
      </c>
      <c r="B19" s="75"/>
      <c r="C19" s="75"/>
      <c r="D19" s="75"/>
      <c r="E19" s="75"/>
      <c r="F19" s="75"/>
      <c r="G19" s="15"/>
      <c r="H19" s="15">
        <v>1</v>
      </c>
      <c r="I19" s="15"/>
      <c r="J19" s="76"/>
      <c r="K19" s="76"/>
      <c r="L19" s="76"/>
      <c r="M19" s="15"/>
      <c r="N19" s="15"/>
      <c r="O19" s="15"/>
      <c r="P19" s="77"/>
      <c r="Q19" s="77"/>
      <c r="R19" s="77"/>
      <c r="S19" s="77"/>
      <c r="T19" s="16"/>
      <c r="U19" s="15">
        <v>0</v>
      </c>
      <c r="V19" s="16"/>
      <c r="W19" s="77"/>
      <c r="X19" s="77"/>
      <c r="Y19" s="77"/>
      <c r="Z19" s="16"/>
      <c r="AA19" s="15">
        <v>0</v>
      </c>
      <c r="AB19" s="16"/>
    </row>
    <row r="20" spans="1:28" ht="15" customHeight="1" x14ac:dyDescent="0.2">
      <c r="A20" s="75" t="s">
        <v>78</v>
      </c>
      <c r="B20" s="75"/>
      <c r="C20" s="75"/>
      <c r="D20" s="75"/>
      <c r="E20" s="75"/>
      <c r="F20" s="75"/>
      <c r="G20" s="15"/>
      <c r="H20" s="15">
        <v>1</v>
      </c>
      <c r="I20" s="15"/>
      <c r="J20" s="76"/>
      <c r="K20" s="76"/>
      <c r="L20" s="76"/>
      <c r="M20" s="15"/>
      <c r="N20" s="15"/>
      <c r="O20" s="15"/>
      <c r="P20" s="77"/>
      <c r="Q20" s="77"/>
      <c r="R20" s="77"/>
      <c r="S20" s="77"/>
      <c r="T20" s="16"/>
      <c r="U20" s="15">
        <v>0</v>
      </c>
      <c r="V20" s="16"/>
      <c r="W20" s="77"/>
      <c r="X20" s="77"/>
      <c r="Y20" s="77"/>
      <c r="Z20" s="17"/>
      <c r="AA20" s="15">
        <v>0</v>
      </c>
      <c r="AB20" s="16"/>
    </row>
    <row r="21" spans="1:28" ht="15" customHeight="1" x14ac:dyDescent="0.2">
      <c r="A21" s="75" t="s">
        <v>73</v>
      </c>
      <c r="B21" s="75"/>
      <c r="C21" s="75"/>
      <c r="D21" s="75"/>
      <c r="E21" s="75"/>
      <c r="F21" s="75"/>
      <c r="G21" s="15"/>
      <c r="H21" s="15">
        <v>2</v>
      </c>
      <c r="I21" s="15"/>
      <c r="J21" s="76"/>
      <c r="K21" s="76"/>
      <c r="L21" s="76"/>
      <c r="M21" s="15"/>
      <c r="N21" s="15"/>
      <c r="O21" s="15"/>
      <c r="P21" s="77"/>
      <c r="Q21" s="77"/>
      <c r="R21" s="77"/>
      <c r="S21" s="77"/>
      <c r="T21" s="16"/>
      <c r="U21" s="15">
        <v>0</v>
      </c>
      <c r="V21" s="16"/>
      <c r="W21" s="81"/>
      <c r="X21" s="81"/>
      <c r="Y21" s="81"/>
      <c r="Z21" s="16"/>
      <c r="AA21" s="15">
        <v>0</v>
      </c>
      <c r="AB21" s="16"/>
    </row>
    <row r="22" spans="1:28" ht="15" customHeight="1" x14ac:dyDescent="0.2">
      <c r="A22" s="75" t="s">
        <v>79</v>
      </c>
      <c r="B22" s="75"/>
      <c r="C22" s="75"/>
      <c r="D22" s="75"/>
      <c r="E22" s="75"/>
      <c r="F22" s="75"/>
      <c r="G22" s="15"/>
      <c r="H22" s="15">
        <v>1</v>
      </c>
      <c r="I22" s="15"/>
      <c r="J22" s="76"/>
      <c r="K22" s="76"/>
      <c r="L22" s="76"/>
      <c r="M22" s="15"/>
      <c r="N22" s="15"/>
      <c r="O22" s="15"/>
      <c r="P22" s="77"/>
      <c r="Q22" s="77"/>
      <c r="R22" s="77"/>
      <c r="S22" s="77"/>
      <c r="T22" s="16"/>
      <c r="U22" s="15">
        <v>0</v>
      </c>
      <c r="V22" s="16"/>
      <c r="W22" s="81"/>
      <c r="X22" s="81"/>
      <c r="Y22" s="81"/>
      <c r="Z22" s="16"/>
      <c r="AA22" s="15">
        <v>0</v>
      </c>
      <c r="AB22" s="16"/>
    </row>
    <row r="23" spans="1:28" ht="15" customHeight="1" x14ac:dyDescent="0.2">
      <c r="A23" s="75" t="s">
        <v>80</v>
      </c>
      <c r="B23" s="75"/>
      <c r="C23" s="75"/>
      <c r="D23" s="75"/>
      <c r="E23" s="75"/>
      <c r="F23" s="75"/>
      <c r="G23" s="15"/>
      <c r="H23" s="15">
        <v>4</v>
      </c>
      <c r="I23" s="15"/>
      <c r="J23" s="76"/>
      <c r="K23" s="76"/>
      <c r="L23" s="76"/>
      <c r="M23" s="15"/>
      <c r="N23" s="15"/>
      <c r="O23" s="15"/>
      <c r="P23" s="77"/>
      <c r="Q23" s="77"/>
      <c r="R23" s="77"/>
      <c r="S23" s="77"/>
      <c r="T23" s="16"/>
      <c r="U23" s="15">
        <v>0</v>
      </c>
      <c r="V23" s="16"/>
      <c r="W23" s="81"/>
      <c r="X23" s="81"/>
      <c r="Y23" s="81"/>
      <c r="Z23" s="16"/>
      <c r="AA23" s="15">
        <v>0</v>
      </c>
      <c r="AB23" s="16"/>
    </row>
    <row r="24" spans="1:28" ht="15" customHeight="1" x14ac:dyDescent="0.2">
      <c r="A24" s="75" t="s">
        <v>73</v>
      </c>
      <c r="B24" s="75"/>
      <c r="C24" s="75"/>
      <c r="D24" s="75"/>
      <c r="E24" s="75"/>
      <c r="F24" s="75"/>
      <c r="G24" s="15"/>
      <c r="H24" s="15">
        <v>2</v>
      </c>
      <c r="I24" s="15"/>
      <c r="J24" s="76"/>
      <c r="K24" s="76"/>
      <c r="L24" s="76"/>
      <c r="M24" s="15"/>
      <c r="N24" s="15"/>
      <c r="O24" s="15"/>
      <c r="P24" s="77"/>
      <c r="Q24" s="77"/>
      <c r="R24" s="77"/>
      <c r="S24" s="77"/>
      <c r="T24" s="16"/>
      <c r="U24" s="15">
        <v>0</v>
      </c>
      <c r="V24" s="16"/>
      <c r="W24" s="81"/>
      <c r="X24" s="81"/>
      <c r="Y24" s="81"/>
      <c r="Z24" s="16"/>
      <c r="AA24" s="15">
        <v>0</v>
      </c>
      <c r="AB24" s="16"/>
    </row>
    <row r="25" spans="1:28" ht="15" customHeight="1" x14ac:dyDescent="0.2">
      <c r="A25" s="75" t="s">
        <v>81</v>
      </c>
      <c r="B25" s="75"/>
      <c r="C25" s="75"/>
      <c r="D25" s="75"/>
      <c r="E25" s="75"/>
      <c r="F25" s="75"/>
      <c r="G25" s="15"/>
      <c r="H25" s="15">
        <v>3</v>
      </c>
      <c r="I25" s="15"/>
      <c r="J25" s="76"/>
      <c r="K25" s="76"/>
      <c r="L25" s="76"/>
      <c r="M25" s="15"/>
      <c r="N25" s="15"/>
      <c r="O25" s="15"/>
      <c r="P25" s="77"/>
      <c r="Q25" s="77"/>
      <c r="R25" s="77"/>
      <c r="S25" s="77"/>
      <c r="T25" s="16"/>
      <c r="U25" s="15">
        <v>0</v>
      </c>
      <c r="V25" s="16"/>
      <c r="W25" s="81"/>
      <c r="X25" s="81"/>
      <c r="Y25" s="81"/>
      <c r="Z25" s="16"/>
      <c r="AA25" s="15">
        <v>0</v>
      </c>
      <c r="AB25" s="16"/>
    </row>
    <row r="26" spans="1:28" ht="15" customHeight="1" x14ac:dyDescent="0.2">
      <c r="A26" s="75" t="s">
        <v>82</v>
      </c>
      <c r="B26" s="75"/>
      <c r="C26" s="75"/>
      <c r="D26" s="75"/>
      <c r="E26" s="75"/>
      <c r="F26" s="75"/>
      <c r="G26" s="15"/>
      <c r="H26" s="15">
        <v>1</v>
      </c>
      <c r="I26" s="15"/>
      <c r="J26" s="76"/>
      <c r="K26" s="76"/>
      <c r="L26" s="76"/>
      <c r="M26" s="15"/>
      <c r="N26" s="15"/>
      <c r="O26" s="15"/>
      <c r="P26" s="77"/>
      <c r="Q26" s="77"/>
      <c r="R26" s="77"/>
      <c r="S26" s="77"/>
      <c r="T26" s="16"/>
      <c r="U26" s="15">
        <v>0</v>
      </c>
      <c r="V26" s="16"/>
      <c r="W26" s="81"/>
      <c r="X26" s="81"/>
      <c r="Y26" s="81"/>
      <c r="Z26" s="16"/>
      <c r="AA26" s="15">
        <v>0</v>
      </c>
      <c r="AB26" s="16"/>
    </row>
    <row r="27" spans="1:28" ht="15" customHeight="1" x14ac:dyDescent="0.2">
      <c r="A27" s="75" t="s">
        <v>75</v>
      </c>
      <c r="B27" s="75"/>
      <c r="C27" s="75"/>
      <c r="D27" s="75"/>
      <c r="E27" s="75"/>
      <c r="F27" s="75"/>
      <c r="G27" s="15"/>
      <c r="H27" s="15">
        <v>2</v>
      </c>
      <c r="I27" s="15"/>
      <c r="J27" s="76"/>
      <c r="K27" s="76"/>
      <c r="L27" s="76"/>
      <c r="M27" s="15"/>
      <c r="N27" s="15"/>
      <c r="O27" s="15"/>
      <c r="P27" s="77"/>
      <c r="Q27" s="77"/>
      <c r="R27" s="77"/>
      <c r="S27" s="77"/>
      <c r="T27" s="16"/>
      <c r="U27" s="15">
        <v>0</v>
      </c>
      <c r="V27" s="16"/>
      <c r="W27" s="81"/>
      <c r="X27" s="81"/>
      <c r="Y27" s="81"/>
      <c r="Z27" s="16"/>
      <c r="AA27" s="15">
        <v>0</v>
      </c>
      <c r="AB27" s="16"/>
    </row>
    <row r="28" spans="1:28" ht="15" customHeight="1" x14ac:dyDescent="0.2">
      <c r="A28" s="75" t="s">
        <v>83</v>
      </c>
      <c r="B28" s="75"/>
      <c r="C28" s="75"/>
      <c r="D28" s="75"/>
      <c r="E28" s="75"/>
      <c r="F28" s="75"/>
      <c r="G28" s="15"/>
      <c r="H28" s="15">
        <v>1</v>
      </c>
      <c r="I28" s="15"/>
      <c r="J28" s="76"/>
      <c r="K28" s="76"/>
      <c r="L28" s="76"/>
      <c r="M28" s="15"/>
      <c r="N28" s="15"/>
      <c r="O28" s="15"/>
      <c r="P28" s="77"/>
      <c r="Q28" s="77"/>
      <c r="R28" s="77"/>
      <c r="S28" s="77"/>
      <c r="T28" s="16"/>
      <c r="U28" s="15">
        <v>0</v>
      </c>
      <c r="V28" s="16"/>
      <c r="W28" s="81"/>
      <c r="X28" s="81"/>
      <c r="Y28" s="81"/>
      <c r="Z28" s="16"/>
      <c r="AA28" s="15">
        <v>0</v>
      </c>
      <c r="AB28" s="16"/>
    </row>
    <row r="29" spans="1:28" ht="15" customHeight="1" x14ac:dyDescent="0.2">
      <c r="A29" s="75"/>
      <c r="B29" s="75"/>
      <c r="C29" s="75"/>
      <c r="D29" s="75"/>
      <c r="E29" s="75"/>
      <c r="F29" s="75"/>
      <c r="G29" s="15"/>
      <c r="H29" s="15"/>
      <c r="I29" s="15"/>
      <c r="J29" s="76"/>
      <c r="K29" s="76"/>
      <c r="L29" s="76"/>
      <c r="M29" s="15"/>
      <c r="N29" s="15"/>
      <c r="O29" s="15"/>
      <c r="P29" s="77"/>
      <c r="Q29" s="77"/>
      <c r="R29" s="77"/>
      <c r="S29" s="77"/>
      <c r="T29" s="16"/>
      <c r="U29" s="15">
        <v>0</v>
      </c>
      <c r="V29" s="16"/>
      <c r="W29" s="81"/>
      <c r="X29" s="81"/>
      <c r="Y29" s="81"/>
      <c r="Z29" s="16"/>
      <c r="AA29" s="15">
        <v>0</v>
      </c>
      <c r="AB29" s="16"/>
    </row>
    <row r="30" spans="1:28" ht="15" customHeight="1" x14ac:dyDescent="0.2">
      <c r="A30" s="75"/>
      <c r="B30" s="75"/>
      <c r="C30" s="75"/>
      <c r="D30" s="75"/>
      <c r="E30" s="75"/>
      <c r="F30" s="75"/>
      <c r="G30" s="15"/>
      <c r="H30" s="15"/>
      <c r="I30" s="15"/>
      <c r="J30" s="76"/>
      <c r="K30" s="76"/>
      <c r="L30" s="76"/>
      <c r="M30" s="15"/>
      <c r="N30" s="15"/>
      <c r="O30" s="15"/>
      <c r="P30" s="77"/>
      <c r="Q30" s="77"/>
      <c r="R30" s="77"/>
      <c r="S30" s="77"/>
      <c r="T30" s="16"/>
      <c r="U30" s="15">
        <v>0</v>
      </c>
      <c r="V30" s="16"/>
      <c r="W30" s="81"/>
      <c r="X30" s="81"/>
      <c r="Y30" s="81"/>
      <c r="Z30" s="16"/>
      <c r="AA30" s="15">
        <v>0</v>
      </c>
      <c r="AB30" s="16"/>
    </row>
    <row r="31" spans="1:28" ht="15" customHeight="1" x14ac:dyDescent="0.2">
      <c r="A31" s="75"/>
      <c r="B31" s="75"/>
      <c r="C31" s="75"/>
      <c r="D31" s="75"/>
      <c r="E31" s="75"/>
      <c r="F31" s="75"/>
      <c r="G31" s="15"/>
      <c r="H31" s="15"/>
      <c r="I31" s="15"/>
      <c r="J31" s="76"/>
      <c r="K31" s="76"/>
      <c r="L31" s="76"/>
      <c r="M31" s="15"/>
      <c r="N31" s="15"/>
      <c r="O31" s="15"/>
      <c r="P31" s="77"/>
      <c r="Q31" s="77"/>
      <c r="R31" s="77"/>
      <c r="S31" s="77"/>
      <c r="T31" s="16"/>
      <c r="U31" s="15">
        <v>0</v>
      </c>
      <c r="V31" s="16"/>
      <c r="W31" s="81"/>
      <c r="X31" s="81"/>
      <c r="Y31" s="81"/>
      <c r="Z31" s="16"/>
      <c r="AA31" s="15">
        <v>0</v>
      </c>
      <c r="AB31" s="16"/>
    </row>
    <row r="32" spans="1:28" ht="15" customHeight="1" x14ac:dyDescent="0.2">
      <c r="A32" s="75"/>
      <c r="B32" s="75"/>
      <c r="C32" s="75"/>
      <c r="D32" s="75"/>
      <c r="E32" s="75"/>
      <c r="F32" s="75"/>
      <c r="G32" s="15"/>
      <c r="H32" s="15"/>
      <c r="I32" s="15"/>
      <c r="J32" s="76"/>
      <c r="K32" s="76"/>
      <c r="L32" s="76"/>
      <c r="M32" s="15"/>
      <c r="N32" s="15"/>
      <c r="O32" s="15"/>
      <c r="P32" s="77"/>
      <c r="Q32" s="77"/>
      <c r="R32" s="77"/>
      <c r="S32" s="77"/>
      <c r="T32" s="16"/>
      <c r="U32" s="15">
        <v>0</v>
      </c>
      <c r="V32" s="16"/>
      <c r="W32" s="81"/>
      <c r="X32" s="81"/>
      <c r="Y32" s="81"/>
      <c r="Z32" s="16"/>
      <c r="AA32" s="15">
        <v>0</v>
      </c>
      <c r="AB32" s="16"/>
    </row>
    <row r="33" spans="1:28" ht="15" customHeight="1" x14ac:dyDescent="0.2">
      <c r="A33" s="75"/>
      <c r="B33" s="75"/>
      <c r="C33" s="75"/>
      <c r="D33" s="75"/>
      <c r="E33" s="75"/>
      <c r="F33" s="75"/>
      <c r="G33" s="15"/>
      <c r="H33" s="15"/>
      <c r="I33" s="15"/>
      <c r="J33" s="82"/>
      <c r="K33" s="81"/>
      <c r="L33" s="81"/>
      <c r="M33" s="15"/>
      <c r="N33" s="15"/>
      <c r="O33" s="15"/>
      <c r="P33" s="77"/>
      <c r="Q33" s="77"/>
      <c r="R33" s="77"/>
      <c r="S33" s="77"/>
      <c r="T33" s="16"/>
      <c r="U33" s="15">
        <v>0</v>
      </c>
      <c r="V33" s="16"/>
      <c r="W33" s="81"/>
      <c r="X33" s="81"/>
      <c r="Y33" s="81"/>
      <c r="Z33" s="16"/>
      <c r="AA33" s="15">
        <v>0</v>
      </c>
      <c r="AB33" s="16"/>
    </row>
    <row r="34" spans="1:28" ht="15" customHeight="1" x14ac:dyDescent="0.2">
      <c r="A34" s="75"/>
      <c r="B34" s="75"/>
      <c r="C34" s="75"/>
      <c r="D34" s="75"/>
      <c r="E34" s="75"/>
      <c r="F34" s="75"/>
      <c r="G34" s="15"/>
      <c r="H34" s="15"/>
      <c r="I34" s="15"/>
      <c r="J34" s="76"/>
      <c r="K34" s="76"/>
      <c r="L34" s="76"/>
      <c r="M34" s="15"/>
      <c r="N34" s="15"/>
      <c r="O34" s="15"/>
      <c r="P34" s="77"/>
      <c r="Q34" s="77"/>
      <c r="R34" s="77"/>
      <c r="S34" s="77"/>
      <c r="T34" s="16"/>
      <c r="U34" s="15">
        <v>0</v>
      </c>
      <c r="V34" s="16"/>
      <c r="W34" s="81"/>
      <c r="X34" s="81"/>
      <c r="Y34" s="81"/>
      <c r="Z34" s="16"/>
      <c r="AA34" s="15">
        <v>0</v>
      </c>
      <c r="AB34" s="16"/>
    </row>
    <row r="35" spans="1:28" ht="15" customHeight="1" x14ac:dyDescent="0.2">
      <c r="A35" s="75"/>
      <c r="B35" s="75"/>
      <c r="C35" s="75"/>
      <c r="D35" s="75"/>
      <c r="E35" s="75"/>
      <c r="F35" s="75"/>
      <c r="G35" s="15"/>
      <c r="H35" s="15"/>
      <c r="I35" s="15"/>
      <c r="J35" s="76"/>
      <c r="K35" s="76"/>
      <c r="L35" s="76"/>
      <c r="M35" s="15"/>
      <c r="N35" s="15"/>
      <c r="O35" s="15"/>
      <c r="P35" s="77"/>
      <c r="Q35" s="77"/>
      <c r="R35" s="77"/>
      <c r="S35" s="77"/>
      <c r="T35" s="16"/>
      <c r="U35" s="15">
        <v>0</v>
      </c>
      <c r="V35" s="16"/>
      <c r="W35" s="81"/>
      <c r="X35" s="81"/>
      <c r="Y35" s="81"/>
      <c r="Z35" s="16"/>
      <c r="AA35" s="15">
        <v>0</v>
      </c>
      <c r="AB35" s="16"/>
    </row>
    <row r="36" spans="1:28" ht="15" customHeight="1" x14ac:dyDescent="0.2">
      <c r="A36" s="75"/>
      <c r="B36" s="75"/>
      <c r="C36" s="75"/>
      <c r="D36" s="75"/>
      <c r="E36" s="75"/>
      <c r="F36" s="75"/>
      <c r="G36" s="15"/>
      <c r="H36" s="15"/>
      <c r="I36" s="15"/>
      <c r="J36" s="82"/>
      <c r="K36" s="81"/>
      <c r="L36" s="81"/>
      <c r="M36" s="15"/>
      <c r="N36" s="15"/>
      <c r="O36" s="15"/>
      <c r="P36" s="77"/>
      <c r="Q36" s="77"/>
      <c r="R36" s="77"/>
      <c r="S36" s="77"/>
      <c r="T36" s="16"/>
      <c r="U36" s="15">
        <v>0</v>
      </c>
      <c r="V36" s="16"/>
      <c r="W36" s="81"/>
      <c r="X36" s="81"/>
      <c r="Y36" s="81"/>
      <c r="Z36" s="16"/>
      <c r="AA36" s="15">
        <v>0</v>
      </c>
      <c r="AB36" s="16"/>
    </row>
    <row r="37" spans="1:28" ht="15" customHeight="1" x14ac:dyDescent="0.2">
      <c r="A37" s="75"/>
      <c r="B37" s="75"/>
      <c r="C37" s="75"/>
      <c r="D37" s="75"/>
      <c r="E37" s="75"/>
      <c r="F37" s="75"/>
      <c r="G37" s="15"/>
      <c r="H37" s="15"/>
      <c r="I37" s="15"/>
      <c r="J37" s="81"/>
      <c r="K37" s="81"/>
      <c r="L37" s="81"/>
      <c r="M37" s="15"/>
      <c r="N37" s="15"/>
      <c r="O37" s="15"/>
      <c r="P37" s="77"/>
      <c r="Q37" s="77"/>
      <c r="R37" s="77"/>
      <c r="S37" s="77"/>
      <c r="T37" s="16"/>
      <c r="U37" s="15">
        <v>0</v>
      </c>
      <c r="V37" s="16"/>
      <c r="W37" s="81"/>
      <c r="X37" s="81"/>
      <c r="Y37" s="81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97" t="s">
        <v>71</v>
      </c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97"/>
      <c r="Q39" s="97"/>
      <c r="R39" s="97"/>
      <c r="S39" s="97"/>
      <c r="T39" s="97"/>
      <c r="U39" s="97"/>
      <c r="W39" s="71" t="s">
        <v>34</v>
      </c>
      <c r="X39" s="71"/>
      <c r="Y39" s="71"/>
      <c r="Z39" s="71"/>
      <c r="AA39" s="71"/>
      <c r="AB39" s="71"/>
    </row>
    <row r="40" spans="1:28" ht="22.5" customHeight="1" x14ac:dyDescent="0.2">
      <c r="A40" s="83"/>
      <c r="B40" s="84"/>
      <c r="C40" s="84"/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5"/>
      <c r="W40" s="89"/>
      <c r="X40" s="90"/>
      <c r="Y40" s="90"/>
      <c r="Z40" s="90"/>
      <c r="AA40" s="90"/>
      <c r="AB40" s="91"/>
    </row>
    <row r="41" spans="1:28" ht="26.25" customHeight="1" x14ac:dyDescent="0.2">
      <c r="A41" s="86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  <c r="Q41" s="87"/>
      <c r="R41" s="87"/>
      <c r="S41" s="87"/>
      <c r="T41" s="87"/>
      <c r="U41" s="88"/>
      <c r="V41" s="92"/>
      <c r="W41" s="93" t="s">
        <v>29</v>
      </c>
      <c r="X41" s="71"/>
      <c r="Y41" s="71"/>
      <c r="Z41" s="71"/>
      <c r="AA41" s="71"/>
      <c r="AB41" s="71"/>
    </row>
    <row r="42" spans="1:28" ht="22.5" customHeight="1" x14ac:dyDescent="0.2">
      <c r="A42" s="86"/>
      <c r="B42" s="87"/>
      <c r="C42" s="87"/>
      <c r="D42" s="87"/>
      <c r="E42" s="87"/>
      <c r="F42" s="87"/>
      <c r="G42" s="87"/>
      <c r="H42" s="87"/>
      <c r="I42" s="87"/>
      <c r="J42" s="87"/>
      <c r="K42" s="87"/>
      <c r="L42" s="87"/>
      <c r="M42" s="87"/>
      <c r="N42" s="87"/>
      <c r="O42" s="87"/>
      <c r="P42" s="87"/>
      <c r="Q42" s="87"/>
      <c r="R42" s="87"/>
      <c r="S42" s="87"/>
      <c r="T42" s="87"/>
      <c r="U42" s="88"/>
      <c r="V42" s="92"/>
      <c r="W42" s="94"/>
      <c r="X42" s="95"/>
      <c r="Y42" s="95"/>
      <c r="Z42" s="95"/>
      <c r="AA42" s="95"/>
      <c r="AB42" s="96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1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2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3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4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5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6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7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8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9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0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1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2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3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4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5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6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7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9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0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1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2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3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4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5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6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7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8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9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0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1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2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3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4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5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6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7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8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9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0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1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2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3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4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5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6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7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8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9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0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1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2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3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4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5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6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7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8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9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0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1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2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3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4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5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6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7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8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9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0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1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2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3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4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5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6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7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8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9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0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1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2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3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4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5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6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7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8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9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0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1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2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3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4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5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6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7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8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9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0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1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2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3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4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5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6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7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8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9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0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1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2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3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4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5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6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7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8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9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0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1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2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3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4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5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6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7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8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9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0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1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2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3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4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5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6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7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8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9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0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1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2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3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4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5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6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7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8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9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0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1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2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3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4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5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6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7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8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9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0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1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2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3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4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5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6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7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8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9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0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1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2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3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4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5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6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7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8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9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0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1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2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3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4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5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6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7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8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9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0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1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2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3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4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5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6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7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8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9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0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1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2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3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4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5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6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7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8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9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50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51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52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53" r:id="rId216" name="Button 21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54" r:id="rId217" name="Button 21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55" r:id="rId218" name="Button 215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AC42"/>
  <sheetViews>
    <sheetView showGridLines="0" view="pageBreakPreview" topLeftCell="A7" zoomScaleNormal="100" zoomScaleSheetLayoutView="110" workbookViewId="0">
      <selection activeCell="B3" sqref="B3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39"/>
      <c r="B1" s="19"/>
      <c r="I1" s="40" t="s">
        <v>33</v>
      </c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3"/>
    </row>
    <row r="2" spans="1:29" ht="37.5" customHeight="1" x14ac:dyDescent="0.2">
      <c r="A2" s="39"/>
      <c r="B2" s="19"/>
      <c r="I2" s="42" t="s">
        <v>32</v>
      </c>
      <c r="J2" s="43"/>
      <c r="K2" s="43"/>
      <c r="L2" s="43"/>
      <c r="M2" s="43"/>
      <c r="N2" s="43"/>
      <c r="O2" s="4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4" t="s">
        <v>1</v>
      </c>
      <c r="B4" s="44"/>
      <c r="C4" s="44"/>
      <c r="D4" s="44"/>
      <c r="E4" s="44"/>
      <c r="F4" s="45"/>
      <c r="G4" s="46" t="s">
        <v>56</v>
      </c>
      <c r="H4" s="46"/>
      <c r="I4" s="46"/>
      <c r="J4" s="46"/>
      <c r="K4" s="46"/>
      <c r="L4" s="46"/>
      <c r="M4" s="46"/>
      <c r="N4" s="47" t="s">
        <v>11</v>
      </c>
      <c r="O4" s="47"/>
      <c r="P4" s="47"/>
      <c r="Q4" s="47"/>
      <c r="R4" s="47"/>
      <c r="S4" s="47"/>
      <c r="T4" s="47"/>
      <c r="U4" s="48" t="s">
        <v>39</v>
      </c>
      <c r="V4" s="49"/>
      <c r="W4" s="49"/>
      <c r="X4" s="49"/>
      <c r="Y4" s="49"/>
      <c r="Z4" s="49"/>
      <c r="AA4" s="49"/>
      <c r="AB4" s="50"/>
      <c r="AC4" s="3"/>
    </row>
    <row r="5" spans="1:29" ht="24" customHeight="1" x14ac:dyDescent="0.2">
      <c r="A5" s="44" t="s">
        <v>5</v>
      </c>
      <c r="B5" s="44"/>
      <c r="C5" s="44"/>
      <c r="D5" s="44"/>
      <c r="E5" s="44"/>
      <c r="F5" s="45"/>
      <c r="G5" s="51" t="s">
        <v>40</v>
      </c>
      <c r="H5" s="51"/>
      <c r="I5" s="51"/>
      <c r="J5" s="51"/>
      <c r="K5" s="51"/>
      <c r="L5" s="51"/>
      <c r="M5" s="51"/>
      <c r="N5" s="44" t="s">
        <v>9</v>
      </c>
      <c r="O5" s="44"/>
      <c r="P5" s="44"/>
      <c r="Q5" s="44"/>
      <c r="R5" s="44"/>
      <c r="S5" s="44"/>
      <c r="T5" s="44"/>
      <c r="U5" s="58">
        <v>44256</v>
      </c>
      <c r="V5" s="58"/>
      <c r="W5" s="58"/>
      <c r="X5" s="24" t="s">
        <v>30</v>
      </c>
      <c r="Y5" s="59">
        <v>0.58333333333333337</v>
      </c>
      <c r="Z5" s="60"/>
      <c r="AA5" s="60"/>
      <c r="AB5" s="60"/>
    </row>
    <row r="6" spans="1:29" ht="24" customHeight="1" x14ac:dyDescent="0.2">
      <c r="A6" s="54" t="s">
        <v>7</v>
      </c>
      <c r="B6" s="54"/>
      <c r="C6" s="54"/>
      <c r="D6" s="54"/>
      <c r="E6" s="54"/>
      <c r="F6" s="55"/>
      <c r="G6" s="51" t="s">
        <v>41</v>
      </c>
      <c r="H6" s="51"/>
      <c r="I6" s="51"/>
      <c r="J6" s="51"/>
      <c r="K6" s="51"/>
      <c r="L6" s="51"/>
      <c r="M6" s="51"/>
      <c r="N6" s="61" t="s">
        <v>0</v>
      </c>
      <c r="O6" s="61"/>
      <c r="P6" s="61"/>
      <c r="Q6" s="61"/>
      <c r="R6" s="61"/>
      <c r="S6" s="61"/>
      <c r="T6" s="61"/>
      <c r="U6" s="58">
        <v>44258</v>
      </c>
      <c r="V6" s="58"/>
      <c r="W6" s="58"/>
      <c r="X6" s="24" t="s">
        <v>30</v>
      </c>
      <c r="Y6" s="59">
        <v>0.66666666666666663</v>
      </c>
      <c r="Z6" s="60"/>
      <c r="AA6" s="60"/>
      <c r="AB6" s="60"/>
    </row>
    <row r="7" spans="1:29" ht="24" customHeight="1" x14ac:dyDescent="0.2">
      <c r="A7" s="44" t="s">
        <v>10</v>
      </c>
      <c r="B7" s="44"/>
      <c r="C7" s="44"/>
      <c r="D7" s="44"/>
      <c r="E7" s="44"/>
      <c r="F7" s="45"/>
      <c r="G7" s="51"/>
      <c r="H7" s="51"/>
      <c r="I7" s="51"/>
      <c r="J7" s="51"/>
      <c r="K7" s="51"/>
      <c r="L7" s="51"/>
      <c r="M7" s="51"/>
      <c r="N7" s="52" t="s">
        <v>35</v>
      </c>
      <c r="O7" s="52"/>
      <c r="P7" s="52"/>
      <c r="Q7" s="52"/>
      <c r="R7" s="52"/>
      <c r="S7" s="52"/>
      <c r="T7" s="52"/>
      <c r="U7" s="53" t="s">
        <v>43</v>
      </c>
      <c r="V7" s="53"/>
      <c r="W7" s="53"/>
      <c r="X7" s="53"/>
      <c r="Y7" s="53"/>
      <c r="Z7" s="53"/>
      <c r="AA7" s="53"/>
      <c r="AB7" s="53"/>
    </row>
    <row r="8" spans="1:29" ht="24" customHeight="1" x14ac:dyDescent="0.2">
      <c r="A8" s="54" t="s">
        <v>2</v>
      </c>
      <c r="B8" s="54"/>
      <c r="C8" s="54"/>
      <c r="D8" s="54"/>
      <c r="E8" s="54"/>
      <c r="F8" s="55"/>
      <c r="G8" s="98" t="s">
        <v>58</v>
      </c>
      <c r="H8" s="51"/>
      <c r="I8" s="51"/>
      <c r="J8" s="51"/>
      <c r="K8" s="51"/>
      <c r="L8" s="51"/>
      <c r="M8" s="51"/>
      <c r="N8" s="52" t="s">
        <v>4</v>
      </c>
      <c r="O8" s="52"/>
      <c r="P8" s="52"/>
      <c r="Q8" s="52"/>
      <c r="R8" s="52"/>
      <c r="S8" s="52"/>
      <c r="T8" s="52"/>
      <c r="U8" s="57" t="s">
        <v>42</v>
      </c>
      <c r="V8" s="57"/>
      <c r="W8" s="57"/>
      <c r="X8" s="57"/>
      <c r="Y8" s="57"/>
      <c r="Z8" s="57"/>
      <c r="AA8" s="57"/>
      <c r="AB8" s="57"/>
    </row>
    <row r="9" spans="1:29" ht="24" customHeight="1" x14ac:dyDescent="0.2">
      <c r="A9" s="54" t="s">
        <v>6</v>
      </c>
      <c r="B9" s="54"/>
      <c r="C9" s="54"/>
      <c r="D9" s="54"/>
      <c r="E9" s="54"/>
      <c r="F9" s="55"/>
      <c r="G9" s="99" t="s">
        <v>57</v>
      </c>
      <c r="H9" s="99"/>
      <c r="I9" s="99"/>
      <c r="J9" s="99"/>
      <c r="K9" s="99"/>
      <c r="L9" s="99"/>
      <c r="M9" s="99"/>
      <c r="N9" s="52" t="s">
        <v>31</v>
      </c>
      <c r="O9" s="52"/>
      <c r="P9" s="52"/>
      <c r="Q9" s="52"/>
      <c r="R9" s="52"/>
      <c r="S9" s="52"/>
      <c r="T9" s="52"/>
      <c r="U9" s="53" t="s">
        <v>44</v>
      </c>
      <c r="V9" s="53"/>
      <c r="W9" s="53"/>
      <c r="X9" s="53"/>
      <c r="Y9" s="53"/>
      <c r="Z9" s="53"/>
      <c r="AA9" s="53"/>
      <c r="AB9" s="53"/>
    </row>
    <row r="10" spans="1:29" ht="6" customHeight="1" x14ac:dyDescent="0.2">
      <c r="U10" s="7"/>
      <c r="V10" s="7"/>
      <c r="W10" s="7"/>
    </row>
    <row r="11" spans="1:29" ht="23.25" customHeight="1" x14ac:dyDescent="0.2">
      <c r="A11" s="63" t="s">
        <v>8</v>
      </c>
      <c r="B11" s="63"/>
      <c r="C11" s="63"/>
      <c r="D11" s="63"/>
      <c r="E11" s="63"/>
      <c r="F11" s="63"/>
      <c r="G11" s="63"/>
      <c r="H11" s="63"/>
      <c r="I11" s="63"/>
      <c r="J11" s="63"/>
      <c r="K11" s="63"/>
      <c r="L11" s="63"/>
      <c r="M11" s="18"/>
      <c r="N11" s="52" t="s">
        <v>12</v>
      </c>
      <c r="O11" s="52"/>
      <c r="P11" s="52"/>
      <c r="Q11" s="52"/>
      <c r="R11" s="52"/>
      <c r="S11" s="51"/>
      <c r="T11" s="51"/>
      <c r="U11" s="52" t="s">
        <v>13</v>
      </c>
      <c r="V11" s="52"/>
      <c r="W11" s="52"/>
      <c r="X11" s="52"/>
      <c r="Y11" s="52"/>
      <c r="Z11" s="52"/>
      <c r="AA11" s="48"/>
      <c r="AB11" s="50"/>
    </row>
    <row r="12" spans="1:29" ht="6" customHeight="1" x14ac:dyDescent="0.2"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</row>
    <row r="13" spans="1:29" ht="36" customHeight="1" x14ac:dyDescent="0.2">
      <c r="A13" s="71" t="s">
        <v>36</v>
      </c>
      <c r="B13" s="65"/>
      <c r="C13" s="65"/>
      <c r="D13" s="65"/>
      <c r="E13" s="65"/>
      <c r="F13" s="25" t="s">
        <v>37</v>
      </c>
      <c r="G13" s="64" t="s">
        <v>14</v>
      </c>
      <c r="H13" s="64"/>
      <c r="I13" s="64"/>
      <c r="J13" s="72">
        <v>82.99436462231462</v>
      </c>
      <c r="K13" s="73"/>
      <c r="L13" s="64" t="s">
        <v>15</v>
      </c>
      <c r="M13" s="64"/>
      <c r="N13" s="64"/>
      <c r="O13" s="48" t="s">
        <v>45</v>
      </c>
      <c r="P13" s="49"/>
      <c r="Q13" s="50"/>
      <c r="R13" s="64" t="s">
        <v>16</v>
      </c>
      <c r="S13" s="64"/>
      <c r="T13" s="64"/>
      <c r="U13" s="51" t="s">
        <v>45</v>
      </c>
      <c r="V13" s="51"/>
      <c r="W13" s="64" t="s">
        <v>17</v>
      </c>
      <c r="X13" s="64"/>
      <c r="Y13" s="64"/>
      <c r="Z13" s="64"/>
      <c r="AA13" s="51" t="s">
        <v>45</v>
      </c>
      <c r="AB13" s="51"/>
    </row>
    <row r="14" spans="1:29" ht="27" customHeight="1" x14ac:dyDescent="0.2">
      <c r="A14" s="65" t="s">
        <v>3</v>
      </c>
      <c r="B14" s="65"/>
      <c r="C14" s="65"/>
      <c r="D14" s="65"/>
      <c r="E14" s="65"/>
      <c r="F14" s="25"/>
      <c r="G14" s="64" t="s">
        <v>18</v>
      </c>
      <c r="H14" s="64"/>
      <c r="I14" s="64"/>
      <c r="J14" s="64"/>
      <c r="K14" s="64"/>
      <c r="L14" s="64"/>
      <c r="M14" s="66"/>
      <c r="N14" s="67"/>
      <c r="O14" s="67"/>
      <c r="P14" s="67"/>
      <c r="Q14" s="68"/>
      <c r="R14" s="64" t="s">
        <v>19</v>
      </c>
      <c r="S14" s="64"/>
      <c r="T14" s="64"/>
      <c r="U14" s="64"/>
      <c r="V14" s="64"/>
      <c r="W14" s="69"/>
      <c r="X14" s="69"/>
      <c r="Y14" s="69"/>
      <c r="Z14" s="69"/>
      <c r="AA14" s="69"/>
      <c r="AB14" s="69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78" t="s">
        <v>20</v>
      </c>
      <c r="B17" s="79"/>
      <c r="C17" s="79"/>
      <c r="D17" s="79"/>
      <c r="E17" s="79"/>
      <c r="F17" s="80"/>
      <c r="G17" s="74" t="s">
        <v>21</v>
      </c>
      <c r="H17" s="74"/>
      <c r="I17" s="74"/>
      <c r="J17" s="74" t="s">
        <v>23</v>
      </c>
      <c r="K17" s="74"/>
      <c r="L17" s="74"/>
      <c r="M17" s="74" t="s">
        <v>24</v>
      </c>
      <c r="N17" s="74"/>
      <c r="O17" s="74"/>
      <c r="P17" s="74" t="s">
        <v>22</v>
      </c>
      <c r="Q17" s="74"/>
      <c r="R17" s="74"/>
      <c r="S17" s="74"/>
      <c r="T17" s="74" t="s">
        <v>25</v>
      </c>
      <c r="U17" s="74"/>
      <c r="V17" s="74"/>
      <c r="W17" s="74" t="s">
        <v>26</v>
      </c>
      <c r="X17" s="74"/>
      <c r="Y17" s="74"/>
      <c r="Z17" s="74" t="s">
        <v>27</v>
      </c>
      <c r="AA17" s="74"/>
      <c r="AB17" s="74"/>
    </row>
    <row r="18" spans="1:28" ht="15" customHeight="1" x14ac:dyDescent="0.2">
      <c r="A18" s="75" t="s">
        <v>38</v>
      </c>
      <c r="B18" s="75"/>
      <c r="C18" s="75"/>
      <c r="D18" s="75"/>
      <c r="E18" s="75"/>
      <c r="F18" s="75"/>
      <c r="G18" s="15">
        <v>-5</v>
      </c>
      <c r="H18" s="15">
        <v>18</v>
      </c>
      <c r="I18" s="15"/>
      <c r="J18" s="81"/>
      <c r="K18" s="81"/>
      <c r="L18" s="81"/>
      <c r="M18" s="15"/>
      <c r="N18" s="15">
        <v>0</v>
      </c>
      <c r="O18" s="15"/>
      <c r="P18" s="77"/>
      <c r="Q18" s="77"/>
      <c r="R18" s="77"/>
      <c r="S18" s="77"/>
      <c r="T18" s="16"/>
      <c r="U18" s="15">
        <v>0</v>
      </c>
      <c r="V18" s="16"/>
      <c r="W18" s="77"/>
      <c r="X18" s="77"/>
      <c r="Y18" s="77"/>
      <c r="Z18" s="16"/>
      <c r="AA18" s="15">
        <v>0</v>
      </c>
      <c r="AB18" s="16"/>
    </row>
    <row r="19" spans="1:28" ht="15" customHeight="1" x14ac:dyDescent="0.2">
      <c r="A19" s="75"/>
      <c r="B19" s="75"/>
      <c r="C19" s="75"/>
      <c r="D19" s="75"/>
      <c r="E19" s="75"/>
      <c r="F19" s="75"/>
      <c r="G19" s="15"/>
      <c r="H19" s="15"/>
      <c r="I19" s="15"/>
      <c r="J19" s="81"/>
      <c r="K19" s="81"/>
      <c r="L19" s="81"/>
      <c r="M19" s="15"/>
      <c r="N19" s="15">
        <v>0</v>
      </c>
      <c r="O19" s="15"/>
      <c r="P19" s="77"/>
      <c r="Q19" s="77"/>
      <c r="R19" s="77"/>
      <c r="S19" s="77"/>
      <c r="T19" s="16"/>
      <c r="U19" s="15">
        <v>0</v>
      </c>
      <c r="V19" s="16"/>
      <c r="W19" s="77"/>
      <c r="X19" s="77"/>
      <c r="Y19" s="77"/>
      <c r="Z19" s="16"/>
      <c r="AA19" s="15">
        <v>0</v>
      </c>
      <c r="AB19" s="16"/>
    </row>
    <row r="20" spans="1:28" ht="15" customHeight="1" x14ac:dyDescent="0.2">
      <c r="A20" s="75"/>
      <c r="B20" s="75"/>
      <c r="C20" s="75"/>
      <c r="D20" s="75"/>
      <c r="E20" s="75"/>
      <c r="F20" s="75"/>
      <c r="G20" s="15"/>
      <c r="H20" s="15"/>
      <c r="I20" s="15"/>
      <c r="J20" s="81"/>
      <c r="K20" s="81"/>
      <c r="L20" s="81"/>
      <c r="M20" s="15"/>
      <c r="N20" s="15">
        <v>0</v>
      </c>
      <c r="O20" s="15"/>
      <c r="P20" s="77"/>
      <c r="Q20" s="77"/>
      <c r="R20" s="77"/>
      <c r="S20" s="77"/>
      <c r="T20" s="16"/>
      <c r="U20" s="15">
        <v>0</v>
      </c>
      <c r="V20" s="16"/>
      <c r="W20" s="77"/>
      <c r="X20" s="77"/>
      <c r="Y20" s="77"/>
      <c r="Z20" s="17"/>
      <c r="AA20" s="15">
        <v>0</v>
      </c>
      <c r="AB20" s="16"/>
    </row>
    <row r="21" spans="1:28" ht="15" customHeight="1" x14ac:dyDescent="0.2">
      <c r="A21" s="75"/>
      <c r="B21" s="75"/>
      <c r="C21" s="75"/>
      <c r="D21" s="75"/>
      <c r="E21" s="75"/>
      <c r="F21" s="75"/>
      <c r="G21" s="15"/>
      <c r="H21" s="15"/>
      <c r="I21" s="15"/>
      <c r="J21" s="81"/>
      <c r="K21" s="81"/>
      <c r="L21" s="81"/>
      <c r="M21" s="15"/>
      <c r="N21" s="15">
        <v>0</v>
      </c>
      <c r="O21" s="15"/>
      <c r="P21" s="77"/>
      <c r="Q21" s="77"/>
      <c r="R21" s="77"/>
      <c r="S21" s="77"/>
      <c r="T21" s="16"/>
      <c r="U21" s="15">
        <v>0</v>
      </c>
      <c r="V21" s="16"/>
      <c r="W21" s="81"/>
      <c r="X21" s="81"/>
      <c r="Y21" s="81"/>
      <c r="Z21" s="16"/>
      <c r="AA21" s="15">
        <v>0</v>
      </c>
      <c r="AB21" s="16"/>
    </row>
    <row r="22" spans="1:28" ht="15" customHeight="1" x14ac:dyDescent="0.2">
      <c r="A22" s="75"/>
      <c r="B22" s="75"/>
      <c r="C22" s="75"/>
      <c r="D22" s="75"/>
      <c r="E22" s="75"/>
      <c r="F22" s="75"/>
      <c r="G22" s="15"/>
      <c r="H22" s="15"/>
      <c r="I22" s="15"/>
      <c r="J22" s="81"/>
      <c r="K22" s="81"/>
      <c r="L22" s="81"/>
      <c r="M22" s="15"/>
      <c r="N22" s="15">
        <v>0</v>
      </c>
      <c r="O22" s="15"/>
      <c r="P22" s="77"/>
      <c r="Q22" s="77"/>
      <c r="R22" s="77"/>
      <c r="S22" s="77"/>
      <c r="T22" s="16"/>
      <c r="U22" s="15">
        <v>0</v>
      </c>
      <c r="V22" s="16"/>
      <c r="W22" s="81"/>
      <c r="X22" s="81"/>
      <c r="Y22" s="81"/>
      <c r="Z22" s="16"/>
      <c r="AA22" s="15">
        <v>0</v>
      </c>
      <c r="AB22" s="16"/>
    </row>
    <row r="23" spans="1:28" ht="15" customHeight="1" x14ac:dyDescent="0.2">
      <c r="A23" s="75"/>
      <c r="B23" s="75"/>
      <c r="C23" s="75"/>
      <c r="D23" s="75"/>
      <c r="E23" s="75"/>
      <c r="F23" s="75"/>
      <c r="G23" s="15"/>
      <c r="H23" s="15"/>
      <c r="I23" s="15"/>
      <c r="J23" s="81"/>
      <c r="K23" s="81"/>
      <c r="L23" s="81"/>
      <c r="M23" s="15"/>
      <c r="N23" s="15">
        <v>0</v>
      </c>
      <c r="O23" s="15"/>
      <c r="P23" s="77"/>
      <c r="Q23" s="77"/>
      <c r="R23" s="77"/>
      <c r="S23" s="77"/>
      <c r="T23" s="16"/>
      <c r="U23" s="15">
        <v>0</v>
      </c>
      <c r="V23" s="16"/>
      <c r="W23" s="81"/>
      <c r="X23" s="81"/>
      <c r="Y23" s="81"/>
      <c r="Z23" s="16"/>
      <c r="AA23" s="15">
        <v>0</v>
      </c>
      <c r="AB23" s="16"/>
    </row>
    <row r="24" spans="1:28" ht="15" customHeight="1" x14ac:dyDescent="0.2">
      <c r="A24" s="75"/>
      <c r="B24" s="75"/>
      <c r="C24" s="75"/>
      <c r="D24" s="75"/>
      <c r="E24" s="75"/>
      <c r="F24" s="75"/>
      <c r="G24" s="15"/>
      <c r="H24" s="15"/>
      <c r="I24" s="15"/>
      <c r="J24" s="81"/>
      <c r="K24" s="81"/>
      <c r="L24" s="81"/>
      <c r="M24" s="15"/>
      <c r="N24" s="15">
        <v>0</v>
      </c>
      <c r="O24" s="15"/>
      <c r="P24" s="77"/>
      <c r="Q24" s="77"/>
      <c r="R24" s="77"/>
      <c r="S24" s="77"/>
      <c r="T24" s="16"/>
      <c r="U24" s="15">
        <v>0</v>
      </c>
      <c r="V24" s="16"/>
      <c r="W24" s="81"/>
      <c r="X24" s="81"/>
      <c r="Y24" s="81"/>
      <c r="Z24" s="16"/>
      <c r="AA24" s="15">
        <v>0</v>
      </c>
      <c r="AB24" s="16"/>
    </row>
    <row r="25" spans="1:28" ht="15" customHeight="1" x14ac:dyDescent="0.2">
      <c r="A25" s="75"/>
      <c r="B25" s="75"/>
      <c r="C25" s="75"/>
      <c r="D25" s="75"/>
      <c r="E25" s="75"/>
      <c r="F25" s="75"/>
      <c r="G25" s="15"/>
      <c r="H25" s="15"/>
      <c r="I25" s="15"/>
      <c r="J25" s="81"/>
      <c r="K25" s="81"/>
      <c r="L25" s="81"/>
      <c r="M25" s="15"/>
      <c r="N25" s="15">
        <v>0</v>
      </c>
      <c r="O25" s="15"/>
      <c r="P25" s="77"/>
      <c r="Q25" s="77"/>
      <c r="R25" s="77"/>
      <c r="S25" s="77"/>
      <c r="T25" s="16"/>
      <c r="U25" s="15">
        <v>0</v>
      </c>
      <c r="V25" s="16"/>
      <c r="W25" s="81"/>
      <c r="X25" s="81"/>
      <c r="Y25" s="81"/>
      <c r="Z25" s="16"/>
      <c r="AA25" s="15">
        <v>0</v>
      </c>
      <c r="AB25" s="16"/>
    </row>
    <row r="26" spans="1:28" ht="15" customHeight="1" x14ac:dyDescent="0.2">
      <c r="A26" s="75"/>
      <c r="B26" s="75"/>
      <c r="C26" s="75"/>
      <c r="D26" s="75"/>
      <c r="E26" s="75"/>
      <c r="F26" s="75"/>
      <c r="G26" s="15"/>
      <c r="H26" s="15"/>
      <c r="I26" s="15"/>
      <c r="J26" s="81"/>
      <c r="K26" s="81"/>
      <c r="L26" s="81"/>
      <c r="M26" s="15"/>
      <c r="N26" s="15">
        <v>0</v>
      </c>
      <c r="O26" s="15"/>
      <c r="P26" s="77"/>
      <c r="Q26" s="77"/>
      <c r="R26" s="77"/>
      <c r="S26" s="77"/>
      <c r="T26" s="16"/>
      <c r="U26" s="15">
        <v>0</v>
      </c>
      <c r="V26" s="16"/>
      <c r="W26" s="81"/>
      <c r="X26" s="81"/>
      <c r="Y26" s="81"/>
      <c r="Z26" s="16"/>
      <c r="AA26" s="15">
        <v>0</v>
      </c>
      <c r="AB26" s="16"/>
    </row>
    <row r="27" spans="1:28" ht="15" customHeight="1" x14ac:dyDescent="0.2">
      <c r="A27" s="75"/>
      <c r="B27" s="75"/>
      <c r="C27" s="75"/>
      <c r="D27" s="75"/>
      <c r="E27" s="75"/>
      <c r="F27" s="75"/>
      <c r="G27" s="15"/>
      <c r="H27" s="15">
        <v>0</v>
      </c>
      <c r="I27" s="15"/>
      <c r="J27" s="81"/>
      <c r="K27" s="81"/>
      <c r="L27" s="81"/>
      <c r="M27" s="15"/>
      <c r="N27" s="15">
        <v>0</v>
      </c>
      <c r="O27" s="15"/>
      <c r="P27" s="77"/>
      <c r="Q27" s="77"/>
      <c r="R27" s="77"/>
      <c r="S27" s="77"/>
      <c r="T27" s="16"/>
      <c r="U27" s="15">
        <v>0</v>
      </c>
      <c r="V27" s="16"/>
      <c r="W27" s="81"/>
      <c r="X27" s="81"/>
      <c r="Y27" s="81"/>
      <c r="Z27" s="16"/>
      <c r="AA27" s="15">
        <v>0</v>
      </c>
      <c r="AB27" s="16"/>
    </row>
    <row r="28" spans="1:28" ht="15" customHeight="1" x14ac:dyDescent="0.2">
      <c r="A28" s="75"/>
      <c r="B28" s="75"/>
      <c r="C28" s="75"/>
      <c r="D28" s="75"/>
      <c r="E28" s="75"/>
      <c r="F28" s="75"/>
      <c r="G28" s="15"/>
      <c r="H28" s="15">
        <v>0</v>
      </c>
      <c r="I28" s="15"/>
      <c r="J28" s="81"/>
      <c r="K28" s="81"/>
      <c r="L28" s="81"/>
      <c r="M28" s="15"/>
      <c r="N28" s="15">
        <v>0</v>
      </c>
      <c r="O28" s="15"/>
      <c r="P28" s="77"/>
      <c r="Q28" s="77"/>
      <c r="R28" s="77"/>
      <c r="S28" s="77"/>
      <c r="T28" s="16"/>
      <c r="U28" s="15">
        <v>0</v>
      </c>
      <c r="V28" s="16"/>
      <c r="W28" s="81"/>
      <c r="X28" s="81"/>
      <c r="Y28" s="81"/>
      <c r="Z28" s="16"/>
      <c r="AA28" s="15">
        <v>0</v>
      </c>
      <c r="AB28" s="16"/>
    </row>
    <row r="29" spans="1:28" ht="15" customHeight="1" x14ac:dyDescent="0.2">
      <c r="A29" s="75"/>
      <c r="B29" s="75"/>
      <c r="C29" s="75"/>
      <c r="D29" s="75"/>
      <c r="E29" s="75"/>
      <c r="F29" s="75"/>
      <c r="G29" s="15"/>
      <c r="H29" s="15">
        <v>0</v>
      </c>
      <c r="I29" s="15"/>
      <c r="J29" s="81"/>
      <c r="K29" s="81"/>
      <c r="L29" s="81"/>
      <c r="M29" s="15"/>
      <c r="N29" s="15">
        <v>0</v>
      </c>
      <c r="O29" s="15"/>
      <c r="P29" s="77"/>
      <c r="Q29" s="77"/>
      <c r="R29" s="77"/>
      <c r="S29" s="77"/>
      <c r="T29" s="16"/>
      <c r="U29" s="15">
        <v>0</v>
      </c>
      <c r="V29" s="16"/>
      <c r="W29" s="81"/>
      <c r="X29" s="81"/>
      <c r="Y29" s="81"/>
      <c r="Z29" s="16"/>
      <c r="AA29" s="15">
        <v>0</v>
      </c>
      <c r="AB29" s="16"/>
    </row>
    <row r="30" spans="1:28" ht="15" customHeight="1" x14ac:dyDescent="0.2">
      <c r="A30" s="75"/>
      <c r="B30" s="75"/>
      <c r="C30" s="75"/>
      <c r="D30" s="75"/>
      <c r="E30" s="75"/>
      <c r="F30" s="75"/>
      <c r="G30" s="15"/>
      <c r="H30" s="15">
        <v>0</v>
      </c>
      <c r="I30" s="15"/>
      <c r="J30" s="81"/>
      <c r="K30" s="81"/>
      <c r="L30" s="81"/>
      <c r="M30" s="15"/>
      <c r="N30" s="15">
        <v>0</v>
      </c>
      <c r="O30" s="15"/>
      <c r="P30" s="77"/>
      <c r="Q30" s="77"/>
      <c r="R30" s="77"/>
      <c r="S30" s="77"/>
      <c r="T30" s="16"/>
      <c r="U30" s="15">
        <v>0</v>
      </c>
      <c r="V30" s="16"/>
      <c r="W30" s="81"/>
      <c r="X30" s="81"/>
      <c r="Y30" s="81"/>
      <c r="Z30" s="16"/>
      <c r="AA30" s="15">
        <v>0</v>
      </c>
      <c r="AB30" s="16"/>
    </row>
    <row r="31" spans="1:28" ht="15" customHeight="1" x14ac:dyDescent="0.2">
      <c r="A31" s="75"/>
      <c r="B31" s="75"/>
      <c r="C31" s="75"/>
      <c r="D31" s="75"/>
      <c r="E31" s="75"/>
      <c r="F31" s="75"/>
      <c r="G31" s="15"/>
      <c r="H31" s="15">
        <v>0</v>
      </c>
      <c r="I31" s="15"/>
      <c r="J31" s="81"/>
      <c r="K31" s="81"/>
      <c r="L31" s="81"/>
      <c r="M31" s="15"/>
      <c r="N31" s="15">
        <v>0</v>
      </c>
      <c r="O31" s="15"/>
      <c r="P31" s="77"/>
      <c r="Q31" s="77"/>
      <c r="R31" s="77"/>
      <c r="S31" s="77"/>
      <c r="T31" s="16"/>
      <c r="U31" s="15">
        <v>0</v>
      </c>
      <c r="V31" s="16"/>
      <c r="W31" s="81"/>
      <c r="X31" s="81"/>
      <c r="Y31" s="81"/>
      <c r="Z31" s="16"/>
      <c r="AA31" s="15">
        <v>0</v>
      </c>
      <c r="AB31" s="16"/>
    </row>
    <row r="32" spans="1:28" ht="15" customHeight="1" x14ac:dyDescent="0.2">
      <c r="A32" s="75"/>
      <c r="B32" s="75"/>
      <c r="C32" s="75"/>
      <c r="D32" s="75"/>
      <c r="E32" s="75"/>
      <c r="F32" s="75"/>
      <c r="G32" s="15"/>
      <c r="H32" s="15">
        <v>0</v>
      </c>
      <c r="I32" s="15"/>
      <c r="J32" s="81"/>
      <c r="K32" s="81"/>
      <c r="L32" s="81"/>
      <c r="M32" s="15"/>
      <c r="N32" s="15">
        <v>0</v>
      </c>
      <c r="O32" s="15"/>
      <c r="P32" s="77"/>
      <c r="Q32" s="77"/>
      <c r="R32" s="77"/>
      <c r="S32" s="77"/>
      <c r="T32" s="16"/>
      <c r="U32" s="15">
        <v>0</v>
      </c>
      <c r="V32" s="16"/>
      <c r="W32" s="81"/>
      <c r="X32" s="81"/>
      <c r="Y32" s="81"/>
      <c r="Z32" s="16"/>
      <c r="AA32" s="15">
        <v>0</v>
      </c>
      <c r="AB32" s="16"/>
    </row>
    <row r="33" spans="1:28" ht="15" customHeight="1" x14ac:dyDescent="0.2">
      <c r="A33" s="75"/>
      <c r="B33" s="75"/>
      <c r="C33" s="75"/>
      <c r="D33" s="75"/>
      <c r="E33" s="75"/>
      <c r="F33" s="75"/>
      <c r="G33" s="15"/>
      <c r="H33" s="15">
        <v>0</v>
      </c>
      <c r="I33" s="15"/>
      <c r="J33" s="81"/>
      <c r="K33" s="81"/>
      <c r="L33" s="81"/>
      <c r="M33" s="15"/>
      <c r="N33" s="15">
        <v>0</v>
      </c>
      <c r="O33" s="15"/>
      <c r="P33" s="77"/>
      <c r="Q33" s="77"/>
      <c r="R33" s="77"/>
      <c r="S33" s="77"/>
      <c r="T33" s="16"/>
      <c r="U33" s="15">
        <v>0</v>
      </c>
      <c r="V33" s="16"/>
      <c r="W33" s="81"/>
      <c r="X33" s="81"/>
      <c r="Y33" s="81"/>
      <c r="Z33" s="16"/>
      <c r="AA33" s="15">
        <v>0</v>
      </c>
      <c r="AB33" s="16"/>
    </row>
    <row r="34" spans="1:28" ht="15" customHeight="1" x14ac:dyDescent="0.2">
      <c r="A34" s="75"/>
      <c r="B34" s="75"/>
      <c r="C34" s="75"/>
      <c r="D34" s="75"/>
      <c r="E34" s="75"/>
      <c r="F34" s="75"/>
      <c r="G34" s="15"/>
      <c r="H34" s="15">
        <v>0</v>
      </c>
      <c r="I34" s="15"/>
      <c r="J34" s="81"/>
      <c r="K34" s="81"/>
      <c r="L34" s="81"/>
      <c r="M34" s="15"/>
      <c r="N34" s="15">
        <v>0</v>
      </c>
      <c r="O34" s="15"/>
      <c r="P34" s="77"/>
      <c r="Q34" s="77"/>
      <c r="R34" s="77"/>
      <c r="S34" s="77"/>
      <c r="T34" s="16"/>
      <c r="U34" s="15">
        <v>0</v>
      </c>
      <c r="V34" s="16"/>
      <c r="W34" s="81"/>
      <c r="X34" s="81"/>
      <c r="Y34" s="81"/>
      <c r="Z34" s="16"/>
      <c r="AA34" s="15">
        <v>0</v>
      </c>
      <c r="AB34" s="16"/>
    </row>
    <row r="35" spans="1:28" ht="15" customHeight="1" x14ac:dyDescent="0.2">
      <c r="A35" s="75"/>
      <c r="B35" s="75"/>
      <c r="C35" s="75"/>
      <c r="D35" s="75"/>
      <c r="E35" s="75"/>
      <c r="F35" s="75"/>
      <c r="G35" s="15"/>
      <c r="H35" s="15">
        <v>0</v>
      </c>
      <c r="I35" s="15"/>
      <c r="J35" s="81"/>
      <c r="K35" s="81"/>
      <c r="L35" s="81"/>
      <c r="M35" s="15"/>
      <c r="N35" s="15">
        <v>0</v>
      </c>
      <c r="O35" s="15"/>
      <c r="P35" s="77"/>
      <c r="Q35" s="77"/>
      <c r="R35" s="77"/>
      <c r="S35" s="77"/>
      <c r="T35" s="16"/>
      <c r="U35" s="15">
        <v>0</v>
      </c>
      <c r="V35" s="16"/>
      <c r="W35" s="81"/>
      <c r="X35" s="81"/>
      <c r="Y35" s="81"/>
      <c r="Z35" s="16"/>
      <c r="AA35" s="15">
        <v>0</v>
      </c>
      <c r="AB35" s="16"/>
    </row>
    <row r="36" spans="1:28" ht="15" customHeight="1" x14ac:dyDescent="0.2">
      <c r="A36" s="75"/>
      <c r="B36" s="75"/>
      <c r="C36" s="75"/>
      <c r="D36" s="75"/>
      <c r="E36" s="75"/>
      <c r="F36" s="75"/>
      <c r="G36" s="15"/>
      <c r="H36" s="15">
        <v>0</v>
      </c>
      <c r="I36" s="15"/>
      <c r="J36" s="81"/>
      <c r="K36" s="81"/>
      <c r="L36" s="81"/>
      <c r="M36" s="15"/>
      <c r="N36" s="15">
        <v>0</v>
      </c>
      <c r="O36" s="15"/>
      <c r="P36" s="77"/>
      <c r="Q36" s="77"/>
      <c r="R36" s="77"/>
      <c r="S36" s="77"/>
      <c r="T36" s="16"/>
      <c r="U36" s="15">
        <v>0</v>
      </c>
      <c r="V36" s="16"/>
      <c r="W36" s="81"/>
      <c r="X36" s="81"/>
      <c r="Y36" s="81"/>
      <c r="Z36" s="16"/>
      <c r="AA36" s="15">
        <v>0</v>
      </c>
      <c r="AB36" s="16"/>
    </row>
    <row r="37" spans="1:28" ht="15" customHeight="1" x14ac:dyDescent="0.2">
      <c r="A37" s="75"/>
      <c r="B37" s="75"/>
      <c r="C37" s="75"/>
      <c r="D37" s="75"/>
      <c r="E37" s="75"/>
      <c r="F37" s="75"/>
      <c r="G37" s="15"/>
      <c r="H37" s="15">
        <v>0</v>
      </c>
      <c r="I37" s="15"/>
      <c r="J37" s="81"/>
      <c r="K37" s="81"/>
      <c r="L37" s="81"/>
      <c r="M37" s="15"/>
      <c r="N37" s="15">
        <v>0</v>
      </c>
      <c r="O37" s="15"/>
      <c r="P37" s="77"/>
      <c r="Q37" s="77"/>
      <c r="R37" s="77"/>
      <c r="S37" s="77"/>
      <c r="T37" s="16"/>
      <c r="U37" s="15">
        <v>0</v>
      </c>
      <c r="V37" s="16"/>
      <c r="W37" s="81"/>
      <c r="X37" s="81"/>
      <c r="Y37" s="81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97" t="s">
        <v>28</v>
      </c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97"/>
      <c r="Q39" s="97"/>
      <c r="R39" s="97"/>
      <c r="S39" s="97"/>
      <c r="T39" s="97"/>
      <c r="U39" s="97"/>
      <c r="W39" s="71" t="s">
        <v>34</v>
      </c>
      <c r="X39" s="71"/>
      <c r="Y39" s="71"/>
      <c r="Z39" s="71"/>
      <c r="AA39" s="71"/>
      <c r="AB39" s="71"/>
    </row>
    <row r="40" spans="1:28" ht="22.5" customHeight="1" x14ac:dyDescent="0.2">
      <c r="A40" s="83"/>
      <c r="B40" s="84"/>
      <c r="C40" s="84"/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5"/>
      <c r="W40" s="89"/>
      <c r="X40" s="90"/>
      <c r="Y40" s="90"/>
      <c r="Z40" s="90"/>
      <c r="AA40" s="90"/>
      <c r="AB40" s="91"/>
    </row>
    <row r="41" spans="1:28" ht="26.25" customHeight="1" x14ac:dyDescent="0.2">
      <c r="A41" s="86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  <c r="Q41" s="87"/>
      <c r="R41" s="87"/>
      <c r="S41" s="87"/>
      <c r="T41" s="87"/>
      <c r="U41" s="88"/>
      <c r="V41" s="92"/>
      <c r="W41" s="93" t="s">
        <v>29</v>
      </c>
      <c r="X41" s="71"/>
      <c r="Y41" s="71"/>
      <c r="Z41" s="71"/>
      <c r="AA41" s="71"/>
      <c r="AB41" s="71"/>
    </row>
    <row r="42" spans="1:28" ht="22.5" customHeight="1" x14ac:dyDescent="0.2">
      <c r="A42" s="86"/>
      <c r="B42" s="87"/>
      <c r="C42" s="87"/>
      <c r="D42" s="87"/>
      <c r="E42" s="87"/>
      <c r="F42" s="87"/>
      <c r="G42" s="87"/>
      <c r="H42" s="87"/>
      <c r="I42" s="87"/>
      <c r="J42" s="87"/>
      <c r="K42" s="87"/>
      <c r="L42" s="87"/>
      <c r="M42" s="87"/>
      <c r="N42" s="87"/>
      <c r="O42" s="87"/>
      <c r="P42" s="87"/>
      <c r="Q42" s="87"/>
      <c r="R42" s="87"/>
      <c r="S42" s="87"/>
      <c r="T42" s="87"/>
      <c r="U42" s="88"/>
      <c r="V42" s="92"/>
      <c r="W42" s="94"/>
      <c r="X42" s="95"/>
      <c r="Y42" s="95"/>
      <c r="Z42" s="95"/>
      <c r="AA42" s="95"/>
      <c r="AB42" s="96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2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3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4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5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6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7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8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9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0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1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2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3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4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5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6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7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8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9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0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1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2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3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4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5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6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7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8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9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0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1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2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3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4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5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6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7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8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9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0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1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2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3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4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5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6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7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8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9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0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1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2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3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4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5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6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7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8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9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0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81"/>
  <sheetViews>
    <sheetView workbookViewId="0">
      <selection activeCell="H2" sqref="H2"/>
    </sheetView>
  </sheetViews>
  <sheetFormatPr baseColWidth="10" defaultRowHeight="12.75" x14ac:dyDescent="0.2"/>
  <cols>
    <col min="1" max="1" width="10.7109375" style="26" bestFit="1" customWidth="1"/>
    <col min="2" max="2" width="15.570312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14.85546875" style="26" bestFit="1" customWidth="1"/>
    <col min="8" max="8" width="21.7109375" style="26" bestFit="1" customWidth="1"/>
    <col min="9" max="9" width="8.57031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46</v>
      </c>
      <c r="B1" s="30" t="s">
        <v>47</v>
      </c>
      <c r="C1" s="30" t="s">
        <v>48</v>
      </c>
      <c r="D1" s="30" t="s">
        <v>49</v>
      </c>
      <c r="E1" s="30" t="s">
        <v>50</v>
      </c>
      <c r="F1" s="30" t="s">
        <v>51</v>
      </c>
      <c r="G1" s="30" t="s">
        <v>52</v>
      </c>
      <c r="H1" s="30" t="s">
        <v>53</v>
      </c>
      <c r="I1" s="30" t="s">
        <v>54</v>
      </c>
      <c r="J1" s="30" t="s">
        <v>55</v>
      </c>
    </row>
    <row r="2" spans="1:10" x14ac:dyDescent="0.2">
      <c r="A2" s="27" t="e">
        <f>#REF!</f>
        <v>#REF!</v>
      </c>
      <c r="B2" s="28" t="e">
        <f>#REF!</f>
        <v>#REF!</v>
      </c>
      <c r="C2" s="28" t="e">
        <f>#REF!</f>
        <v>#REF!</v>
      </c>
      <c r="D2" s="28" t="e">
        <f>#REF!</f>
        <v>#REF!</v>
      </c>
      <c r="E2" s="28" t="e">
        <f>#REF!</f>
        <v>#REF!</v>
      </c>
      <c r="F2" s="28" t="e">
        <f>E2*D2</f>
        <v>#REF!</v>
      </c>
      <c r="G2" s="26" t="e">
        <f>#REF!</f>
        <v>#REF!</v>
      </c>
      <c r="H2" s="26" t="e">
        <f>#REF!</f>
        <v>#REF!</v>
      </c>
      <c r="I2" s="29" t="e">
        <f>((H2*C2)/(F2*B2))*2</f>
        <v>#REF!</v>
      </c>
      <c r="J2" s="29" t="e">
        <f>I2*1000</f>
        <v>#REF!</v>
      </c>
    </row>
    <row r="3" spans="1:10" x14ac:dyDescent="0.2">
      <c r="A3" s="27" t="e">
        <f>$A$2</f>
        <v>#REF!</v>
      </c>
      <c r="B3" s="28" t="e">
        <f>$B$2</f>
        <v>#REF!</v>
      </c>
      <c r="C3" s="28" t="e">
        <f>$C$2</f>
        <v>#REF!</v>
      </c>
      <c r="D3" s="28" t="e">
        <f>$D$2</f>
        <v>#REF!</v>
      </c>
      <c r="E3" s="28" t="e">
        <f>$E$2</f>
        <v>#REF!</v>
      </c>
      <c r="F3" s="28" t="e">
        <f>$F$2</f>
        <v>#REF!</v>
      </c>
      <c r="G3" s="26" t="e">
        <f>#REF!</f>
        <v>#REF!</v>
      </c>
      <c r="H3" s="26" t="e">
        <f>#REF!</f>
        <v>#REF!</v>
      </c>
      <c r="I3" s="29" t="e">
        <f t="shared" ref="I3:I66" si="0">((H3*C3)/(F3*B3))*2</f>
        <v>#REF!</v>
      </c>
      <c r="J3" s="29" t="e">
        <f t="shared" ref="J3:J66" si="1">I3*1000</f>
        <v>#REF!</v>
      </c>
    </row>
    <row r="4" spans="1:10" x14ac:dyDescent="0.2">
      <c r="A4" s="27" t="e">
        <f t="shared" ref="A4:A67" si="2">$A$2</f>
        <v>#REF!</v>
      </c>
      <c r="B4" s="28" t="e">
        <f t="shared" ref="B4:B67" si="3">$B$2</f>
        <v>#REF!</v>
      </c>
      <c r="C4" s="28" t="e">
        <f t="shared" ref="C4:C67" si="4">$C$2</f>
        <v>#REF!</v>
      </c>
      <c r="D4" s="28" t="e">
        <f t="shared" ref="D4:D67" si="5">$D$2</f>
        <v>#REF!</v>
      </c>
      <c r="E4" s="28" t="e">
        <f t="shared" ref="E4:E67" si="6">$E$2</f>
        <v>#REF!</v>
      </c>
      <c r="F4" s="28" t="e">
        <f t="shared" ref="F4:F67" si="7">$F$2</f>
        <v>#REF!</v>
      </c>
      <c r="G4" s="26" t="e">
        <f>#REF!</f>
        <v>#REF!</v>
      </c>
      <c r="H4" s="26" t="e">
        <f>#REF!</f>
        <v>#REF!</v>
      </c>
      <c r="I4" s="29" t="e">
        <f t="shared" si="0"/>
        <v>#REF!</v>
      </c>
      <c r="J4" s="29" t="e">
        <f t="shared" si="1"/>
        <v>#REF!</v>
      </c>
    </row>
    <row r="5" spans="1:10" x14ac:dyDescent="0.2">
      <c r="A5" s="27" t="e">
        <f t="shared" si="2"/>
        <v>#REF!</v>
      </c>
      <c r="B5" s="28" t="e">
        <f t="shared" si="3"/>
        <v>#REF!</v>
      </c>
      <c r="C5" s="28" t="e">
        <f t="shared" si="4"/>
        <v>#REF!</v>
      </c>
      <c r="D5" s="28" t="e">
        <f t="shared" si="5"/>
        <v>#REF!</v>
      </c>
      <c r="E5" s="28" t="e">
        <f t="shared" si="6"/>
        <v>#REF!</v>
      </c>
      <c r="F5" s="28" t="e">
        <f t="shared" si="7"/>
        <v>#REF!</v>
      </c>
      <c r="G5" s="26" t="e">
        <f>#REF!</f>
        <v>#REF!</v>
      </c>
      <c r="H5" s="26" t="e">
        <f>#REF!</f>
        <v>#REF!</v>
      </c>
      <c r="I5" s="29" t="e">
        <f t="shared" si="0"/>
        <v>#REF!</v>
      </c>
      <c r="J5" s="29" t="e">
        <f t="shared" si="1"/>
        <v>#REF!</v>
      </c>
    </row>
    <row r="6" spans="1:10" x14ac:dyDescent="0.2">
      <c r="A6" s="27" t="e">
        <f t="shared" si="2"/>
        <v>#REF!</v>
      </c>
      <c r="B6" s="28" t="e">
        <f t="shared" si="3"/>
        <v>#REF!</v>
      </c>
      <c r="C6" s="28" t="e">
        <f t="shared" si="4"/>
        <v>#REF!</v>
      </c>
      <c r="D6" s="28" t="e">
        <f t="shared" si="5"/>
        <v>#REF!</v>
      </c>
      <c r="E6" s="28" t="e">
        <f t="shared" si="6"/>
        <v>#REF!</v>
      </c>
      <c r="F6" s="28" t="e">
        <f t="shared" si="7"/>
        <v>#REF!</v>
      </c>
      <c r="G6" s="26" t="e">
        <f>#REF!</f>
        <v>#REF!</v>
      </c>
      <c r="H6" s="26" t="e">
        <f>#REF!</f>
        <v>#REF!</v>
      </c>
      <c r="I6" s="29" t="e">
        <f t="shared" si="0"/>
        <v>#REF!</v>
      </c>
      <c r="J6" s="29" t="e">
        <f t="shared" si="1"/>
        <v>#REF!</v>
      </c>
    </row>
    <row r="7" spans="1:10" x14ac:dyDescent="0.2">
      <c r="A7" s="27" t="e">
        <f t="shared" si="2"/>
        <v>#REF!</v>
      </c>
      <c r="B7" s="28" t="e">
        <f t="shared" si="3"/>
        <v>#REF!</v>
      </c>
      <c r="C7" s="28" t="e">
        <f t="shared" si="4"/>
        <v>#REF!</v>
      </c>
      <c r="D7" s="28" t="e">
        <f t="shared" si="5"/>
        <v>#REF!</v>
      </c>
      <c r="E7" s="28" t="e">
        <f t="shared" si="6"/>
        <v>#REF!</v>
      </c>
      <c r="F7" s="28" t="e">
        <f t="shared" si="7"/>
        <v>#REF!</v>
      </c>
      <c r="G7" s="26" t="e">
        <f>#REF!</f>
        <v>#REF!</v>
      </c>
      <c r="H7" s="26" t="e">
        <f>#REF!</f>
        <v>#REF!</v>
      </c>
      <c r="I7" s="29" t="e">
        <f t="shared" si="0"/>
        <v>#REF!</v>
      </c>
      <c r="J7" s="29" t="e">
        <f t="shared" si="1"/>
        <v>#REF!</v>
      </c>
    </row>
    <row r="8" spans="1:10" x14ac:dyDescent="0.2">
      <c r="A8" s="27" t="e">
        <f t="shared" si="2"/>
        <v>#REF!</v>
      </c>
      <c r="B8" s="28" t="e">
        <f t="shared" si="3"/>
        <v>#REF!</v>
      </c>
      <c r="C8" s="28" t="e">
        <f t="shared" si="4"/>
        <v>#REF!</v>
      </c>
      <c r="D8" s="28" t="e">
        <f t="shared" si="5"/>
        <v>#REF!</v>
      </c>
      <c r="E8" s="28" t="e">
        <f t="shared" si="6"/>
        <v>#REF!</v>
      </c>
      <c r="F8" s="28" t="e">
        <f t="shared" si="7"/>
        <v>#REF!</v>
      </c>
      <c r="G8" s="26" t="e">
        <f>#REF!</f>
        <v>#REF!</v>
      </c>
      <c r="H8" s="26" t="e">
        <f>#REF!</f>
        <v>#REF!</v>
      </c>
      <c r="I8" s="29" t="e">
        <f t="shared" si="0"/>
        <v>#REF!</v>
      </c>
      <c r="J8" s="29" t="e">
        <f t="shared" si="1"/>
        <v>#REF!</v>
      </c>
    </row>
    <row r="9" spans="1:10" x14ac:dyDescent="0.2">
      <c r="A9" s="27" t="e">
        <f t="shared" si="2"/>
        <v>#REF!</v>
      </c>
      <c r="B9" s="28" t="e">
        <f t="shared" si="3"/>
        <v>#REF!</v>
      </c>
      <c r="C9" s="28" t="e">
        <f t="shared" si="4"/>
        <v>#REF!</v>
      </c>
      <c r="D9" s="28" t="e">
        <f t="shared" si="5"/>
        <v>#REF!</v>
      </c>
      <c r="E9" s="28" t="e">
        <f t="shared" si="6"/>
        <v>#REF!</v>
      </c>
      <c r="F9" s="28" t="e">
        <f t="shared" si="7"/>
        <v>#REF!</v>
      </c>
      <c r="G9" s="26" t="e">
        <f>#REF!</f>
        <v>#REF!</v>
      </c>
      <c r="H9" s="26" t="e">
        <f>#REF!</f>
        <v>#REF!</v>
      </c>
      <c r="I9" s="29" t="e">
        <f t="shared" si="0"/>
        <v>#REF!</v>
      </c>
      <c r="J9" s="29" t="e">
        <f t="shared" si="1"/>
        <v>#REF!</v>
      </c>
    </row>
    <row r="10" spans="1:10" x14ac:dyDescent="0.2">
      <c r="A10" s="27" t="e">
        <f t="shared" si="2"/>
        <v>#REF!</v>
      </c>
      <c r="B10" s="28" t="e">
        <f t="shared" si="3"/>
        <v>#REF!</v>
      </c>
      <c r="C10" s="28" t="e">
        <f t="shared" si="4"/>
        <v>#REF!</v>
      </c>
      <c r="D10" s="28" t="e">
        <f t="shared" si="5"/>
        <v>#REF!</v>
      </c>
      <c r="E10" s="28" t="e">
        <f t="shared" si="6"/>
        <v>#REF!</v>
      </c>
      <c r="F10" s="28" t="e">
        <f t="shared" si="7"/>
        <v>#REF!</v>
      </c>
      <c r="G10" s="26" t="e">
        <f>#REF!</f>
        <v>#REF!</v>
      </c>
      <c r="H10" s="26" t="e">
        <f>#REF!</f>
        <v>#REF!</v>
      </c>
      <c r="I10" s="29" t="e">
        <f t="shared" si="0"/>
        <v>#REF!</v>
      </c>
      <c r="J10" s="29" t="e">
        <f t="shared" si="1"/>
        <v>#REF!</v>
      </c>
    </row>
    <row r="11" spans="1:10" x14ac:dyDescent="0.2">
      <c r="A11" s="27" t="e">
        <f t="shared" si="2"/>
        <v>#REF!</v>
      </c>
      <c r="B11" s="28" t="e">
        <f t="shared" si="3"/>
        <v>#REF!</v>
      </c>
      <c r="C11" s="28" t="e">
        <f t="shared" si="4"/>
        <v>#REF!</v>
      </c>
      <c r="D11" s="28" t="e">
        <f t="shared" si="5"/>
        <v>#REF!</v>
      </c>
      <c r="E11" s="28" t="e">
        <f t="shared" si="6"/>
        <v>#REF!</v>
      </c>
      <c r="F11" s="28" t="e">
        <f t="shared" si="7"/>
        <v>#REF!</v>
      </c>
      <c r="G11" s="26" t="e">
        <f>#REF!</f>
        <v>#REF!</v>
      </c>
      <c r="H11" s="26" t="e">
        <f>#REF!</f>
        <v>#REF!</v>
      </c>
      <c r="I11" s="29" t="e">
        <f t="shared" si="0"/>
        <v>#REF!</v>
      </c>
      <c r="J11" s="29" t="e">
        <f t="shared" si="1"/>
        <v>#REF!</v>
      </c>
    </row>
    <row r="12" spans="1:10" x14ac:dyDescent="0.2">
      <c r="A12" s="27" t="e">
        <f t="shared" si="2"/>
        <v>#REF!</v>
      </c>
      <c r="B12" s="28" t="e">
        <f t="shared" si="3"/>
        <v>#REF!</v>
      </c>
      <c r="C12" s="28" t="e">
        <f t="shared" si="4"/>
        <v>#REF!</v>
      </c>
      <c r="D12" s="28" t="e">
        <f t="shared" si="5"/>
        <v>#REF!</v>
      </c>
      <c r="E12" s="28" t="e">
        <f t="shared" si="6"/>
        <v>#REF!</v>
      </c>
      <c r="F12" s="28" t="e">
        <f t="shared" si="7"/>
        <v>#REF!</v>
      </c>
      <c r="G12" s="26" t="e">
        <f>#REF!</f>
        <v>#REF!</v>
      </c>
      <c r="H12" s="26" t="e">
        <f>#REF!</f>
        <v>#REF!</v>
      </c>
      <c r="I12" s="29" t="e">
        <f t="shared" si="0"/>
        <v>#REF!</v>
      </c>
      <c r="J12" s="29" t="e">
        <f t="shared" si="1"/>
        <v>#REF!</v>
      </c>
    </row>
    <row r="13" spans="1:10" x14ac:dyDescent="0.2">
      <c r="A13" s="27" t="e">
        <f t="shared" si="2"/>
        <v>#REF!</v>
      </c>
      <c r="B13" s="28" t="e">
        <f t="shared" si="3"/>
        <v>#REF!</v>
      </c>
      <c r="C13" s="28" t="e">
        <f t="shared" si="4"/>
        <v>#REF!</v>
      </c>
      <c r="D13" s="28" t="e">
        <f t="shared" si="5"/>
        <v>#REF!</v>
      </c>
      <c r="E13" s="28" t="e">
        <f t="shared" si="6"/>
        <v>#REF!</v>
      </c>
      <c r="F13" s="28" t="e">
        <f t="shared" si="7"/>
        <v>#REF!</v>
      </c>
      <c r="G13" s="26" t="e">
        <f>#REF!</f>
        <v>#REF!</v>
      </c>
      <c r="H13" s="26" t="e">
        <f>#REF!</f>
        <v>#REF!</v>
      </c>
      <c r="I13" s="29" t="e">
        <f t="shared" si="0"/>
        <v>#REF!</v>
      </c>
      <c r="J13" s="29" t="e">
        <f t="shared" si="1"/>
        <v>#REF!</v>
      </c>
    </row>
    <row r="14" spans="1:10" x14ac:dyDescent="0.2">
      <c r="A14" s="27" t="e">
        <f t="shared" si="2"/>
        <v>#REF!</v>
      </c>
      <c r="B14" s="28" t="e">
        <f t="shared" si="3"/>
        <v>#REF!</v>
      </c>
      <c r="C14" s="28" t="e">
        <f t="shared" si="4"/>
        <v>#REF!</v>
      </c>
      <c r="D14" s="28" t="e">
        <f t="shared" si="5"/>
        <v>#REF!</v>
      </c>
      <c r="E14" s="28" t="e">
        <f t="shared" si="6"/>
        <v>#REF!</v>
      </c>
      <c r="F14" s="28" t="e">
        <f t="shared" si="7"/>
        <v>#REF!</v>
      </c>
      <c r="G14" s="26" t="e">
        <f>#REF!</f>
        <v>#REF!</v>
      </c>
      <c r="H14" s="26" t="e">
        <f>#REF!</f>
        <v>#REF!</v>
      </c>
      <c r="I14" s="29" t="e">
        <f t="shared" si="0"/>
        <v>#REF!</v>
      </c>
      <c r="J14" s="29" t="e">
        <f t="shared" si="1"/>
        <v>#REF!</v>
      </c>
    </row>
    <row r="15" spans="1:10" x14ac:dyDescent="0.2">
      <c r="A15" s="27" t="e">
        <f t="shared" si="2"/>
        <v>#REF!</v>
      </c>
      <c r="B15" s="28" t="e">
        <f t="shared" si="3"/>
        <v>#REF!</v>
      </c>
      <c r="C15" s="28" t="e">
        <f t="shared" si="4"/>
        <v>#REF!</v>
      </c>
      <c r="D15" s="28" t="e">
        <f t="shared" si="5"/>
        <v>#REF!</v>
      </c>
      <c r="E15" s="28" t="e">
        <f t="shared" si="6"/>
        <v>#REF!</v>
      </c>
      <c r="F15" s="28" t="e">
        <f t="shared" si="7"/>
        <v>#REF!</v>
      </c>
      <c r="G15" s="26" t="e">
        <f>#REF!</f>
        <v>#REF!</v>
      </c>
      <c r="H15" s="26" t="e">
        <f>#REF!</f>
        <v>#REF!</v>
      </c>
      <c r="I15" s="29" t="e">
        <f t="shared" si="0"/>
        <v>#REF!</v>
      </c>
      <c r="J15" s="29" t="e">
        <f t="shared" si="1"/>
        <v>#REF!</v>
      </c>
    </row>
    <row r="16" spans="1:10" x14ac:dyDescent="0.2">
      <c r="A16" s="27" t="e">
        <f t="shared" si="2"/>
        <v>#REF!</v>
      </c>
      <c r="B16" s="28" t="e">
        <f t="shared" si="3"/>
        <v>#REF!</v>
      </c>
      <c r="C16" s="28" t="e">
        <f t="shared" si="4"/>
        <v>#REF!</v>
      </c>
      <c r="D16" s="28" t="e">
        <f t="shared" si="5"/>
        <v>#REF!</v>
      </c>
      <c r="E16" s="28" t="e">
        <f t="shared" si="6"/>
        <v>#REF!</v>
      </c>
      <c r="F16" s="28" t="e">
        <f t="shared" si="7"/>
        <v>#REF!</v>
      </c>
      <c r="G16" s="26" t="e">
        <f>#REF!</f>
        <v>#REF!</v>
      </c>
      <c r="H16" s="26" t="e">
        <f>#REF!</f>
        <v>#REF!</v>
      </c>
      <c r="I16" s="29" t="e">
        <f t="shared" si="0"/>
        <v>#REF!</v>
      </c>
      <c r="J16" s="29" t="e">
        <f t="shared" si="1"/>
        <v>#REF!</v>
      </c>
    </row>
    <row r="17" spans="1:10" x14ac:dyDescent="0.2">
      <c r="A17" s="27" t="e">
        <f t="shared" si="2"/>
        <v>#REF!</v>
      </c>
      <c r="B17" s="28" t="e">
        <f t="shared" si="3"/>
        <v>#REF!</v>
      </c>
      <c r="C17" s="28" t="e">
        <f t="shared" si="4"/>
        <v>#REF!</v>
      </c>
      <c r="D17" s="28" t="e">
        <f t="shared" si="5"/>
        <v>#REF!</v>
      </c>
      <c r="E17" s="28" t="e">
        <f t="shared" si="6"/>
        <v>#REF!</v>
      </c>
      <c r="F17" s="28" t="e">
        <f t="shared" si="7"/>
        <v>#REF!</v>
      </c>
      <c r="G17" s="26" t="e">
        <f>#REF!</f>
        <v>#REF!</v>
      </c>
      <c r="H17" s="26" t="e">
        <f>#REF!</f>
        <v>#REF!</v>
      </c>
      <c r="I17" s="29" t="e">
        <f t="shared" si="0"/>
        <v>#REF!</v>
      </c>
      <c r="J17" s="29" t="e">
        <f t="shared" si="1"/>
        <v>#REF!</v>
      </c>
    </row>
    <row r="18" spans="1:10" x14ac:dyDescent="0.2">
      <c r="A18" s="27" t="e">
        <f t="shared" si="2"/>
        <v>#REF!</v>
      </c>
      <c r="B18" s="28" t="e">
        <f t="shared" si="3"/>
        <v>#REF!</v>
      </c>
      <c r="C18" s="28" t="e">
        <f t="shared" si="4"/>
        <v>#REF!</v>
      </c>
      <c r="D18" s="28" t="e">
        <f t="shared" si="5"/>
        <v>#REF!</v>
      </c>
      <c r="E18" s="28" t="e">
        <f t="shared" si="6"/>
        <v>#REF!</v>
      </c>
      <c r="F18" s="28" t="e">
        <f t="shared" si="7"/>
        <v>#REF!</v>
      </c>
      <c r="G18" s="26" t="e">
        <f>#REF!</f>
        <v>#REF!</v>
      </c>
      <c r="H18" s="26" t="e">
        <f>#REF!</f>
        <v>#REF!</v>
      </c>
      <c r="I18" s="29" t="e">
        <f t="shared" si="0"/>
        <v>#REF!</v>
      </c>
      <c r="J18" s="29" t="e">
        <f t="shared" si="1"/>
        <v>#REF!</v>
      </c>
    </row>
    <row r="19" spans="1:10" x14ac:dyDescent="0.2">
      <c r="A19" s="27" t="e">
        <f t="shared" si="2"/>
        <v>#REF!</v>
      </c>
      <c r="B19" s="28" t="e">
        <f t="shared" si="3"/>
        <v>#REF!</v>
      </c>
      <c r="C19" s="28" t="e">
        <f t="shared" si="4"/>
        <v>#REF!</v>
      </c>
      <c r="D19" s="28" t="e">
        <f t="shared" si="5"/>
        <v>#REF!</v>
      </c>
      <c r="E19" s="28" t="e">
        <f t="shared" si="6"/>
        <v>#REF!</v>
      </c>
      <c r="F19" s="28" t="e">
        <f t="shared" si="7"/>
        <v>#REF!</v>
      </c>
      <c r="G19" s="26">
        <f>'[1]Densidad de Grupos'!A35</f>
        <v>0</v>
      </c>
      <c r="H19" s="26" t="e">
        <f>#REF!</f>
        <v>#REF!</v>
      </c>
      <c r="I19" s="29" t="e">
        <f t="shared" si="0"/>
        <v>#REF!</v>
      </c>
      <c r="J19" s="29" t="e">
        <f t="shared" si="1"/>
        <v>#REF!</v>
      </c>
    </row>
    <row r="20" spans="1:10" x14ac:dyDescent="0.2">
      <c r="A20" s="27" t="e">
        <f t="shared" si="2"/>
        <v>#REF!</v>
      </c>
      <c r="B20" s="28" t="e">
        <f t="shared" si="3"/>
        <v>#REF!</v>
      </c>
      <c r="C20" s="28" t="e">
        <f t="shared" si="4"/>
        <v>#REF!</v>
      </c>
      <c r="D20" s="28" t="e">
        <f t="shared" si="5"/>
        <v>#REF!</v>
      </c>
      <c r="E20" s="28" t="e">
        <f t="shared" si="6"/>
        <v>#REF!</v>
      </c>
      <c r="F20" s="28" t="e">
        <f t="shared" si="7"/>
        <v>#REF!</v>
      </c>
      <c r="G20" s="26">
        <f>'[2]Densidad de Grupos'!A36</f>
        <v>0</v>
      </c>
      <c r="H20" s="26" t="e">
        <f>#REF!</f>
        <v>#REF!</v>
      </c>
      <c r="I20" s="29" t="e">
        <f t="shared" si="0"/>
        <v>#REF!</v>
      </c>
      <c r="J20" s="29" t="e">
        <f t="shared" si="1"/>
        <v>#REF!</v>
      </c>
    </row>
    <row r="21" spans="1:10" x14ac:dyDescent="0.2">
      <c r="A21" s="27" t="e">
        <f t="shared" si="2"/>
        <v>#REF!</v>
      </c>
      <c r="B21" s="28" t="e">
        <f t="shared" si="3"/>
        <v>#REF!</v>
      </c>
      <c r="C21" s="28" t="e">
        <f t="shared" si="4"/>
        <v>#REF!</v>
      </c>
      <c r="D21" s="28" t="e">
        <f t="shared" si="5"/>
        <v>#REF!</v>
      </c>
      <c r="E21" s="28" t="e">
        <f t="shared" si="6"/>
        <v>#REF!</v>
      </c>
      <c r="F21" s="28" t="e">
        <f t="shared" si="7"/>
        <v>#REF!</v>
      </c>
      <c r="G21" s="26">
        <f>'[2]Densidad de Grupos'!A37</f>
        <v>0</v>
      </c>
      <c r="H21" s="26" t="e">
        <f>#REF!</f>
        <v>#REF!</v>
      </c>
      <c r="I21" s="29" t="e">
        <f t="shared" si="0"/>
        <v>#REF!</v>
      </c>
      <c r="J21" s="29" t="e">
        <f t="shared" si="1"/>
        <v>#REF!</v>
      </c>
    </row>
    <row r="22" spans="1:10" x14ac:dyDescent="0.2">
      <c r="A22" s="27" t="e">
        <f t="shared" si="2"/>
        <v>#REF!</v>
      </c>
      <c r="B22" s="28" t="e">
        <f t="shared" si="3"/>
        <v>#REF!</v>
      </c>
      <c r="C22" s="28" t="e">
        <f t="shared" si="4"/>
        <v>#REF!</v>
      </c>
      <c r="D22" s="28" t="e">
        <f t="shared" si="5"/>
        <v>#REF!</v>
      </c>
      <c r="E22" s="28" t="e">
        <f t="shared" si="6"/>
        <v>#REF!</v>
      </c>
      <c r="F22" s="28" t="e">
        <f t="shared" si="7"/>
        <v>#REF!</v>
      </c>
      <c r="G22" s="26">
        <f>'[2]Densidad de Grupos'!J18</f>
        <v>0</v>
      </c>
      <c r="H22" s="26" t="e">
        <f>#REF!</f>
        <v>#REF!</v>
      </c>
      <c r="I22" s="29" t="e">
        <f t="shared" si="0"/>
        <v>#REF!</v>
      </c>
      <c r="J22" s="29" t="e">
        <f t="shared" si="1"/>
        <v>#REF!</v>
      </c>
    </row>
    <row r="23" spans="1:10" x14ac:dyDescent="0.2">
      <c r="A23" s="27" t="e">
        <f t="shared" si="2"/>
        <v>#REF!</v>
      </c>
      <c r="B23" s="28" t="e">
        <f t="shared" si="3"/>
        <v>#REF!</v>
      </c>
      <c r="C23" s="28" t="e">
        <f t="shared" si="4"/>
        <v>#REF!</v>
      </c>
      <c r="D23" s="28" t="e">
        <f t="shared" si="5"/>
        <v>#REF!</v>
      </c>
      <c r="E23" s="28" t="e">
        <f t="shared" si="6"/>
        <v>#REF!</v>
      </c>
      <c r="F23" s="28" t="e">
        <f t="shared" si="7"/>
        <v>#REF!</v>
      </c>
      <c r="G23" s="26">
        <f>'[2]Densidad de Grupos'!J19</f>
        <v>0</v>
      </c>
      <c r="H23" s="26" t="e">
        <f>#REF!</f>
        <v>#REF!</v>
      </c>
      <c r="I23" s="29" t="e">
        <f t="shared" si="0"/>
        <v>#REF!</v>
      </c>
      <c r="J23" s="29" t="e">
        <f t="shared" si="1"/>
        <v>#REF!</v>
      </c>
    </row>
    <row r="24" spans="1:10" x14ac:dyDescent="0.2">
      <c r="A24" s="27" t="e">
        <f t="shared" si="2"/>
        <v>#REF!</v>
      </c>
      <c r="B24" s="28" t="e">
        <f t="shared" si="3"/>
        <v>#REF!</v>
      </c>
      <c r="C24" s="28" t="e">
        <f t="shared" si="4"/>
        <v>#REF!</v>
      </c>
      <c r="D24" s="28" t="e">
        <f t="shared" si="5"/>
        <v>#REF!</v>
      </c>
      <c r="E24" s="28" t="e">
        <f t="shared" si="6"/>
        <v>#REF!</v>
      </c>
      <c r="F24" s="28" t="e">
        <f t="shared" si="7"/>
        <v>#REF!</v>
      </c>
      <c r="G24" s="26">
        <f>'[2]Densidad de Grupos'!J20</f>
        <v>0</v>
      </c>
      <c r="H24" s="26" t="e">
        <f>#REF!</f>
        <v>#REF!</v>
      </c>
      <c r="I24" s="29" t="e">
        <f t="shared" si="0"/>
        <v>#REF!</v>
      </c>
      <c r="J24" s="29" t="e">
        <f t="shared" si="1"/>
        <v>#REF!</v>
      </c>
    </row>
    <row r="25" spans="1:10" x14ac:dyDescent="0.2">
      <c r="A25" s="27" t="e">
        <f t="shared" si="2"/>
        <v>#REF!</v>
      </c>
      <c r="B25" s="28" t="e">
        <f t="shared" si="3"/>
        <v>#REF!</v>
      </c>
      <c r="C25" s="28" t="e">
        <f t="shared" si="4"/>
        <v>#REF!</v>
      </c>
      <c r="D25" s="28" t="e">
        <f t="shared" si="5"/>
        <v>#REF!</v>
      </c>
      <c r="E25" s="28" t="e">
        <f t="shared" si="6"/>
        <v>#REF!</v>
      </c>
      <c r="F25" s="28" t="e">
        <f t="shared" si="7"/>
        <v>#REF!</v>
      </c>
      <c r="G25" s="26">
        <f>'[2]Densidad de Grupos'!J21</f>
        <v>0</v>
      </c>
      <c r="H25" s="26" t="e">
        <f>#REF!</f>
        <v>#REF!</v>
      </c>
      <c r="I25" s="29" t="e">
        <f t="shared" si="0"/>
        <v>#REF!</v>
      </c>
      <c r="J25" s="29" t="e">
        <f t="shared" si="1"/>
        <v>#REF!</v>
      </c>
    </row>
    <row r="26" spans="1:10" x14ac:dyDescent="0.2">
      <c r="A26" s="27" t="e">
        <f t="shared" si="2"/>
        <v>#REF!</v>
      </c>
      <c r="B26" s="28" t="e">
        <f t="shared" si="3"/>
        <v>#REF!</v>
      </c>
      <c r="C26" s="28" t="e">
        <f t="shared" si="4"/>
        <v>#REF!</v>
      </c>
      <c r="D26" s="28" t="e">
        <f t="shared" si="5"/>
        <v>#REF!</v>
      </c>
      <c r="E26" s="28" t="e">
        <f t="shared" si="6"/>
        <v>#REF!</v>
      </c>
      <c r="F26" s="28" t="e">
        <f t="shared" si="7"/>
        <v>#REF!</v>
      </c>
      <c r="G26" s="26">
        <f>'[1]Densidad de Grupos'!J22</f>
        <v>0</v>
      </c>
      <c r="H26" s="26" t="e">
        <f>#REF!</f>
        <v>#REF!</v>
      </c>
      <c r="I26" s="29" t="e">
        <f t="shared" si="0"/>
        <v>#REF!</v>
      </c>
      <c r="J26" s="29" t="e">
        <f t="shared" si="1"/>
        <v>#REF!</v>
      </c>
    </row>
    <row r="27" spans="1:10" x14ac:dyDescent="0.2">
      <c r="A27" s="27" t="e">
        <f t="shared" si="2"/>
        <v>#REF!</v>
      </c>
      <c r="B27" s="28" t="e">
        <f t="shared" si="3"/>
        <v>#REF!</v>
      </c>
      <c r="C27" s="28" t="e">
        <f t="shared" si="4"/>
        <v>#REF!</v>
      </c>
      <c r="D27" s="28" t="e">
        <f t="shared" si="5"/>
        <v>#REF!</v>
      </c>
      <c r="E27" s="28" t="e">
        <f t="shared" si="6"/>
        <v>#REF!</v>
      </c>
      <c r="F27" s="28" t="e">
        <f t="shared" si="7"/>
        <v>#REF!</v>
      </c>
      <c r="G27" s="26">
        <f>'[2]Densidad de Grupos'!J23</f>
        <v>0</v>
      </c>
      <c r="H27" s="26" t="e">
        <f>#REF!</f>
        <v>#REF!</v>
      </c>
      <c r="I27" s="29" t="e">
        <f t="shared" si="0"/>
        <v>#REF!</v>
      </c>
      <c r="J27" s="29" t="e">
        <f t="shared" si="1"/>
        <v>#REF!</v>
      </c>
    </row>
    <row r="28" spans="1:10" x14ac:dyDescent="0.2">
      <c r="A28" s="27" t="e">
        <f t="shared" si="2"/>
        <v>#REF!</v>
      </c>
      <c r="B28" s="28" t="e">
        <f t="shared" si="3"/>
        <v>#REF!</v>
      </c>
      <c r="C28" s="28" t="e">
        <f t="shared" si="4"/>
        <v>#REF!</v>
      </c>
      <c r="D28" s="28" t="e">
        <f t="shared" si="5"/>
        <v>#REF!</v>
      </c>
      <c r="E28" s="28" t="e">
        <f t="shared" si="6"/>
        <v>#REF!</v>
      </c>
      <c r="F28" s="28" t="e">
        <f t="shared" si="7"/>
        <v>#REF!</v>
      </c>
      <c r="G28" s="26">
        <f>'[2]Densidad de Grupos'!J24</f>
        <v>0</v>
      </c>
      <c r="H28" s="26" t="e">
        <f>#REF!</f>
        <v>#REF!</v>
      </c>
      <c r="I28" s="29" t="e">
        <f t="shared" si="0"/>
        <v>#REF!</v>
      </c>
      <c r="J28" s="29" t="e">
        <f t="shared" si="1"/>
        <v>#REF!</v>
      </c>
    </row>
    <row r="29" spans="1:10" x14ac:dyDescent="0.2">
      <c r="A29" s="27" t="e">
        <f t="shared" si="2"/>
        <v>#REF!</v>
      </c>
      <c r="B29" s="28" t="e">
        <f t="shared" si="3"/>
        <v>#REF!</v>
      </c>
      <c r="C29" s="28" t="e">
        <f t="shared" si="4"/>
        <v>#REF!</v>
      </c>
      <c r="D29" s="28" t="e">
        <f t="shared" si="5"/>
        <v>#REF!</v>
      </c>
      <c r="E29" s="28" t="e">
        <f t="shared" si="6"/>
        <v>#REF!</v>
      </c>
      <c r="F29" s="28" t="e">
        <f t="shared" si="7"/>
        <v>#REF!</v>
      </c>
      <c r="G29" s="26">
        <f>'[2]Densidad de Grupos'!J25</f>
        <v>0</v>
      </c>
      <c r="H29" s="26" t="e">
        <f>#REF!</f>
        <v>#REF!</v>
      </c>
      <c r="I29" s="29" t="e">
        <f t="shared" si="0"/>
        <v>#REF!</v>
      </c>
      <c r="J29" s="29" t="e">
        <f t="shared" si="1"/>
        <v>#REF!</v>
      </c>
    </row>
    <row r="30" spans="1:10" x14ac:dyDescent="0.2">
      <c r="A30" s="27" t="e">
        <f t="shared" si="2"/>
        <v>#REF!</v>
      </c>
      <c r="B30" s="28" t="e">
        <f t="shared" si="3"/>
        <v>#REF!</v>
      </c>
      <c r="C30" s="28" t="e">
        <f t="shared" si="4"/>
        <v>#REF!</v>
      </c>
      <c r="D30" s="28" t="e">
        <f t="shared" si="5"/>
        <v>#REF!</v>
      </c>
      <c r="E30" s="28" t="e">
        <f t="shared" si="6"/>
        <v>#REF!</v>
      </c>
      <c r="F30" s="28" t="e">
        <f t="shared" si="7"/>
        <v>#REF!</v>
      </c>
      <c r="G30" s="26">
        <f>'[2]Densidad de Grupos'!J26</f>
        <v>0</v>
      </c>
      <c r="H30" s="26" t="e">
        <f>#REF!</f>
        <v>#REF!</v>
      </c>
      <c r="I30" s="29" t="e">
        <f t="shared" si="0"/>
        <v>#REF!</v>
      </c>
      <c r="J30" s="29" t="e">
        <f t="shared" si="1"/>
        <v>#REF!</v>
      </c>
    </row>
    <row r="31" spans="1:10" x14ac:dyDescent="0.2">
      <c r="A31" s="27" t="e">
        <f t="shared" si="2"/>
        <v>#REF!</v>
      </c>
      <c r="B31" s="28" t="e">
        <f t="shared" si="3"/>
        <v>#REF!</v>
      </c>
      <c r="C31" s="28" t="e">
        <f t="shared" si="4"/>
        <v>#REF!</v>
      </c>
      <c r="D31" s="28" t="e">
        <f t="shared" si="5"/>
        <v>#REF!</v>
      </c>
      <c r="E31" s="28" t="e">
        <f t="shared" si="6"/>
        <v>#REF!</v>
      </c>
      <c r="F31" s="28" t="e">
        <f t="shared" si="7"/>
        <v>#REF!</v>
      </c>
      <c r="G31" s="26">
        <f>'[2]Densidad de Grupos'!J27</f>
        <v>0</v>
      </c>
      <c r="H31" s="26" t="e">
        <f>#REF!</f>
        <v>#REF!</v>
      </c>
      <c r="I31" s="29" t="e">
        <f t="shared" si="0"/>
        <v>#REF!</v>
      </c>
      <c r="J31" s="29" t="e">
        <f t="shared" si="1"/>
        <v>#REF!</v>
      </c>
    </row>
    <row r="32" spans="1:10" x14ac:dyDescent="0.2">
      <c r="A32" s="27" t="e">
        <f t="shared" si="2"/>
        <v>#REF!</v>
      </c>
      <c r="B32" s="28" t="e">
        <f t="shared" si="3"/>
        <v>#REF!</v>
      </c>
      <c r="C32" s="28" t="e">
        <f t="shared" si="4"/>
        <v>#REF!</v>
      </c>
      <c r="D32" s="28" t="e">
        <f t="shared" si="5"/>
        <v>#REF!</v>
      </c>
      <c r="E32" s="28" t="e">
        <f t="shared" si="6"/>
        <v>#REF!</v>
      </c>
      <c r="F32" s="28" t="e">
        <f t="shared" si="7"/>
        <v>#REF!</v>
      </c>
      <c r="G32" s="26">
        <f>'[2]Densidad de Grupos'!J28</f>
        <v>0</v>
      </c>
      <c r="H32" s="26" t="e">
        <f>#REF!</f>
        <v>#REF!</v>
      </c>
      <c r="I32" s="29" t="e">
        <f t="shared" si="0"/>
        <v>#REF!</v>
      </c>
      <c r="J32" s="29" t="e">
        <f t="shared" si="1"/>
        <v>#REF!</v>
      </c>
    </row>
    <row r="33" spans="1:10" x14ac:dyDescent="0.2">
      <c r="A33" s="27" t="e">
        <f t="shared" si="2"/>
        <v>#REF!</v>
      </c>
      <c r="B33" s="28" t="e">
        <f t="shared" si="3"/>
        <v>#REF!</v>
      </c>
      <c r="C33" s="28" t="e">
        <f t="shared" si="4"/>
        <v>#REF!</v>
      </c>
      <c r="D33" s="28" t="e">
        <f t="shared" si="5"/>
        <v>#REF!</v>
      </c>
      <c r="E33" s="28" t="e">
        <f t="shared" si="6"/>
        <v>#REF!</v>
      </c>
      <c r="F33" s="28" t="e">
        <f t="shared" si="7"/>
        <v>#REF!</v>
      </c>
      <c r="G33" s="26">
        <f>'[2]Densidad de Grupos'!J29</f>
        <v>0</v>
      </c>
      <c r="H33" s="26" t="e">
        <f>#REF!</f>
        <v>#REF!</v>
      </c>
      <c r="I33" s="29" t="e">
        <f t="shared" si="0"/>
        <v>#REF!</v>
      </c>
      <c r="J33" s="29" t="e">
        <f t="shared" si="1"/>
        <v>#REF!</v>
      </c>
    </row>
    <row r="34" spans="1:10" x14ac:dyDescent="0.2">
      <c r="A34" s="27" t="e">
        <f t="shared" si="2"/>
        <v>#REF!</v>
      </c>
      <c r="B34" s="28" t="e">
        <f t="shared" si="3"/>
        <v>#REF!</v>
      </c>
      <c r="C34" s="28" t="e">
        <f t="shared" si="4"/>
        <v>#REF!</v>
      </c>
      <c r="D34" s="28" t="e">
        <f t="shared" si="5"/>
        <v>#REF!</v>
      </c>
      <c r="E34" s="28" t="e">
        <f t="shared" si="6"/>
        <v>#REF!</v>
      </c>
      <c r="F34" s="28" t="e">
        <f t="shared" si="7"/>
        <v>#REF!</v>
      </c>
      <c r="G34" s="26">
        <f>'[2]Densidad de Grupos'!J30</f>
        <v>0</v>
      </c>
      <c r="H34" s="26" t="e">
        <f>#REF!</f>
        <v>#REF!</v>
      </c>
      <c r="I34" s="29" t="e">
        <f t="shared" si="0"/>
        <v>#REF!</v>
      </c>
      <c r="J34" s="29" t="e">
        <f t="shared" si="1"/>
        <v>#REF!</v>
      </c>
    </row>
    <row r="35" spans="1:10" x14ac:dyDescent="0.2">
      <c r="A35" s="27" t="e">
        <f t="shared" si="2"/>
        <v>#REF!</v>
      </c>
      <c r="B35" s="28" t="e">
        <f t="shared" si="3"/>
        <v>#REF!</v>
      </c>
      <c r="C35" s="28" t="e">
        <f t="shared" si="4"/>
        <v>#REF!</v>
      </c>
      <c r="D35" s="28" t="e">
        <f t="shared" si="5"/>
        <v>#REF!</v>
      </c>
      <c r="E35" s="28" t="e">
        <f t="shared" si="6"/>
        <v>#REF!</v>
      </c>
      <c r="F35" s="28" t="e">
        <f t="shared" si="7"/>
        <v>#REF!</v>
      </c>
      <c r="G35" s="26">
        <f>'[2]Densidad de Grupos'!J31</f>
        <v>0</v>
      </c>
      <c r="H35" s="26" t="e">
        <f>#REF!</f>
        <v>#REF!</v>
      </c>
      <c r="I35" s="29" t="e">
        <f t="shared" si="0"/>
        <v>#REF!</v>
      </c>
      <c r="J35" s="29" t="e">
        <f t="shared" si="1"/>
        <v>#REF!</v>
      </c>
    </row>
    <row r="36" spans="1:10" x14ac:dyDescent="0.2">
      <c r="A36" s="27" t="e">
        <f t="shared" si="2"/>
        <v>#REF!</v>
      </c>
      <c r="B36" s="28" t="e">
        <f t="shared" si="3"/>
        <v>#REF!</v>
      </c>
      <c r="C36" s="28" t="e">
        <f t="shared" si="4"/>
        <v>#REF!</v>
      </c>
      <c r="D36" s="28" t="e">
        <f t="shared" si="5"/>
        <v>#REF!</v>
      </c>
      <c r="E36" s="28" t="e">
        <f t="shared" si="6"/>
        <v>#REF!</v>
      </c>
      <c r="F36" s="28" t="e">
        <f t="shared" si="7"/>
        <v>#REF!</v>
      </c>
      <c r="G36" s="26">
        <f>'[2]Densidad de Grupos'!J32</f>
        <v>0</v>
      </c>
      <c r="H36" s="26" t="e">
        <f>#REF!</f>
        <v>#REF!</v>
      </c>
      <c r="I36" s="29" t="e">
        <f t="shared" si="0"/>
        <v>#REF!</v>
      </c>
      <c r="J36" s="29" t="e">
        <f t="shared" si="1"/>
        <v>#REF!</v>
      </c>
    </row>
    <row r="37" spans="1:10" x14ac:dyDescent="0.2">
      <c r="A37" s="27" t="e">
        <f t="shared" si="2"/>
        <v>#REF!</v>
      </c>
      <c r="B37" s="28" t="e">
        <f t="shared" si="3"/>
        <v>#REF!</v>
      </c>
      <c r="C37" s="28" t="e">
        <f t="shared" si="4"/>
        <v>#REF!</v>
      </c>
      <c r="D37" s="28" t="e">
        <f t="shared" si="5"/>
        <v>#REF!</v>
      </c>
      <c r="E37" s="28" t="e">
        <f t="shared" si="6"/>
        <v>#REF!</v>
      </c>
      <c r="F37" s="28" t="e">
        <f t="shared" si="7"/>
        <v>#REF!</v>
      </c>
      <c r="G37" s="26">
        <f>'[2]Densidad de Grupos'!J33</f>
        <v>0</v>
      </c>
      <c r="H37" s="26" t="e">
        <f>#REF!</f>
        <v>#REF!</v>
      </c>
      <c r="I37" s="29" t="e">
        <f t="shared" si="0"/>
        <v>#REF!</v>
      </c>
      <c r="J37" s="29" t="e">
        <f t="shared" si="1"/>
        <v>#REF!</v>
      </c>
    </row>
    <row r="38" spans="1:10" x14ac:dyDescent="0.2">
      <c r="A38" s="27" t="e">
        <f t="shared" si="2"/>
        <v>#REF!</v>
      </c>
      <c r="B38" s="28" t="e">
        <f t="shared" si="3"/>
        <v>#REF!</v>
      </c>
      <c r="C38" s="28" t="e">
        <f t="shared" si="4"/>
        <v>#REF!</v>
      </c>
      <c r="D38" s="28" t="e">
        <f t="shared" si="5"/>
        <v>#REF!</v>
      </c>
      <c r="E38" s="28" t="e">
        <f t="shared" si="6"/>
        <v>#REF!</v>
      </c>
      <c r="F38" s="28" t="e">
        <f t="shared" si="7"/>
        <v>#REF!</v>
      </c>
      <c r="G38" s="26">
        <f>'[2]Densidad de Grupos'!J34</f>
        <v>0</v>
      </c>
      <c r="H38" s="26" t="e">
        <f>#REF!</f>
        <v>#REF!</v>
      </c>
      <c r="I38" s="29" t="e">
        <f t="shared" si="0"/>
        <v>#REF!</v>
      </c>
      <c r="J38" s="29" t="e">
        <f t="shared" si="1"/>
        <v>#REF!</v>
      </c>
    </row>
    <row r="39" spans="1:10" x14ac:dyDescent="0.2">
      <c r="A39" s="27" t="e">
        <f t="shared" si="2"/>
        <v>#REF!</v>
      </c>
      <c r="B39" s="28" t="e">
        <f t="shared" si="3"/>
        <v>#REF!</v>
      </c>
      <c r="C39" s="28" t="e">
        <f t="shared" si="4"/>
        <v>#REF!</v>
      </c>
      <c r="D39" s="28" t="e">
        <f t="shared" si="5"/>
        <v>#REF!</v>
      </c>
      <c r="E39" s="28" t="e">
        <f t="shared" si="6"/>
        <v>#REF!</v>
      </c>
      <c r="F39" s="28" t="e">
        <f t="shared" si="7"/>
        <v>#REF!</v>
      </c>
      <c r="G39" s="26">
        <f>'[2]Densidad de Grupos'!J35</f>
        <v>0</v>
      </c>
      <c r="H39" s="26" t="e">
        <f>#REF!</f>
        <v>#REF!</v>
      </c>
      <c r="I39" s="29" t="e">
        <f t="shared" si="0"/>
        <v>#REF!</v>
      </c>
      <c r="J39" s="29" t="e">
        <f t="shared" si="1"/>
        <v>#REF!</v>
      </c>
    </row>
    <row r="40" spans="1:10" x14ac:dyDescent="0.2">
      <c r="A40" s="27" t="e">
        <f t="shared" si="2"/>
        <v>#REF!</v>
      </c>
      <c r="B40" s="28" t="e">
        <f t="shared" si="3"/>
        <v>#REF!</v>
      </c>
      <c r="C40" s="28" t="e">
        <f t="shared" si="4"/>
        <v>#REF!</v>
      </c>
      <c r="D40" s="28" t="e">
        <f t="shared" si="5"/>
        <v>#REF!</v>
      </c>
      <c r="E40" s="28" t="e">
        <f t="shared" si="6"/>
        <v>#REF!</v>
      </c>
      <c r="F40" s="28" t="e">
        <f t="shared" si="7"/>
        <v>#REF!</v>
      </c>
      <c r="G40" s="26">
        <f>'[2]Densidad de Grupos'!J36</f>
        <v>0</v>
      </c>
      <c r="H40" s="26" t="e">
        <f>#REF!</f>
        <v>#REF!</v>
      </c>
      <c r="I40" s="29" t="e">
        <f t="shared" si="0"/>
        <v>#REF!</v>
      </c>
      <c r="J40" s="29" t="e">
        <f t="shared" si="1"/>
        <v>#REF!</v>
      </c>
    </row>
    <row r="41" spans="1:10" x14ac:dyDescent="0.2">
      <c r="A41" s="27" t="e">
        <f t="shared" si="2"/>
        <v>#REF!</v>
      </c>
      <c r="B41" s="28" t="e">
        <f t="shared" si="3"/>
        <v>#REF!</v>
      </c>
      <c r="C41" s="28" t="e">
        <f t="shared" si="4"/>
        <v>#REF!</v>
      </c>
      <c r="D41" s="28" t="e">
        <f t="shared" si="5"/>
        <v>#REF!</v>
      </c>
      <c r="E41" s="28" t="e">
        <f t="shared" si="6"/>
        <v>#REF!</v>
      </c>
      <c r="F41" s="28" t="e">
        <f t="shared" si="7"/>
        <v>#REF!</v>
      </c>
      <c r="G41" s="26">
        <f>'[2]Densidad de Grupos'!J37</f>
        <v>0</v>
      </c>
      <c r="H41" s="26" t="e">
        <f>#REF!</f>
        <v>#REF!</v>
      </c>
      <c r="I41" s="29" t="e">
        <f t="shared" si="0"/>
        <v>#REF!</v>
      </c>
      <c r="J41" s="29" t="e">
        <f t="shared" si="1"/>
        <v>#REF!</v>
      </c>
    </row>
    <row r="42" spans="1:10" x14ac:dyDescent="0.2">
      <c r="A42" s="27" t="e">
        <f t="shared" si="2"/>
        <v>#REF!</v>
      </c>
      <c r="B42" s="28" t="e">
        <f t="shared" si="3"/>
        <v>#REF!</v>
      </c>
      <c r="C42" s="28" t="e">
        <f t="shared" si="4"/>
        <v>#REF!</v>
      </c>
      <c r="D42" s="28" t="e">
        <f t="shared" si="5"/>
        <v>#REF!</v>
      </c>
      <c r="E42" s="28" t="e">
        <f t="shared" si="6"/>
        <v>#REF!</v>
      </c>
      <c r="F42" s="28" t="e">
        <f t="shared" si="7"/>
        <v>#REF!</v>
      </c>
      <c r="G42" s="26">
        <f>'[2]Densidad de Grupos'!P18</f>
        <v>0</v>
      </c>
      <c r="H42" s="26" t="e">
        <f>#REF!</f>
        <v>#REF!</v>
      </c>
      <c r="I42" s="29" t="e">
        <f t="shared" si="0"/>
        <v>#REF!</v>
      </c>
      <c r="J42" s="29" t="e">
        <f t="shared" si="1"/>
        <v>#REF!</v>
      </c>
    </row>
    <row r="43" spans="1:10" x14ac:dyDescent="0.2">
      <c r="A43" s="27" t="e">
        <f t="shared" si="2"/>
        <v>#REF!</v>
      </c>
      <c r="B43" s="28" t="e">
        <f t="shared" si="3"/>
        <v>#REF!</v>
      </c>
      <c r="C43" s="28" t="e">
        <f t="shared" si="4"/>
        <v>#REF!</v>
      </c>
      <c r="D43" s="28" t="e">
        <f t="shared" si="5"/>
        <v>#REF!</v>
      </c>
      <c r="E43" s="28" t="e">
        <f t="shared" si="6"/>
        <v>#REF!</v>
      </c>
      <c r="F43" s="28" t="e">
        <f t="shared" si="7"/>
        <v>#REF!</v>
      </c>
      <c r="G43" s="26">
        <f>'[2]Densidad de Grupos'!P19</f>
        <v>0</v>
      </c>
      <c r="H43" s="26" t="e">
        <f>#REF!</f>
        <v>#REF!</v>
      </c>
      <c r="I43" s="29" t="e">
        <f t="shared" si="0"/>
        <v>#REF!</v>
      </c>
      <c r="J43" s="29" t="e">
        <f t="shared" si="1"/>
        <v>#REF!</v>
      </c>
    </row>
    <row r="44" spans="1:10" x14ac:dyDescent="0.2">
      <c r="A44" s="27" t="e">
        <f t="shared" si="2"/>
        <v>#REF!</v>
      </c>
      <c r="B44" s="28" t="e">
        <f t="shared" si="3"/>
        <v>#REF!</v>
      </c>
      <c r="C44" s="28" t="e">
        <f t="shared" si="4"/>
        <v>#REF!</v>
      </c>
      <c r="D44" s="28" t="e">
        <f t="shared" si="5"/>
        <v>#REF!</v>
      </c>
      <c r="E44" s="28" t="e">
        <f t="shared" si="6"/>
        <v>#REF!</v>
      </c>
      <c r="F44" s="28" t="e">
        <f t="shared" si="7"/>
        <v>#REF!</v>
      </c>
      <c r="G44" s="26">
        <f>'[2]Densidad de Grupos'!P20</f>
        <v>0</v>
      </c>
      <c r="H44" s="26" t="e">
        <f>#REF!</f>
        <v>#REF!</v>
      </c>
      <c r="I44" s="29" t="e">
        <f t="shared" si="0"/>
        <v>#REF!</v>
      </c>
      <c r="J44" s="29" t="e">
        <f t="shared" si="1"/>
        <v>#REF!</v>
      </c>
    </row>
    <row r="45" spans="1:10" x14ac:dyDescent="0.2">
      <c r="A45" s="27" t="e">
        <f t="shared" si="2"/>
        <v>#REF!</v>
      </c>
      <c r="B45" s="28" t="e">
        <f t="shared" si="3"/>
        <v>#REF!</v>
      </c>
      <c r="C45" s="28" t="e">
        <f t="shared" si="4"/>
        <v>#REF!</v>
      </c>
      <c r="D45" s="28" t="e">
        <f t="shared" si="5"/>
        <v>#REF!</v>
      </c>
      <c r="E45" s="28" t="e">
        <f t="shared" si="6"/>
        <v>#REF!</v>
      </c>
      <c r="F45" s="28" t="e">
        <f t="shared" si="7"/>
        <v>#REF!</v>
      </c>
      <c r="G45" s="26">
        <f>'[2]Densidad de Grupos'!P21</f>
        <v>0</v>
      </c>
      <c r="H45" s="26" t="e">
        <f>#REF!</f>
        <v>#REF!</v>
      </c>
      <c r="I45" s="29" t="e">
        <f t="shared" si="0"/>
        <v>#REF!</v>
      </c>
      <c r="J45" s="29" t="e">
        <f t="shared" si="1"/>
        <v>#REF!</v>
      </c>
    </row>
    <row r="46" spans="1:10" x14ac:dyDescent="0.2">
      <c r="A46" s="27" t="e">
        <f t="shared" si="2"/>
        <v>#REF!</v>
      </c>
      <c r="B46" s="28" t="e">
        <f t="shared" si="3"/>
        <v>#REF!</v>
      </c>
      <c r="C46" s="28" t="e">
        <f t="shared" si="4"/>
        <v>#REF!</v>
      </c>
      <c r="D46" s="28" t="e">
        <f t="shared" si="5"/>
        <v>#REF!</v>
      </c>
      <c r="E46" s="28" t="e">
        <f t="shared" si="6"/>
        <v>#REF!</v>
      </c>
      <c r="F46" s="28" t="e">
        <f t="shared" si="7"/>
        <v>#REF!</v>
      </c>
      <c r="G46" s="26">
        <f>'[2]Densidad de Grupos'!P22</f>
        <v>0</v>
      </c>
      <c r="H46" s="26" t="e">
        <f>#REF!</f>
        <v>#REF!</v>
      </c>
      <c r="I46" s="29" t="e">
        <f t="shared" si="0"/>
        <v>#REF!</v>
      </c>
      <c r="J46" s="29" t="e">
        <f t="shared" si="1"/>
        <v>#REF!</v>
      </c>
    </row>
    <row r="47" spans="1:10" x14ac:dyDescent="0.2">
      <c r="A47" s="27" t="e">
        <f t="shared" si="2"/>
        <v>#REF!</v>
      </c>
      <c r="B47" s="28" t="e">
        <f t="shared" si="3"/>
        <v>#REF!</v>
      </c>
      <c r="C47" s="28" t="e">
        <f t="shared" si="4"/>
        <v>#REF!</v>
      </c>
      <c r="D47" s="28" t="e">
        <f t="shared" si="5"/>
        <v>#REF!</v>
      </c>
      <c r="E47" s="28" t="e">
        <f t="shared" si="6"/>
        <v>#REF!</v>
      </c>
      <c r="F47" s="28" t="e">
        <f t="shared" si="7"/>
        <v>#REF!</v>
      </c>
      <c r="G47" s="26">
        <f>'[2]Densidad de Grupos'!P23</f>
        <v>0</v>
      </c>
      <c r="H47" s="26" t="e">
        <f>#REF!</f>
        <v>#REF!</v>
      </c>
      <c r="I47" s="29" t="e">
        <f t="shared" si="0"/>
        <v>#REF!</v>
      </c>
      <c r="J47" s="29" t="e">
        <f t="shared" si="1"/>
        <v>#REF!</v>
      </c>
    </row>
    <row r="48" spans="1:10" x14ac:dyDescent="0.2">
      <c r="A48" s="27" t="e">
        <f t="shared" si="2"/>
        <v>#REF!</v>
      </c>
      <c r="B48" s="28" t="e">
        <f t="shared" si="3"/>
        <v>#REF!</v>
      </c>
      <c r="C48" s="28" t="e">
        <f t="shared" si="4"/>
        <v>#REF!</v>
      </c>
      <c r="D48" s="28" t="e">
        <f t="shared" si="5"/>
        <v>#REF!</v>
      </c>
      <c r="E48" s="28" t="e">
        <f t="shared" si="6"/>
        <v>#REF!</v>
      </c>
      <c r="F48" s="28" t="e">
        <f t="shared" si="7"/>
        <v>#REF!</v>
      </c>
      <c r="G48" s="26">
        <f>'[2]Densidad de Grupos'!P24</f>
        <v>0</v>
      </c>
      <c r="H48" s="26" t="e">
        <f>#REF!</f>
        <v>#REF!</v>
      </c>
      <c r="I48" s="29" t="e">
        <f t="shared" si="0"/>
        <v>#REF!</v>
      </c>
      <c r="J48" s="29" t="e">
        <f t="shared" si="1"/>
        <v>#REF!</v>
      </c>
    </row>
    <row r="49" spans="1:10" x14ac:dyDescent="0.2">
      <c r="A49" s="27" t="e">
        <f t="shared" si="2"/>
        <v>#REF!</v>
      </c>
      <c r="B49" s="28" t="e">
        <f t="shared" si="3"/>
        <v>#REF!</v>
      </c>
      <c r="C49" s="28" t="e">
        <f t="shared" si="4"/>
        <v>#REF!</v>
      </c>
      <c r="D49" s="28" t="e">
        <f t="shared" si="5"/>
        <v>#REF!</v>
      </c>
      <c r="E49" s="28" t="e">
        <f t="shared" si="6"/>
        <v>#REF!</v>
      </c>
      <c r="F49" s="28" t="e">
        <f t="shared" si="7"/>
        <v>#REF!</v>
      </c>
      <c r="G49" s="26">
        <f>'[2]Densidad de Grupos'!P25</f>
        <v>0</v>
      </c>
      <c r="H49" s="26" t="e">
        <f>#REF!</f>
        <v>#REF!</v>
      </c>
      <c r="I49" s="29" t="e">
        <f t="shared" si="0"/>
        <v>#REF!</v>
      </c>
      <c r="J49" s="29" t="e">
        <f t="shared" si="1"/>
        <v>#REF!</v>
      </c>
    </row>
    <row r="50" spans="1:10" x14ac:dyDescent="0.2">
      <c r="A50" s="27" t="e">
        <f t="shared" si="2"/>
        <v>#REF!</v>
      </c>
      <c r="B50" s="28" t="e">
        <f t="shared" si="3"/>
        <v>#REF!</v>
      </c>
      <c r="C50" s="28" t="e">
        <f t="shared" si="4"/>
        <v>#REF!</v>
      </c>
      <c r="D50" s="28" t="e">
        <f t="shared" si="5"/>
        <v>#REF!</v>
      </c>
      <c r="E50" s="28" t="e">
        <f t="shared" si="6"/>
        <v>#REF!</v>
      </c>
      <c r="F50" s="28" t="e">
        <f t="shared" si="7"/>
        <v>#REF!</v>
      </c>
      <c r="G50" s="26">
        <f>'[2]Densidad de Grupos'!P26</f>
        <v>0</v>
      </c>
      <c r="H50" s="26" t="e">
        <f>#REF!</f>
        <v>#REF!</v>
      </c>
      <c r="I50" s="29" t="e">
        <f t="shared" si="0"/>
        <v>#REF!</v>
      </c>
      <c r="J50" s="29" t="e">
        <f t="shared" si="1"/>
        <v>#REF!</v>
      </c>
    </row>
    <row r="51" spans="1:10" x14ac:dyDescent="0.2">
      <c r="A51" s="27" t="e">
        <f t="shared" si="2"/>
        <v>#REF!</v>
      </c>
      <c r="B51" s="28" t="e">
        <f t="shared" si="3"/>
        <v>#REF!</v>
      </c>
      <c r="C51" s="28" t="e">
        <f t="shared" si="4"/>
        <v>#REF!</v>
      </c>
      <c r="D51" s="28" t="e">
        <f t="shared" si="5"/>
        <v>#REF!</v>
      </c>
      <c r="E51" s="28" t="e">
        <f t="shared" si="6"/>
        <v>#REF!</v>
      </c>
      <c r="F51" s="28" t="e">
        <f t="shared" si="7"/>
        <v>#REF!</v>
      </c>
      <c r="G51" s="26">
        <f>'[2]Densidad de Grupos'!P27</f>
        <v>0</v>
      </c>
      <c r="H51" s="26" t="e">
        <f>#REF!</f>
        <v>#REF!</v>
      </c>
      <c r="I51" s="29" t="e">
        <f t="shared" si="0"/>
        <v>#REF!</v>
      </c>
      <c r="J51" s="29" t="e">
        <f t="shared" si="1"/>
        <v>#REF!</v>
      </c>
    </row>
    <row r="52" spans="1:10" x14ac:dyDescent="0.2">
      <c r="A52" s="27" t="e">
        <f t="shared" si="2"/>
        <v>#REF!</v>
      </c>
      <c r="B52" s="28" t="e">
        <f t="shared" si="3"/>
        <v>#REF!</v>
      </c>
      <c r="C52" s="28" t="e">
        <f t="shared" si="4"/>
        <v>#REF!</v>
      </c>
      <c r="D52" s="28" t="e">
        <f t="shared" si="5"/>
        <v>#REF!</v>
      </c>
      <c r="E52" s="28" t="e">
        <f t="shared" si="6"/>
        <v>#REF!</v>
      </c>
      <c r="F52" s="28" t="e">
        <f t="shared" si="7"/>
        <v>#REF!</v>
      </c>
      <c r="G52" s="26">
        <f>'[2]Densidad de Grupos'!P28</f>
        <v>0</v>
      </c>
      <c r="H52" s="26" t="e">
        <f>#REF!</f>
        <v>#REF!</v>
      </c>
      <c r="I52" s="29" t="e">
        <f t="shared" si="0"/>
        <v>#REF!</v>
      </c>
      <c r="J52" s="29" t="e">
        <f t="shared" si="1"/>
        <v>#REF!</v>
      </c>
    </row>
    <row r="53" spans="1:10" x14ac:dyDescent="0.2">
      <c r="A53" s="27" t="e">
        <f t="shared" si="2"/>
        <v>#REF!</v>
      </c>
      <c r="B53" s="28" t="e">
        <f t="shared" si="3"/>
        <v>#REF!</v>
      </c>
      <c r="C53" s="28" t="e">
        <f t="shared" si="4"/>
        <v>#REF!</v>
      </c>
      <c r="D53" s="28" t="e">
        <f t="shared" si="5"/>
        <v>#REF!</v>
      </c>
      <c r="E53" s="28" t="e">
        <f t="shared" si="6"/>
        <v>#REF!</v>
      </c>
      <c r="F53" s="28" t="e">
        <f t="shared" si="7"/>
        <v>#REF!</v>
      </c>
      <c r="G53" s="26">
        <f>'[2]Densidad de Grupos'!P29</f>
        <v>0</v>
      </c>
      <c r="H53" s="26" t="e">
        <f>#REF!</f>
        <v>#REF!</v>
      </c>
      <c r="I53" s="29" t="e">
        <f t="shared" si="0"/>
        <v>#REF!</v>
      </c>
      <c r="J53" s="29" t="e">
        <f t="shared" si="1"/>
        <v>#REF!</v>
      </c>
    </row>
    <row r="54" spans="1:10" x14ac:dyDescent="0.2">
      <c r="A54" s="27" t="e">
        <f t="shared" si="2"/>
        <v>#REF!</v>
      </c>
      <c r="B54" s="28" t="e">
        <f t="shared" si="3"/>
        <v>#REF!</v>
      </c>
      <c r="C54" s="28" t="e">
        <f t="shared" si="4"/>
        <v>#REF!</v>
      </c>
      <c r="D54" s="28" t="e">
        <f t="shared" si="5"/>
        <v>#REF!</v>
      </c>
      <c r="E54" s="28" t="e">
        <f t="shared" si="6"/>
        <v>#REF!</v>
      </c>
      <c r="F54" s="28" t="e">
        <f t="shared" si="7"/>
        <v>#REF!</v>
      </c>
      <c r="G54" s="26">
        <f>'[2]Densidad de Grupos'!P30</f>
        <v>0</v>
      </c>
      <c r="H54" s="26" t="e">
        <f>#REF!</f>
        <v>#REF!</v>
      </c>
      <c r="I54" s="29" t="e">
        <f t="shared" si="0"/>
        <v>#REF!</v>
      </c>
      <c r="J54" s="29" t="e">
        <f t="shared" si="1"/>
        <v>#REF!</v>
      </c>
    </row>
    <row r="55" spans="1:10" x14ac:dyDescent="0.2">
      <c r="A55" s="27" t="e">
        <f t="shared" si="2"/>
        <v>#REF!</v>
      </c>
      <c r="B55" s="28" t="e">
        <f t="shared" si="3"/>
        <v>#REF!</v>
      </c>
      <c r="C55" s="28" t="e">
        <f t="shared" si="4"/>
        <v>#REF!</v>
      </c>
      <c r="D55" s="28" t="e">
        <f t="shared" si="5"/>
        <v>#REF!</v>
      </c>
      <c r="E55" s="28" t="e">
        <f t="shared" si="6"/>
        <v>#REF!</v>
      </c>
      <c r="F55" s="28" t="e">
        <f t="shared" si="7"/>
        <v>#REF!</v>
      </c>
      <c r="G55" s="26">
        <f>'[2]Densidad de Grupos'!P31</f>
        <v>0</v>
      </c>
      <c r="H55" s="26" t="e">
        <f>#REF!</f>
        <v>#REF!</v>
      </c>
      <c r="I55" s="29" t="e">
        <f t="shared" si="0"/>
        <v>#REF!</v>
      </c>
      <c r="J55" s="29" t="e">
        <f t="shared" si="1"/>
        <v>#REF!</v>
      </c>
    </row>
    <row r="56" spans="1:10" x14ac:dyDescent="0.2">
      <c r="A56" s="27" t="e">
        <f t="shared" si="2"/>
        <v>#REF!</v>
      </c>
      <c r="B56" s="28" t="e">
        <f t="shared" si="3"/>
        <v>#REF!</v>
      </c>
      <c r="C56" s="28" t="e">
        <f t="shared" si="4"/>
        <v>#REF!</v>
      </c>
      <c r="D56" s="28" t="e">
        <f t="shared" si="5"/>
        <v>#REF!</v>
      </c>
      <c r="E56" s="28" t="e">
        <f t="shared" si="6"/>
        <v>#REF!</v>
      </c>
      <c r="F56" s="28" t="e">
        <f t="shared" si="7"/>
        <v>#REF!</v>
      </c>
      <c r="G56" s="26">
        <f>'[2]Densidad de Grupos'!P32</f>
        <v>0</v>
      </c>
      <c r="H56" s="26" t="e">
        <f>#REF!</f>
        <v>#REF!</v>
      </c>
      <c r="I56" s="29" t="e">
        <f t="shared" si="0"/>
        <v>#REF!</v>
      </c>
      <c r="J56" s="29" t="e">
        <f t="shared" si="1"/>
        <v>#REF!</v>
      </c>
    </row>
    <row r="57" spans="1:10" x14ac:dyDescent="0.2">
      <c r="A57" s="27" t="e">
        <f t="shared" si="2"/>
        <v>#REF!</v>
      </c>
      <c r="B57" s="28" t="e">
        <f t="shared" si="3"/>
        <v>#REF!</v>
      </c>
      <c r="C57" s="28" t="e">
        <f t="shared" si="4"/>
        <v>#REF!</v>
      </c>
      <c r="D57" s="28" t="e">
        <f t="shared" si="5"/>
        <v>#REF!</v>
      </c>
      <c r="E57" s="28" t="e">
        <f t="shared" si="6"/>
        <v>#REF!</v>
      </c>
      <c r="F57" s="28" t="e">
        <f t="shared" si="7"/>
        <v>#REF!</v>
      </c>
      <c r="G57" s="26">
        <f>'[2]Densidad de Grupos'!P33</f>
        <v>0</v>
      </c>
      <c r="H57" s="26" t="e">
        <f>#REF!</f>
        <v>#REF!</v>
      </c>
      <c r="I57" s="29" t="e">
        <f t="shared" si="0"/>
        <v>#REF!</v>
      </c>
      <c r="J57" s="29" t="e">
        <f t="shared" si="1"/>
        <v>#REF!</v>
      </c>
    </row>
    <row r="58" spans="1:10" x14ac:dyDescent="0.2">
      <c r="A58" s="27" t="e">
        <f t="shared" si="2"/>
        <v>#REF!</v>
      </c>
      <c r="B58" s="28" t="e">
        <f t="shared" si="3"/>
        <v>#REF!</v>
      </c>
      <c r="C58" s="28" t="e">
        <f t="shared" si="4"/>
        <v>#REF!</v>
      </c>
      <c r="D58" s="28" t="e">
        <f t="shared" si="5"/>
        <v>#REF!</v>
      </c>
      <c r="E58" s="28" t="e">
        <f t="shared" si="6"/>
        <v>#REF!</v>
      </c>
      <c r="F58" s="28" t="e">
        <f t="shared" si="7"/>
        <v>#REF!</v>
      </c>
      <c r="G58" s="26">
        <f>'[2]Densidad de Grupos'!P34</f>
        <v>0</v>
      </c>
      <c r="H58" s="26" t="e">
        <f>#REF!</f>
        <v>#REF!</v>
      </c>
      <c r="I58" s="29" t="e">
        <f t="shared" si="0"/>
        <v>#REF!</v>
      </c>
      <c r="J58" s="29" t="e">
        <f t="shared" si="1"/>
        <v>#REF!</v>
      </c>
    </row>
    <row r="59" spans="1:10" x14ac:dyDescent="0.2">
      <c r="A59" s="27" t="e">
        <f t="shared" si="2"/>
        <v>#REF!</v>
      </c>
      <c r="B59" s="28" t="e">
        <f t="shared" si="3"/>
        <v>#REF!</v>
      </c>
      <c r="C59" s="28" t="e">
        <f t="shared" si="4"/>
        <v>#REF!</v>
      </c>
      <c r="D59" s="28" t="e">
        <f t="shared" si="5"/>
        <v>#REF!</v>
      </c>
      <c r="E59" s="28" t="e">
        <f t="shared" si="6"/>
        <v>#REF!</v>
      </c>
      <c r="F59" s="28" t="e">
        <f t="shared" si="7"/>
        <v>#REF!</v>
      </c>
      <c r="G59" s="26">
        <f>'[2]Densidad de Grupos'!P35</f>
        <v>0</v>
      </c>
      <c r="H59" s="26" t="e">
        <f>#REF!</f>
        <v>#REF!</v>
      </c>
      <c r="I59" s="29" t="e">
        <f t="shared" si="0"/>
        <v>#REF!</v>
      </c>
      <c r="J59" s="29" t="e">
        <f t="shared" si="1"/>
        <v>#REF!</v>
      </c>
    </row>
    <row r="60" spans="1:10" x14ac:dyDescent="0.2">
      <c r="A60" s="27" t="e">
        <f t="shared" si="2"/>
        <v>#REF!</v>
      </c>
      <c r="B60" s="28" t="e">
        <f t="shared" si="3"/>
        <v>#REF!</v>
      </c>
      <c r="C60" s="28" t="e">
        <f t="shared" si="4"/>
        <v>#REF!</v>
      </c>
      <c r="D60" s="28" t="e">
        <f t="shared" si="5"/>
        <v>#REF!</v>
      </c>
      <c r="E60" s="28" t="e">
        <f t="shared" si="6"/>
        <v>#REF!</v>
      </c>
      <c r="F60" s="28" t="e">
        <f t="shared" si="7"/>
        <v>#REF!</v>
      </c>
      <c r="G60" s="26">
        <f>'[2]Densidad de Grupos'!P36</f>
        <v>0</v>
      </c>
      <c r="H60" s="26" t="e">
        <f>#REF!</f>
        <v>#REF!</v>
      </c>
      <c r="I60" s="29" t="e">
        <f t="shared" si="0"/>
        <v>#REF!</v>
      </c>
      <c r="J60" s="29" t="e">
        <f t="shared" si="1"/>
        <v>#REF!</v>
      </c>
    </row>
    <row r="61" spans="1:10" x14ac:dyDescent="0.2">
      <c r="A61" s="27" t="e">
        <f t="shared" si="2"/>
        <v>#REF!</v>
      </c>
      <c r="B61" s="28" t="e">
        <f t="shared" si="3"/>
        <v>#REF!</v>
      </c>
      <c r="C61" s="28" t="e">
        <f t="shared" si="4"/>
        <v>#REF!</v>
      </c>
      <c r="D61" s="28" t="e">
        <f t="shared" si="5"/>
        <v>#REF!</v>
      </c>
      <c r="E61" s="28" t="e">
        <f t="shared" si="6"/>
        <v>#REF!</v>
      </c>
      <c r="F61" s="28" t="e">
        <f t="shared" si="7"/>
        <v>#REF!</v>
      </c>
      <c r="G61" s="26">
        <f>'[2]Densidad de Grupos'!P37</f>
        <v>0</v>
      </c>
      <c r="H61" s="26" t="e">
        <f>#REF!</f>
        <v>#REF!</v>
      </c>
      <c r="I61" s="29" t="e">
        <f t="shared" si="0"/>
        <v>#REF!</v>
      </c>
      <c r="J61" s="29" t="e">
        <f t="shared" si="1"/>
        <v>#REF!</v>
      </c>
    </row>
    <row r="62" spans="1:10" x14ac:dyDescent="0.2">
      <c r="A62" s="27" t="e">
        <f t="shared" si="2"/>
        <v>#REF!</v>
      </c>
      <c r="B62" s="28" t="e">
        <f t="shared" si="3"/>
        <v>#REF!</v>
      </c>
      <c r="C62" s="28" t="e">
        <f t="shared" si="4"/>
        <v>#REF!</v>
      </c>
      <c r="D62" s="28" t="e">
        <f t="shared" si="5"/>
        <v>#REF!</v>
      </c>
      <c r="E62" s="28" t="e">
        <f t="shared" si="6"/>
        <v>#REF!</v>
      </c>
      <c r="F62" s="28" t="e">
        <f t="shared" si="7"/>
        <v>#REF!</v>
      </c>
      <c r="G62" s="26">
        <f>'[2]Densidad de Grupos'!W18</f>
        <v>0</v>
      </c>
      <c r="H62" s="26" t="e">
        <f>#REF!</f>
        <v>#REF!</v>
      </c>
      <c r="I62" s="29" t="e">
        <f t="shared" si="0"/>
        <v>#REF!</v>
      </c>
      <c r="J62" s="29" t="e">
        <f t="shared" si="1"/>
        <v>#REF!</v>
      </c>
    </row>
    <row r="63" spans="1:10" x14ac:dyDescent="0.2">
      <c r="A63" s="27" t="e">
        <f t="shared" si="2"/>
        <v>#REF!</v>
      </c>
      <c r="B63" s="28" t="e">
        <f t="shared" si="3"/>
        <v>#REF!</v>
      </c>
      <c r="C63" s="28" t="e">
        <f t="shared" si="4"/>
        <v>#REF!</v>
      </c>
      <c r="D63" s="28" t="e">
        <f t="shared" si="5"/>
        <v>#REF!</v>
      </c>
      <c r="E63" s="28" t="e">
        <f t="shared" si="6"/>
        <v>#REF!</v>
      </c>
      <c r="F63" s="28" t="e">
        <f t="shared" si="7"/>
        <v>#REF!</v>
      </c>
      <c r="G63" s="26">
        <f>'[2]Densidad de Grupos'!W19</f>
        <v>0</v>
      </c>
      <c r="H63" s="26" t="e">
        <f>#REF!</f>
        <v>#REF!</v>
      </c>
      <c r="I63" s="29" t="e">
        <f t="shared" si="0"/>
        <v>#REF!</v>
      </c>
      <c r="J63" s="29" t="e">
        <f t="shared" si="1"/>
        <v>#REF!</v>
      </c>
    </row>
    <row r="64" spans="1:10" x14ac:dyDescent="0.2">
      <c r="A64" s="27" t="e">
        <f t="shared" si="2"/>
        <v>#REF!</v>
      </c>
      <c r="B64" s="28" t="e">
        <f t="shared" si="3"/>
        <v>#REF!</v>
      </c>
      <c r="C64" s="28" t="e">
        <f t="shared" si="4"/>
        <v>#REF!</v>
      </c>
      <c r="D64" s="28" t="e">
        <f t="shared" si="5"/>
        <v>#REF!</v>
      </c>
      <c r="E64" s="28" t="e">
        <f t="shared" si="6"/>
        <v>#REF!</v>
      </c>
      <c r="F64" s="28" t="e">
        <f t="shared" si="7"/>
        <v>#REF!</v>
      </c>
      <c r="G64" s="26">
        <f>'[2]Densidad de Grupos'!W20</f>
        <v>0</v>
      </c>
      <c r="H64" s="26" t="e">
        <f>#REF!</f>
        <v>#REF!</v>
      </c>
      <c r="I64" s="29" t="e">
        <f t="shared" si="0"/>
        <v>#REF!</v>
      </c>
      <c r="J64" s="29" t="e">
        <f t="shared" si="1"/>
        <v>#REF!</v>
      </c>
    </row>
    <row r="65" spans="1:10" x14ac:dyDescent="0.2">
      <c r="A65" s="27" t="e">
        <f t="shared" si="2"/>
        <v>#REF!</v>
      </c>
      <c r="B65" s="28" t="e">
        <f t="shared" si="3"/>
        <v>#REF!</v>
      </c>
      <c r="C65" s="28" t="e">
        <f t="shared" si="4"/>
        <v>#REF!</v>
      </c>
      <c r="D65" s="28" t="e">
        <f t="shared" si="5"/>
        <v>#REF!</v>
      </c>
      <c r="E65" s="28" t="e">
        <f t="shared" si="6"/>
        <v>#REF!</v>
      </c>
      <c r="F65" s="28" t="e">
        <f t="shared" si="7"/>
        <v>#REF!</v>
      </c>
      <c r="G65" s="26">
        <f>'[2]Densidad de Grupos'!W21</f>
        <v>0</v>
      </c>
      <c r="H65" s="26" t="e">
        <f>#REF!</f>
        <v>#REF!</v>
      </c>
      <c r="I65" s="29" t="e">
        <f t="shared" si="0"/>
        <v>#REF!</v>
      </c>
      <c r="J65" s="29" t="e">
        <f t="shared" si="1"/>
        <v>#REF!</v>
      </c>
    </row>
    <row r="66" spans="1:10" x14ac:dyDescent="0.2">
      <c r="A66" s="27" t="e">
        <f t="shared" si="2"/>
        <v>#REF!</v>
      </c>
      <c r="B66" s="28" t="e">
        <f t="shared" si="3"/>
        <v>#REF!</v>
      </c>
      <c r="C66" s="28" t="e">
        <f t="shared" si="4"/>
        <v>#REF!</v>
      </c>
      <c r="D66" s="28" t="e">
        <f t="shared" si="5"/>
        <v>#REF!</v>
      </c>
      <c r="E66" s="28" t="e">
        <f t="shared" si="6"/>
        <v>#REF!</v>
      </c>
      <c r="F66" s="28" t="e">
        <f t="shared" si="7"/>
        <v>#REF!</v>
      </c>
      <c r="G66" s="26">
        <f>'[2]Densidad de Grupos'!W22</f>
        <v>0</v>
      </c>
      <c r="H66" s="26" t="e">
        <f>#REF!</f>
        <v>#REF!</v>
      </c>
      <c r="I66" s="29" t="e">
        <f t="shared" si="0"/>
        <v>#REF!</v>
      </c>
      <c r="J66" s="29" t="e">
        <f t="shared" si="1"/>
        <v>#REF!</v>
      </c>
    </row>
    <row r="67" spans="1:10" x14ac:dyDescent="0.2">
      <c r="A67" s="27" t="e">
        <f t="shared" si="2"/>
        <v>#REF!</v>
      </c>
      <c r="B67" s="28" t="e">
        <f t="shared" si="3"/>
        <v>#REF!</v>
      </c>
      <c r="C67" s="28" t="e">
        <f t="shared" si="4"/>
        <v>#REF!</v>
      </c>
      <c r="D67" s="28" t="e">
        <f t="shared" si="5"/>
        <v>#REF!</v>
      </c>
      <c r="E67" s="28" t="e">
        <f t="shared" si="6"/>
        <v>#REF!</v>
      </c>
      <c r="F67" s="28" t="e">
        <f t="shared" si="7"/>
        <v>#REF!</v>
      </c>
      <c r="G67" s="26">
        <f>'[2]Densidad de Grupos'!W23</f>
        <v>0</v>
      </c>
      <c r="H67" s="26" t="e">
        <f>#REF!</f>
        <v>#REF!</v>
      </c>
      <c r="I67" s="29" t="e">
        <f t="shared" ref="I67:I81" si="8">((H67*C67)/(F67*B67))*2</f>
        <v>#REF!</v>
      </c>
      <c r="J67" s="29" t="e">
        <f t="shared" ref="J67:J81" si="9">I67*1000</f>
        <v>#REF!</v>
      </c>
    </row>
    <row r="68" spans="1:10" x14ac:dyDescent="0.2">
      <c r="A68" s="27" t="e">
        <f t="shared" ref="A68:A81" si="10">$A$2</f>
        <v>#REF!</v>
      </c>
      <c r="B68" s="28" t="e">
        <f t="shared" ref="B68:B81" si="11">$B$2</f>
        <v>#REF!</v>
      </c>
      <c r="C68" s="28" t="e">
        <f t="shared" ref="C68:C81" si="12">$C$2</f>
        <v>#REF!</v>
      </c>
      <c r="D68" s="28" t="e">
        <f t="shared" ref="D68:D81" si="13">$D$2</f>
        <v>#REF!</v>
      </c>
      <c r="E68" s="28" t="e">
        <f t="shared" ref="E68:E81" si="14">$E$2</f>
        <v>#REF!</v>
      </c>
      <c r="F68" s="28" t="e">
        <f t="shared" ref="F68:F81" si="15">$F$2</f>
        <v>#REF!</v>
      </c>
      <c r="G68" s="26">
        <f>'[2]Densidad de Grupos'!W24</f>
        <v>0</v>
      </c>
      <c r="H68" s="26" t="e">
        <f>#REF!</f>
        <v>#REF!</v>
      </c>
      <c r="I68" s="29" t="e">
        <f t="shared" si="8"/>
        <v>#REF!</v>
      </c>
      <c r="J68" s="29" t="e">
        <f t="shared" si="9"/>
        <v>#REF!</v>
      </c>
    </row>
    <row r="69" spans="1:10" x14ac:dyDescent="0.2">
      <c r="A69" s="27" t="e">
        <f t="shared" si="10"/>
        <v>#REF!</v>
      </c>
      <c r="B69" s="28" t="e">
        <f t="shared" si="11"/>
        <v>#REF!</v>
      </c>
      <c r="C69" s="28" t="e">
        <f t="shared" si="12"/>
        <v>#REF!</v>
      </c>
      <c r="D69" s="28" t="e">
        <f t="shared" si="13"/>
        <v>#REF!</v>
      </c>
      <c r="E69" s="28" t="e">
        <f t="shared" si="14"/>
        <v>#REF!</v>
      </c>
      <c r="F69" s="28" t="e">
        <f t="shared" si="15"/>
        <v>#REF!</v>
      </c>
      <c r="G69" s="26">
        <f>'[2]Densidad de Grupos'!W25</f>
        <v>0</v>
      </c>
      <c r="H69" s="26" t="e">
        <f>#REF!</f>
        <v>#REF!</v>
      </c>
      <c r="I69" s="29" t="e">
        <f t="shared" si="8"/>
        <v>#REF!</v>
      </c>
      <c r="J69" s="29" t="e">
        <f t="shared" si="9"/>
        <v>#REF!</v>
      </c>
    </row>
    <row r="70" spans="1:10" x14ac:dyDescent="0.2">
      <c r="A70" s="27" t="e">
        <f t="shared" si="10"/>
        <v>#REF!</v>
      </c>
      <c r="B70" s="28" t="e">
        <f t="shared" si="11"/>
        <v>#REF!</v>
      </c>
      <c r="C70" s="28" t="e">
        <f t="shared" si="12"/>
        <v>#REF!</v>
      </c>
      <c r="D70" s="28" t="e">
        <f t="shared" si="13"/>
        <v>#REF!</v>
      </c>
      <c r="E70" s="28" t="e">
        <f t="shared" si="14"/>
        <v>#REF!</v>
      </c>
      <c r="F70" s="28" t="e">
        <f t="shared" si="15"/>
        <v>#REF!</v>
      </c>
      <c r="G70" s="26">
        <f>'[2]Densidad de Grupos'!W26</f>
        <v>0</v>
      </c>
      <c r="H70" s="26" t="e">
        <f>#REF!</f>
        <v>#REF!</v>
      </c>
      <c r="I70" s="29" t="e">
        <f t="shared" si="8"/>
        <v>#REF!</v>
      </c>
      <c r="J70" s="29" t="e">
        <f t="shared" si="9"/>
        <v>#REF!</v>
      </c>
    </row>
    <row r="71" spans="1:10" x14ac:dyDescent="0.2">
      <c r="A71" s="27" t="e">
        <f t="shared" si="10"/>
        <v>#REF!</v>
      </c>
      <c r="B71" s="28" t="e">
        <f t="shared" si="11"/>
        <v>#REF!</v>
      </c>
      <c r="C71" s="28" t="e">
        <f t="shared" si="12"/>
        <v>#REF!</v>
      </c>
      <c r="D71" s="28" t="e">
        <f t="shared" si="13"/>
        <v>#REF!</v>
      </c>
      <c r="E71" s="28" t="e">
        <f t="shared" si="14"/>
        <v>#REF!</v>
      </c>
      <c r="F71" s="28" t="e">
        <f t="shared" si="15"/>
        <v>#REF!</v>
      </c>
      <c r="G71" s="26">
        <f>'[2]Densidad de Grupos'!W27</f>
        <v>0</v>
      </c>
      <c r="H71" s="26" t="e">
        <f>#REF!</f>
        <v>#REF!</v>
      </c>
      <c r="I71" s="29" t="e">
        <f t="shared" si="8"/>
        <v>#REF!</v>
      </c>
      <c r="J71" s="29" t="e">
        <f t="shared" si="9"/>
        <v>#REF!</v>
      </c>
    </row>
    <row r="72" spans="1:10" x14ac:dyDescent="0.2">
      <c r="A72" s="27" t="e">
        <f t="shared" si="10"/>
        <v>#REF!</v>
      </c>
      <c r="B72" s="28" t="e">
        <f t="shared" si="11"/>
        <v>#REF!</v>
      </c>
      <c r="C72" s="28" t="e">
        <f t="shared" si="12"/>
        <v>#REF!</v>
      </c>
      <c r="D72" s="28" t="e">
        <f t="shared" si="13"/>
        <v>#REF!</v>
      </c>
      <c r="E72" s="28" t="e">
        <f t="shared" si="14"/>
        <v>#REF!</v>
      </c>
      <c r="F72" s="28" t="e">
        <f t="shared" si="15"/>
        <v>#REF!</v>
      </c>
      <c r="G72" s="26">
        <f>'[2]Densidad de Grupos'!W28</f>
        <v>0</v>
      </c>
      <c r="H72" s="26" t="e">
        <f>#REF!</f>
        <v>#REF!</v>
      </c>
      <c r="I72" s="29" t="e">
        <f t="shared" si="8"/>
        <v>#REF!</v>
      </c>
      <c r="J72" s="29" t="e">
        <f t="shared" si="9"/>
        <v>#REF!</v>
      </c>
    </row>
    <row r="73" spans="1:10" x14ac:dyDescent="0.2">
      <c r="A73" s="27" t="e">
        <f t="shared" si="10"/>
        <v>#REF!</v>
      </c>
      <c r="B73" s="28" t="e">
        <f t="shared" si="11"/>
        <v>#REF!</v>
      </c>
      <c r="C73" s="28" t="e">
        <f t="shared" si="12"/>
        <v>#REF!</v>
      </c>
      <c r="D73" s="28" t="e">
        <f t="shared" si="13"/>
        <v>#REF!</v>
      </c>
      <c r="E73" s="28" t="e">
        <f t="shared" si="14"/>
        <v>#REF!</v>
      </c>
      <c r="F73" s="28" t="e">
        <f t="shared" si="15"/>
        <v>#REF!</v>
      </c>
      <c r="G73" s="26">
        <f>'[2]Densidad de Grupos'!W29</f>
        <v>0</v>
      </c>
      <c r="H73" s="26" t="e">
        <f>#REF!</f>
        <v>#REF!</v>
      </c>
      <c r="I73" s="29" t="e">
        <f t="shared" si="8"/>
        <v>#REF!</v>
      </c>
      <c r="J73" s="29" t="e">
        <f t="shared" si="9"/>
        <v>#REF!</v>
      </c>
    </row>
    <row r="74" spans="1:10" x14ac:dyDescent="0.2">
      <c r="A74" s="27" t="e">
        <f t="shared" si="10"/>
        <v>#REF!</v>
      </c>
      <c r="B74" s="28" t="e">
        <f t="shared" si="11"/>
        <v>#REF!</v>
      </c>
      <c r="C74" s="28" t="e">
        <f t="shared" si="12"/>
        <v>#REF!</v>
      </c>
      <c r="D74" s="28" t="e">
        <f t="shared" si="13"/>
        <v>#REF!</v>
      </c>
      <c r="E74" s="28" t="e">
        <f t="shared" si="14"/>
        <v>#REF!</v>
      </c>
      <c r="F74" s="28" t="e">
        <f t="shared" si="15"/>
        <v>#REF!</v>
      </c>
      <c r="G74" s="26">
        <f>'[2]Densidad de Grupos'!W30</f>
        <v>0</v>
      </c>
      <c r="H74" s="26" t="e">
        <f>#REF!</f>
        <v>#REF!</v>
      </c>
      <c r="I74" s="29" t="e">
        <f t="shared" si="8"/>
        <v>#REF!</v>
      </c>
      <c r="J74" s="29" t="e">
        <f t="shared" si="9"/>
        <v>#REF!</v>
      </c>
    </row>
    <row r="75" spans="1:10" x14ac:dyDescent="0.2">
      <c r="A75" s="27" t="e">
        <f t="shared" si="10"/>
        <v>#REF!</v>
      </c>
      <c r="B75" s="28" t="e">
        <f t="shared" si="11"/>
        <v>#REF!</v>
      </c>
      <c r="C75" s="28" t="e">
        <f t="shared" si="12"/>
        <v>#REF!</v>
      </c>
      <c r="D75" s="28" t="e">
        <f t="shared" si="13"/>
        <v>#REF!</v>
      </c>
      <c r="E75" s="28" t="e">
        <f t="shared" si="14"/>
        <v>#REF!</v>
      </c>
      <c r="F75" s="28" t="e">
        <f t="shared" si="15"/>
        <v>#REF!</v>
      </c>
      <c r="G75" s="26">
        <f>'[2]Densidad de Grupos'!W31</f>
        <v>0</v>
      </c>
      <c r="H75" s="26" t="e">
        <f>#REF!</f>
        <v>#REF!</v>
      </c>
      <c r="I75" s="29" t="e">
        <f t="shared" si="8"/>
        <v>#REF!</v>
      </c>
      <c r="J75" s="29" t="e">
        <f t="shared" si="9"/>
        <v>#REF!</v>
      </c>
    </row>
    <row r="76" spans="1:10" x14ac:dyDescent="0.2">
      <c r="A76" s="27" t="e">
        <f t="shared" si="10"/>
        <v>#REF!</v>
      </c>
      <c r="B76" s="28" t="e">
        <f t="shared" si="11"/>
        <v>#REF!</v>
      </c>
      <c r="C76" s="28" t="e">
        <f t="shared" si="12"/>
        <v>#REF!</v>
      </c>
      <c r="D76" s="28" t="e">
        <f t="shared" si="13"/>
        <v>#REF!</v>
      </c>
      <c r="E76" s="28" t="e">
        <f t="shared" si="14"/>
        <v>#REF!</v>
      </c>
      <c r="F76" s="28" t="e">
        <f t="shared" si="15"/>
        <v>#REF!</v>
      </c>
      <c r="G76" s="26">
        <f>'[2]Densidad de Grupos'!W32</f>
        <v>0</v>
      </c>
      <c r="H76" s="26" t="e">
        <f>#REF!</f>
        <v>#REF!</v>
      </c>
      <c r="I76" s="29" t="e">
        <f t="shared" si="8"/>
        <v>#REF!</v>
      </c>
      <c r="J76" s="29" t="e">
        <f t="shared" si="9"/>
        <v>#REF!</v>
      </c>
    </row>
    <row r="77" spans="1:10" x14ac:dyDescent="0.2">
      <c r="A77" s="27" t="e">
        <f t="shared" si="10"/>
        <v>#REF!</v>
      </c>
      <c r="B77" s="28" t="e">
        <f t="shared" si="11"/>
        <v>#REF!</v>
      </c>
      <c r="C77" s="28" t="e">
        <f t="shared" si="12"/>
        <v>#REF!</v>
      </c>
      <c r="D77" s="28" t="e">
        <f t="shared" si="13"/>
        <v>#REF!</v>
      </c>
      <c r="E77" s="28" t="e">
        <f t="shared" si="14"/>
        <v>#REF!</v>
      </c>
      <c r="F77" s="28" t="e">
        <f t="shared" si="15"/>
        <v>#REF!</v>
      </c>
      <c r="G77" s="26">
        <f>'[2]Densidad de Grupos'!W33</f>
        <v>0</v>
      </c>
      <c r="H77" s="26" t="e">
        <f>#REF!</f>
        <v>#REF!</v>
      </c>
      <c r="I77" s="29" t="e">
        <f t="shared" si="8"/>
        <v>#REF!</v>
      </c>
      <c r="J77" s="29" t="e">
        <f t="shared" si="9"/>
        <v>#REF!</v>
      </c>
    </row>
    <row r="78" spans="1:10" x14ac:dyDescent="0.2">
      <c r="A78" s="27" t="e">
        <f t="shared" si="10"/>
        <v>#REF!</v>
      </c>
      <c r="B78" s="28" t="e">
        <f t="shared" si="11"/>
        <v>#REF!</v>
      </c>
      <c r="C78" s="28" t="e">
        <f t="shared" si="12"/>
        <v>#REF!</v>
      </c>
      <c r="D78" s="28" t="e">
        <f t="shared" si="13"/>
        <v>#REF!</v>
      </c>
      <c r="E78" s="28" t="e">
        <f t="shared" si="14"/>
        <v>#REF!</v>
      </c>
      <c r="F78" s="28" t="e">
        <f t="shared" si="15"/>
        <v>#REF!</v>
      </c>
      <c r="G78" s="26">
        <f>'[2]Densidad de Grupos'!W34</f>
        <v>0</v>
      </c>
      <c r="H78" s="26" t="e">
        <f>#REF!</f>
        <v>#REF!</v>
      </c>
      <c r="I78" s="29" t="e">
        <f t="shared" si="8"/>
        <v>#REF!</v>
      </c>
      <c r="J78" s="29" t="e">
        <f t="shared" si="9"/>
        <v>#REF!</v>
      </c>
    </row>
    <row r="79" spans="1:10" x14ac:dyDescent="0.2">
      <c r="A79" s="27" t="e">
        <f t="shared" si="10"/>
        <v>#REF!</v>
      </c>
      <c r="B79" s="28" t="e">
        <f t="shared" si="11"/>
        <v>#REF!</v>
      </c>
      <c r="C79" s="28" t="e">
        <f t="shared" si="12"/>
        <v>#REF!</v>
      </c>
      <c r="D79" s="28" t="e">
        <f t="shared" si="13"/>
        <v>#REF!</v>
      </c>
      <c r="E79" s="28" t="e">
        <f t="shared" si="14"/>
        <v>#REF!</v>
      </c>
      <c r="F79" s="28" t="e">
        <f t="shared" si="15"/>
        <v>#REF!</v>
      </c>
      <c r="G79" s="26">
        <f>'[2]Densidad de Grupos'!W35</f>
        <v>0</v>
      </c>
      <c r="H79" s="26" t="e">
        <f>#REF!</f>
        <v>#REF!</v>
      </c>
      <c r="I79" s="29" t="e">
        <f t="shared" si="8"/>
        <v>#REF!</v>
      </c>
      <c r="J79" s="29" t="e">
        <f t="shared" si="9"/>
        <v>#REF!</v>
      </c>
    </row>
    <row r="80" spans="1:10" x14ac:dyDescent="0.2">
      <c r="A80" s="27" t="e">
        <f t="shared" si="10"/>
        <v>#REF!</v>
      </c>
      <c r="B80" s="28" t="e">
        <f t="shared" si="11"/>
        <v>#REF!</v>
      </c>
      <c r="C80" s="28" t="e">
        <f t="shared" si="12"/>
        <v>#REF!</v>
      </c>
      <c r="D80" s="28" t="e">
        <f t="shared" si="13"/>
        <v>#REF!</v>
      </c>
      <c r="E80" s="28" t="e">
        <f t="shared" si="14"/>
        <v>#REF!</v>
      </c>
      <c r="F80" s="28" t="e">
        <f t="shared" si="15"/>
        <v>#REF!</v>
      </c>
      <c r="G80" s="26">
        <f>'[2]Densidad de Grupos'!W36</f>
        <v>0</v>
      </c>
      <c r="H80" s="26" t="e">
        <f>#REF!</f>
        <v>#REF!</v>
      </c>
      <c r="I80" s="29" t="e">
        <f t="shared" si="8"/>
        <v>#REF!</v>
      </c>
      <c r="J80" s="29" t="e">
        <f t="shared" si="9"/>
        <v>#REF!</v>
      </c>
    </row>
    <row r="81" spans="1:10" x14ac:dyDescent="0.2">
      <c r="A81" s="27" t="e">
        <f t="shared" si="10"/>
        <v>#REF!</v>
      </c>
      <c r="B81" s="28" t="e">
        <f t="shared" si="11"/>
        <v>#REF!</v>
      </c>
      <c r="C81" s="28" t="e">
        <f t="shared" si="12"/>
        <v>#REF!</v>
      </c>
      <c r="D81" s="28" t="e">
        <f t="shared" si="13"/>
        <v>#REF!</v>
      </c>
      <c r="E81" s="28" t="e">
        <f t="shared" si="14"/>
        <v>#REF!</v>
      </c>
      <c r="F81" s="28" t="e">
        <f t="shared" si="15"/>
        <v>#REF!</v>
      </c>
      <c r="G81" s="26">
        <f>'[2]Densidad de Grupos'!W37</f>
        <v>0</v>
      </c>
      <c r="H81" s="26" t="e">
        <f>#REF!</f>
        <v>#REF!</v>
      </c>
      <c r="I81" s="29" t="e">
        <f t="shared" si="8"/>
        <v>#REF!</v>
      </c>
      <c r="J81" s="29" t="e">
        <f t="shared" si="9"/>
        <v>#REF!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"/>
  <sheetViews>
    <sheetView workbookViewId="0">
      <selection activeCell="J3" sqref="J3"/>
    </sheetView>
  </sheetViews>
  <sheetFormatPr baseColWidth="10" defaultRowHeight="12.75" x14ac:dyDescent="0.2"/>
  <cols>
    <col min="1" max="1" width="10.7109375" style="26" bestFit="1" customWidth="1"/>
    <col min="2" max="2" width="16.8554687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14.42578125" style="26" bestFit="1" customWidth="1"/>
    <col min="8" max="8" width="21.7109375" style="26" bestFit="1" customWidth="1"/>
    <col min="9" max="9" width="7.1406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46</v>
      </c>
      <c r="B1" s="30" t="s">
        <v>59</v>
      </c>
      <c r="C1" s="30" t="s">
        <v>48</v>
      </c>
      <c r="D1" s="30" t="s">
        <v>49</v>
      </c>
      <c r="E1" s="30" t="s">
        <v>50</v>
      </c>
      <c r="F1" s="30" t="s">
        <v>51</v>
      </c>
      <c r="G1" s="30" t="s">
        <v>52</v>
      </c>
      <c r="H1" s="30" t="s">
        <v>53</v>
      </c>
      <c r="I1" s="30" t="s">
        <v>54</v>
      </c>
      <c r="J1" s="30" t="s">
        <v>55</v>
      </c>
    </row>
    <row r="2" spans="1:10" x14ac:dyDescent="0.2">
      <c r="A2" s="31" t="str">
        <f>'Larvas de Peces'!U9</f>
        <v>SP-20-0719</v>
      </c>
      <c r="B2" s="32">
        <f>'Larvas de Peces'!J13</f>
        <v>82.99436462231462</v>
      </c>
      <c r="C2" s="32" t="str">
        <f>'Larvas de Peces'!O13</f>
        <v>-</v>
      </c>
      <c r="D2" s="32" t="str">
        <f>'Larvas de Peces'!U13</f>
        <v>-</v>
      </c>
      <c r="E2" s="32" t="str">
        <f>'Larvas de Peces'!AA13</f>
        <v>-</v>
      </c>
      <c r="F2" s="32" t="e">
        <f>E2*D2</f>
        <v>#VALUE!</v>
      </c>
      <c r="G2" s="32" t="str">
        <f>'Larvas de Peces'!A18</f>
        <v>Larvas de peces</v>
      </c>
      <c r="H2" s="32">
        <f>'Larvas de Peces'!H18</f>
        <v>18</v>
      </c>
      <c r="I2" s="33">
        <f>((H2/B2)*2)</f>
        <v>0.43376439067672207</v>
      </c>
      <c r="J2" s="34">
        <f>((H2/B2)*2)*1000</f>
        <v>433.76439067672209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Densidad de grupos (3)</vt:lpstr>
      <vt:lpstr>Densidad de grupos (2)</vt:lpstr>
      <vt:lpstr>Densidad de grupos (1)</vt:lpstr>
      <vt:lpstr>Larvas de Peces</vt:lpstr>
      <vt:lpstr>Cálculos_Densidad_De_Grupos</vt:lpstr>
      <vt:lpstr>Cálculos_Larvas_de_Peces</vt:lpstr>
    </vt:vector>
  </TitlesOfParts>
  <Company>DIRECCION GENERAL MARITIMA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Christian Bermúdez-Rivas</cp:lastModifiedBy>
  <cp:lastPrinted>2021-02-22T21:39:25Z</cp:lastPrinted>
  <dcterms:created xsi:type="dcterms:W3CDTF">2009-11-17T21:42:41Z</dcterms:created>
  <dcterms:modified xsi:type="dcterms:W3CDTF">2022-09-28T03:15:43Z</dcterms:modified>
</cp:coreProperties>
</file>