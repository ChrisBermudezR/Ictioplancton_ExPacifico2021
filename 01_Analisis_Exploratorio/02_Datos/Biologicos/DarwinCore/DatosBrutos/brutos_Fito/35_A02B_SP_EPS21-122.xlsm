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drawings/drawing2.xml" ContentType="application/vnd.openxmlformats-officedocument.drawing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drawings/drawing3.xml" ContentType="application/vnd.openxmlformats-officedocument.drawing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drawings/drawing4.xml" ContentType="application/vnd.openxmlformats-officedocument.drawing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activeTab="2"/>
  </bookViews>
  <sheets>
    <sheet name="Densidad de grupos (3)" sheetId="10" r:id="rId1"/>
    <sheet name="Densidad de grupos (2)" sheetId="9" r:id="rId2"/>
    <sheet name="Densidad de grupos (1)" sheetId="2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6" l="1"/>
  <c r="H2" i="6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I4" i="5" s="1"/>
  <c r="J4" i="5" s="1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36" i="5" l="1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<sst xmlns="http://schemas.openxmlformats.org/spreadsheetml/2006/main" count="262" uniqueCount="95">
  <si>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</si>
  <si>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</si>
  <si>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</si>
  <si>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</si>
  <si>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</si>
  <si>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</si>
  <si>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</si>
  <si>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</si>
  <si>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</si>
  <si>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</si>
  <si>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</si>
  <si>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</si>
  <si>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</si>
  <si>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</si>
  <si>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</si>
  <si>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</si>
  <si>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</si>
  <si>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</si>
  <si>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</si>
  <si>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</si>
  <si>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</si>
  <si>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</si>
  <si>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</si>
  <si>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</si>
  <si>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</si>
  <si>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</si>
  <si>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</si>
  <si>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</si>
  <si>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</si>
  <si>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</si>
  <si>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</si>
  <si>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</si>
  <si>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</si>
  <si>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</si>
  <si>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</si>
  <si>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</si>
  <si>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</si>
  <si>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</si>
  <si>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</si>
  <si>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</si>
  <si>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</si>
  <si>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</si>
  <si>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</si>
  <si>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</si>
  <si>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</si>
  <si>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</si>
  <si>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</si>
  <si>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</si>
  <si>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</si>
  <si>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</si>
  <si>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</si>
  <si>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</si>
  <si>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</si>
  <si>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</si>
  <si>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</si>
  <si>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</si>
  <si>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</si>
  <si>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</si>
  <si>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</si>
  <si>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</si>
  <si>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</si>
  <si>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</si>
  <si>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</si>
  <si>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</si>
  <si>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Chaetoceros diversus</t>
  </si>
  <si>
    <t>Trieres chinensis</t>
  </si>
  <si>
    <t>Humberto Luis Quintana-M</t>
  </si>
  <si>
    <t>Recuento cámara completa</t>
  </si>
  <si>
    <t>Serdwick-Rafter</t>
  </si>
  <si>
    <t>Trieres mobiliensis</t>
  </si>
  <si>
    <t>Skeletonema constatum</t>
  </si>
  <si>
    <t>Chaetoceros lorenzianus</t>
  </si>
  <si>
    <t>20 L</t>
  </si>
  <si>
    <t>Cerataulina pelagica</t>
  </si>
  <si>
    <t>Rhizosolenia imbrincata</t>
  </si>
  <si>
    <t>84060000000000000032555</t>
  </si>
  <si>
    <t xml:space="preserve">Chaetoceros curvisetus </t>
  </si>
  <si>
    <t>Thalassionema nitzschioides</t>
  </si>
  <si>
    <t>Expedición-pacifico A 02</t>
  </si>
  <si>
    <t>Dinophysis cuadata</t>
  </si>
  <si>
    <t>Protoperidinium sp</t>
  </si>
  <si>
    <t>Coscinodiscopsis jonesiana</t>
  </si>
  <si>
    <t>Listodesmiun undulatum</t>
  </si>
  <si>
    <t>Ditylumbrithwellii</t>
  </si>
  <si>
    <t>Gonyaulax sp</t>
  </si>
  <si>
    <t>Skeletonema tropicum</t>
  </si>
  <si>
    <t>Coscinodiscus granii</t>
  </si>
  <si>
    <t>Pseudonizschia sp</t>
  </si>
  <si>
    <t>Asteromphalus sp</t>
  </si>
  <si>
    <t>Coscinodiscus gigas</t>
  </si>
  <si>
    <t>Protoperidinium sp 2</t>
  </si>
  <si>
    <t>Tripos eugramus</t>
  </si>
  <si>
    <t>Pyrophacus sp</t>
  </si>
  <si>
    <t>Coscinodiscus perforatus</t>
  </si>
  <si>
    <t>Probocia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</si>
</sst>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9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0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0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0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0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0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0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0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0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0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0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0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0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0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0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0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0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0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0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0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0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0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0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0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0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0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0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0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0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0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0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0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6421" name="Button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0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6422" name="Button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0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6423" name="Button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0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6424" name="Button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0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6425" name="Button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0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6426" name="Button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0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6427" name="Button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0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6428" name="Button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0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6429" name="Button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0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6430" name="Button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0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6431" name="Button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0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6432" name="Button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0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6433" name="Button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0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6434" name="Button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0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6435" name="Button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0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6436" name="Button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0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6437" name="Button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0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6438" name="Button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0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6439" name="Button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0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6440" name="Button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0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6441" name="Button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0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6442" name="Button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0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6443" name="Button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0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0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0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0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0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6448" name="Button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0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6449" name="Button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0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0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0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0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6453" name="Button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00000000-0008-0000-0000-00004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6454" name="Button 70" hidden="1">
              <a:extLst>
                <a:ext uri="{63B3BB69-23CF-44E3-9099-C40C66FF867C}">
                  <a14:compatExt spid="_x0000_s16454"/>
                </a:ext>
                <a:ext uri="{FF2B5EF4-FFF2-40B4-BE49-F238E27FC236}">
                  <a16:creationId xmlns:a16="http://schemas.microsoft.com/office/drawing/2014/main" id="{00000000-0008-0000-0000-00004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6455" name="Button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00000000-0008-0000-0000-00004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6456" name="Button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0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6457" name="Button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0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6458" name="Button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0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59" name="Button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0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60" name="Button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0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6461" name="Button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0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6462" name="Button 78" hidden="1">
              <a:extLst>
                <a:ext uri="{63B3BB69-23CF-44E3-9099-C40C66FF867C}">
                  <a14:compatExt spid="_x0000_s16462"/>
                </a:ext>
                <a:ext uri="{FF2B5EF4-FFF2-40B4-BE49-F238E27FC236}">
                  <a16:creationId xmlns:a16="http://schemas.microsoft.com/office/drawing/2014/main" id="{00000000-0008-0000-0000-00004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6463" name="Button 79" hidden="1">
              <a:extLst>
                <a:ext uri="{63B3BB69-23CF-44E3-9099-C40C66FF867C}">
                  <a14:compatExt spid="_x0000_s16463"/>
                </a:ext>
                <a:ext uri="{FF2B5EF4-FFF2-40B4-BE49-F238E27FC236}">
                  <a16:creationId xmlns:a16="http://schemas.microsoft.com/office/drawing/2014/main" id="{00000000-0008-0000-0000-00004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6464" name="Button 80" hidden="1">
              <a:extLst>
                <a:ext uri="{63B3BB69-23CF-44E3-9099-C40C66FF867C}">
                  <a14:compatExt spid="_x0000_s16464"/>
                </a:ext>
                <a:ext uri="{FF2B5EF4-FFF2-40B4-BE49-F238E27FC236}">
                  <a16:creationId xmlns:a16="http://schemas.microsoft.com/office/drawing/2014/main" id="{00000000-0008-0000-0000-00005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6465" name="Button 81" hidden="1">
              <a:extLst>
                <a:ext uri="{63B3BB69-23CF-44E3-9099-C40C66FF867C}">
                  <a14:compatExt spid="_x0000_s16465"/>
                </a:ext>
                <a:ext uri="{FF2B5EF4-FFF2-40B4-BE49-F238E27FC236}">
                  <a16:creationId xmlns:a16="http://schemas.microsoft.com/office/drawing/2014/main" id="{00000000-0008-0000-0000-00005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6466" name="Button 82" hidden="1">
              <a:extLst>
                <a:ext uri="{63B3BB69-23CF-44E3-9099-C40C66FF867C}">
                  <a14:compatExt spid="_x0000_s16466"/>
                </a:ext>
                <a:ext uri="{FF2B5EF4-FFF2-40B4-BE49-F238E27FC236}">
                  <a16:creationId xmlns:a16="http://schemas.microsoft.com/office/drawing/2014/main" id="{00000000-0008-0000-0000-00005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6467" name="Button 83" hidden="1">
              <a:extLst>
                <a:ext uri="{63B3BB69-23CF-44E3-9099-C40C66FF867C}">
                  <a14:compatExt spid="_x0000_s16467"/>
                </a:ext>
                <a:ext uri="{FF2B5EF4-FFF2-40B4-BE49-F238E27FC236}">
                  <a16:creationId xmlns:a16="http://schemas.microsoft.com/office/drawing/2014/main" id="{00000000-0008-0000-0000-00005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6468" name="Button 84" hidden="1">
              <a:extLst>
                <a:ext uri="{63B3BB69-23CF-44E3-9099-C40C66FF867C}">
                  <a14:compatExt spid="_x0000_s16468"/>
                </a:ext>
                <a:ext uri="{FF2B5EF4-FFF2-40B4-BE49-F238E27FC236}">
                  <a16:creationId xmlns:a16="http://schemas.microsoft.com/office/drawing/2014/main" id="{00000000-0008-0000-0000-00005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6469" name="Button 85" hidden="1">
              <a:extLst>
                <a:ext uri="{63B3BB69-23CF-44E3-9099-C40C66FF867C}">
                  <a14:compatExt spid="_x0000_s16469"/>
                </a:ext>
                <a:ext uri="{FF2B5EF4-FFF2-40B4-BE49-F238E27FC236}">
                  <a16:creationId xmlns:a16="http://schemas.microsoft.com/office/drawing/2014/main" id="{00000000-0008-0000-0000-00005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6470" name="Button 86" hidden="1">
              <a:extLst>
                <a:ext uri="{63B3BB69-23CF-44E3-9099-C40C66FF867C}">
                  <a14:compatExt spid="_x0000_s16470"/>
                </a:ext>
                <a:ext uri="{FF2B5EF4-FFF2-40B4-BE49-F238E27FC236}">
                  <a16:creationId xmlns:a16="http://schemas.microsoft.com/office/drawing/2014/main" id="{00000000-0008-0000-0000-00005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6471" name="Button 87" hidden="1">
              <a:extLst>
                <a:ext uri="{63B3BB69-23CF-44E3-9099-C40C66FF867C}">
                  <a14:compatExt spid="_x0000_s16471"/>
                </a:ext>
                <a:ext uri="{FF2B5EF4-FFF2-40B4-BE49-F238E27FC236}">
                  <a16:creationId xmlns:a16="http://schemas.microsoft.com/office/drawing/2014/main" id="{00000000-0008-0000-0000-00005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6472" name="Button 88" hidden="1">
              <a:extLst>
                <a:ext uri="{63B3BB69-23CF-44E3-9099-C40C66FF867C}">
                  <a14:compatExt spid="_x0000_s16472"/>
                </a:ext>
                <a:ext uri="{FF2B5EF4-FFF2-40B4-BE49-F238E27FC236}">
                  <a16:creationId xmlns:a16="http://schemas.microsoft.com/office/drawing/2014/main" id="{00000000-0008-0000-0000-00005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6473" name="Button 89" hidden="1">
              <a:extLst>
                <a:ext uri="{63B3BB69-23CF-44E3-9099-C40C66FF867C}">
                  <a14:compatExt spid="_x0000_s16473"/>
                </a:ext>
                <a:ext uri="{FF2B5EF4-FFF2-40B4-BE49-F238E27FC236}">
                  <a16:creationId xmlns:a16="http://schemas.microsoft.com/office/drawing/2014/main" id="{00000000-0008-0000-0000-00005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6474" name="Button 90" hidden="1">
              <a:extLst>
                <a:ext uri="{63B3BB69-23CF-44E3-9099-C40C66FF867C}">
                  <a14:compatExt spid="_x0000_s16474"/>
                </a:ext>
                <a:ext uri="{FF2B5EF4-FFF2-40B4-BE49-F238E27FC236}">
                  <a16:creationId xmlns:a16="http://schemas.microsoft.com/office/drawing/2014/main" id="{00000000-0008-0000-0000-00005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6475" name="Button 91" hidden="1">
              <a:extLst>
                <a:ext uri="{63B3BB69-23CF-44E3-9099-C40C66FF867C}">
                  <a14:compatExt spid="_x0000_s16475"/>
                </a:ext>
                <a:ext uri="{FF2B5EF4-FFF2-40B4-BE49-F238E27FC236}">
                  <a16:creationId xmlns:a16="http://schemas.microsoft.com/office/drawing/2014/main" id="{00000000-0008-0000-0000-00005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6476" name="Button 92" hidden="1">
              <a:extLst>
                <a:ext uri="{63B3BB69-23CF-44E3-9099-C40C66FF867C}">
                  <a14:compatExt spid="_x0000_s16476"/>
                </a:ext>
                <a:ext uri="{FF2B5EF4-FFF2-40B4-BE49-F238E27FC236}">
                  <a16:creationId xmlns:a16="http://schemas.microsoft.com/office/drawing/2014/main" id="{00000000-0008-0000-0000-00005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6477" name="Button 93" hidden="1">
              <a:extLst>
                <a:ext uri="{63B3BB69-23CF-44E3-9099-C40C66FF867C}">
                  <a14:compatExt spid="_x0000_s16477"/>
                </a:ext>
                <a:ext uri="{FF2B5EF4-FFF2-40B4-BE49-F238E27FC236}">
                  <a16:creationId xmlns:a16="http://schemas.microsoft.com/office/drawing/2014/main" id="{00000000-0008-0000-0000-00005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6478" name="Button 94" hidden="1">
              <a:extLst>
                <a:ext uri="{63B3BB69-23CF-44E3-9099-C40C66FF867C}">
                  <a14:compatExt spid="_x0000_s16478"/>
                </a:ext>
                <a:ext uri="{FF2B5EF4-FFF2-40B4-BE49-F238E27FC236}">
                  <a16:creationId xmlns:a16="http://schemas.microsoft.com/office/drawing/2014/main" id="{00000000-0008-0000-0000-00005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6479" name="Button 95" hidden="1">
              <a:extLst>
                <a:ext uri="{63B3BB69-23CF-44E3-9099-C40C66FF867C}">
                  <a14:compatExt spid="_x0000_s16479"/>
                </a:ext>
                <a:ext uri="{FF2B5EF4-FFF2-40B4-BE49-F238E27FC236}">
                  <a16:creationId xmlns:a16="http://schemas.microsoft.com/office/drawing/2014/main" id="{00000000-0008-0000-0000-00005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80" name="Button 96" hidden="1">
              <a:extLst>
                <a:ext uri="{63B3BB69-23CF-44E3-9099-C40C66FF867C}">
                  <a14:compatExt spid="_x0000_s16480"/>
                </a:ext>
                <a:ext uri="{FF2B5EF4-FFF2-40B4-BE49-F238E27FC236}">
                  <a16:creationId xmlns:a16="http://schemas.microsoft.com/office/drawing/2014/main" id="{00000000-0008-0000-0000-00006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6481" name="Button 97" hidden="1">
              <a:extLst>
                <a:ext uri="{63B3BB69-23CF-44E3-9099-C40C66FF867C}">
                  <a14:compatExt spid="_x0000_s16481"/>
                </a:ext>
                <a:ext uri="{FF2B5EF4-FFF2-40B4-BE49-F238E27FC236}">
                  <a16:creationId xmlns:a16="http://schemas.microsoft.com/office/drawing/2014/main" id="{00000000-0008-0000-0000-00006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6482" name="Button 98" hidden="1">
              <a:extLst>
                <a:ext uri="{63B3BB69-23CF-44E3-9099-C40C66FF867C}">
                  <a14:compatExt spid="_x0000_s16482"/>
                </a:ext>
                <a:ext uri="{FF2B5EF4-FFF2-40B4-BE49-F238E27FC236}">
                  <a16:creationId xmlns:a16="http://schemas.microsoft.com/office/drawing/2014/main" id="{00000000-0008-0000-0000-00006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6483" name="Button 99" hidden="1">
              <a:extLst>
                <a:ext uri="{63B3BB69-23CF-44E3-9099-C40C66FF867C}">
                  <a14:compatExt spid="_x0000_s16483"/>
                </a:ext>
                <a:ext uri="{FF2B5EF4-FFF2-40B4-BE49-F238E27FC236}">
                  <a16:creationId xmlns:a16="http://schemas.microsoft.com/office/drawing/2014/main" id="{00000000-0008-0000-0000-00006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6484" name="Button 100" hidden="1">
              <a:extLst>
                <a:ext uri="{63B3BB69-23CF-44E3-9099-C40C66FF867C}">
                  <a14:compatExt spid="_x0000_s16484"/>
                </a:ext>
                <a:ext uri="{FF2B5EF4-FFF2-40B4-BE49-F238E27FC236}">
                  <a16:creationId xmlns:a16="http://schemas.microsoft.com/office/drawing/2014/main" id="{00000000-0008-0000-0000-00006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6485" name="Button 101" hidden="1">
              <a:extLst>
                <a:ext uri="{63B3BB69-23CF-44E3-9099-C40C66FF867C}">
                  <a14:compatExt spid="_x0000_s16485"/>
                </a:ext>
                <a:ext uri="{FF2B5EF4-FFF2-40B4-BE49-F238E27FC236}">
                  <a16:creationId xmlns:a16="http://schemas.microsoft.com/office/drawing/2014/main" id="{00000000-0008-0000-0000-00006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6486" name="Button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00000000-0008-0000-0000-00006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6487" name="Button 103" hidden="1">
              <a:extLst>
                <a:ext uri="{63B3BB69-23CF-44E3-9099-C40C66FF867C}">
                  <a14:compatExt spid="_x0000_s16487"/>
                </a:ext>
                <a:ext uri="{FF2B5EF4-FFF2-40B4-BE49-F238E27FC236}">
                  <a16:creationId xmlns:a16="http://schemas.microsoft.com/office/drawing/2014/main" id="{00000000-0008-0000-0000-00006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6488" name="Button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00000000-0008-0000-0000-00006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6489" name="Button 105" hidden="1">
              <a:extLst>
                <a:ext uri="{63B3BB69-23CF-44E3-9099-C40C66FF867C}">
                  <a14:compatExt spid="_x0000_s16489"/>
                </a:ext>
                <a:ext uri="{FF2B5EF4-FFF2-40B4-BE49-F238E27FC236}">
                  <a16:creationId xmlns:a16="http://schemas.microsoft.com/office/drawing/2014/main" id="{00000000-0008-0000-0000-00006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6490" name="Button 106" hidden="1">
              <a:extLst>
                <a:ext uri="{63B3BB69-23CF-44E3-9099-C40C66FF867C}">
                  <a14:compatExt spid="_x0000_s16490"/>
                </a:ext>
                <a:ext uri="{FF2B5EF4-FFF2-40B4-BE49-F238E27FC236}">
                  <a16:creationId xmlns:a16="http://schemas.microsoft.com/office/drawing/2014/main" id="{00000000-0008-0000-0000-00006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6491" name="Button 107" hidden="1">
              <a:extLst>
                <a:ext uri="{63B3BB69-23CF-44E3-9099-C40C66FF867C}">
                  <a14:compatExt spid="_x0000_s16491"/>
                </a:ext>
                <a:ext uri="{FF2B5EF4-FFF2-40B4-BE49-F238E27FC236}">
                  <a16:creationId xmlns:a16="http://schemas.microsoft.com/office/drawing/2014/main" id="{00000000-0008-0000-0000-00006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6492" name="Button 108" hidden="1">
              <a:extLst>
                <a:ext uri="{63B3BB69-23CF-44E3-9099-C40C66FF867C}">
                  <a14:compatExt spid="_x0000_s16492"/>
                </a:ext>
                <a:ext uri="{FF2B5EF4-FFF2-40B4-BE49-F238E27FC236}">
                  <a16:creationId xmlns:a16="http://schemas.microsoft.com/office/drawing/2014/main" id="{00000000-0008-0000-0000-00006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6493" name="Button 109" hidden="1">
              <a:extLst>
                <a:ext uri="{63B3BB69-23CF-44E3-9099-C40C66FF867C}">
                  <a14:compatExt spid="_x0000_s16493"/>
                </a:ext>
                <a:ext uri="{FF2B5EF4-FFF2-40B4-BE49-F238E27FC236}">
                  <a16:creationId xmlns:a16="http://schemas.microsoft.com/office/drawing/2014/main" id="{00000000-0008-0000-0000-00006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6494" name="Button 110" hidden="1">
              <a:extLst>
                <a:ext uri="{63B3BB69-23CF-44E3-9099-C40C66FF867C}">
                  <a14:compatExt spid="_x0000_s16494"/>
                </a:ext>
                <a:ext uri="{FF2B5EF4-FFF2-40B4-BE49-F238E27FC236}">
                  <a16:creationId xmlns:a16="http://schemas.microsoft.com/office/drawing/2014/main" id="{00000000-0008-0000-0000-00006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6495" name="Button 111" hidden="1">
              <a:extLst>
                <a:ext uri="{63B3BB69-23CF-44E3-9099-C40C66FF867C}">
                  <a14:compatExt spid="_x0000_s16495"/>
                </a:ext>
                <a:ext uri="{FF2B5EF4-FFF2-40B4-BE49-F238E27FC236}">
                  <a16:creationId xmlns:a16="http://schemas.microsoft.com/office/drawing/2014/main" id="{00000000-0008-0000-0000-00006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6496" name="Button 112" hidden="1">
              <a:extLst>
                <a:ext uri="{63B3BB69-23CF-44E3-9099-C40C66FF867C}">
                  <a14:compatExt spid="_x0000_s16496"/>
                </a:ext>
                <a:ext uri="{FF2B5EF4-FFF2-40B4-BE49-F238E27FC236}">
                  <a16:creationId xmlns:a16="http://schemas.microsoft.com/office/drawing/2014/main" id="{00000000-0008-0000-0000-00007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6497" name="Button 113" hidden="1">
              <a:extLst>
                <a:ext uri="{63B3BB69-23CF-44E3-9099-C40C66FF867C}">
                  <a14:compatExt spid="_x0000_s16497"/>
                </a:ext>
                <a:ext uri="{FF2B5EF4-FFF2-40B4-BE49-F238E27FC236}">
                  <a16:creationId xmlns:a16="http://schemas.microsoft.com/office/drawing/2014/main" id="{00000000-0008-0000-0000-00007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6498" name="Button 114" hidden="1">
              <a:extLst>
                <a:ext uri="{63B3BB69-23CF-44E3-9099-C40C66FF867C}">
                  <a14:compatExt spid="_x0000_s16498"/>
                </a:ext>
                <a:ext uri="{FF2B5EF4-FFF2-40B4-BE49-F238E27FC236}">
                  <a16:creationId xmlns:a16="http://schemas.microsoft.com/office/drawing/2014/main" id="{00000000-0008-0000-0000-00007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6499" name="Button 115" hidden="1">
              <a:extLst>
                <a:ext uri="{63B3BB69-23CF-44E3-9099-C40C66FF867C}">
                  <a14:compatExt spid="_x0000_s16499"/>
                </a:ext>
                <a:ext uri="{FF2B5EF4-FFF2-40B4-BE49-F238E27FC236}">
                  <a16:creationId xmlns:a16="http://schemas.microsoft.com/office/drawing/2014/main" id="{00000000-0008-0000-0000-00007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6500" name="Button 116" hidden="1">
              <a:extLst>
                <a:ext uri="{63B3BB69-23CF-44E3-9099-C40C66FF867C}">
                  <a14:compatExt spid="_x0000_s16500"/>
                </a:ext>
                <a:ext uri="{FF2B5EF4-FFF2-40B4-BE49-F238E27FC236}">
                  <a16:creationId xmlns:a16="http://schemas.microsoft.com/office/drawing/2014/main" id="{00000000-0008-0000-0000-00007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6501" name="Button 117" hidden="1">
              <a:extLst>
                <a:ext uri="{63B3BB69-23CF-44E3-9099-C40C66FF867C}">
                  <a14:compatExt spid="_x0000_s16501"/>
                </a:ext>
                <a:ext uri="{FF2B5EF4-FFF2-40B4-BE49-F238E27FC236}">
                  <a16:creationId xmlns:a16="http://schemas.microsoft.com/office/drawing/2014/main" id="{00000000-0008-0000-0000-00007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6502" name="Button 118" hidden="1">
              <a:extLst>
                <a:ext uri="{63B3BB69-23CF-44E3-9099-C40C66FF867C}">
                  <a14:compatExt spid="_x0000_s16502"/>
                </a:ext>
                <a:ext uri="{FF2B5EF4-FFF2-40B4-BE49-F238E27FC236}">
                  <a16:creationId xmlns:a16="http://schemas.microsoft.com/office/drawing/2014/main" id="{00000000-0008-0000-0000-00007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6503" name="Button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00000000-0008-0000-0000-00007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6504" name="Button 120" hidden="1">
              <a:extLst>
                <a:ext uri="{63B3BB69-23CF-44E3-9099-C40C66FF867C}">
                  <a14:compatExt spid="_x0000_s16504"/>
                </a:ext>
                <a:ext uri="{FF2B5EF4-FFF2-40B4-BE49-F238E27FC236}">
                  <a16:creationId xmlns:a16="http://schemas.microsoft.com/office/drawing/2014/main" id="{00000000-0008-0000-0000-00007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6505" name="Button 121" hidden="1">
              <a:extLst>
                <a:ext uri="{63B3BB69-23CF-44E3-9099-C40C66FF867C}">
                  <a14:compatExt spid="_x0000_s16505"/>
                </a:ext>
                <a:ext uri="{FF2B5EF4-FFF2-40B4-BE49-F238E27FC236}">
                  <a16:creationId xmlns:a16="http://schemas.microsoft.com/office/drawing/2014/main" id="{00000000-0008-0000-0000-00007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6506" name="Button 122" hidden="1">
              <a:extLst>
                <a:ext uri="{63B3BB69-23CF-44E3-9099-C40C66FF867C}">
                  <a14:compatExt spid="_x0000_s16506"/>
                </a:ext>
                <a:ext uri="{FF2B5EF4-FFF2-40B4-BE49-F238E27FC236}">
                  <a16:creationId xmlns:a16="http://schemas.microsoft.com/office/drawing/2014/main" id="{00000000-0008-0000-0000-00007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6507" name="Button 123" hidden="1">
              <a:extLst>
                <a:ext uri="{63B3BB69-23CF-44E3-9099-C40C66FF867C}">
                  <a14:compatExt spid="_x0000_s16507"/>
                </a:ext>
                <a:ext uri="{FF2B5EF4-FFF2-40B4-BE49-F238E27FC236}">
                  <a16:creationId xmlns:a16="http://schemas.microsoft.com/office/drawing/2014/main" id="{00000000-0008-0000-0000-00007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6508" name="Button 124" hidden="1">
              <a:extLst>
                <a:ext uri="{63B3BB69-23CF-44E3-9099-C40C66FF867C}">
                  <a14:compatExt spid="_x0000_s16508"/>
                </a:ext>
                <a:ext uri="{FF2B5EF4-FFF2-40B4-BE49-F238E27FC236}">
                  <a16:creationId xmlns:a16="http://schemas.microsoft.com/office/drawing/2014/main" id="{00000000-0008-0000-0000-00007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6509" name="Button 125" hidden="1">
              <a:extLst>
                <a:ext uri="{63B3BB69-23CF-44E3-9099-C40C66FF867C}">
                  <a14:compatExt spid="_x0000_s16509"/>
                </a:ext>
                <a:ext uri="{FF2B5EF4-FFF2-40B4-BE49-F238E27FC236}">
                  <a16:creationId xmlns:a16="http://schemas.microsoft.com/office/drawing/2014/main" id="{00000000-0008-0000-0000-00007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6510" name="Button 126" hidden="1">
              <a:extLst>
                <a:ext uri="{63B3BB69-23CF-44E3-9099-C40C66FF867C}">
                  <a14:compatExt spid="_x0000_s16510"/>
                </a:ext>
                <a:ext uri="{FF2B5EF4-FFF2-40B4-BE49-F238E27FC236}">
                  <a16:creationId xmlns:a16="http://schemas.microsoft.com/office/drawing/2014/main" id="{00000000-0008-0000-0000-00007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6511" name="Button 127" hidden="1">
              <a:extLst>
                <a:ext uri="{63B3BB69-23CF-44E3-9099-C40C66FF867C}">
                  <a14:compatExt spid="_x0000_s16511"/>
                </a:ext>
                <a:ext uri="{FF2B5EF4-FFF2-40B4-BE49-F238E27FC236}">
                  <a16:creationId xmlns:a16="http://schemas.microsoft.com/office/drawing/2014/main" id="{00000000-0008-0000-0000-00007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6512" name="Button 128" hidden="1">
              <a:extLst>
                <a:ext uri="{63B3BB69-23CF-44E3-9099-C40C66FF867C}">
                  <a14:compatExt spid="_x0000_s16512"/>
                </a:ext>
                <a:ext uri="{FF2B5EF4-FFF2-40B4-BE49-F238E27FC236}">
                  <a16:creationId xmlns:a16="http://schemas.microsoft.com/office/drawing/2014/main" id="{00000000-0008-0000-0000-00008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6513" name="Button 129" hidden="1">
              <a:extLst>
                <a:ext uri="{63B3BB69-23CF-44E3-9099-C40C66FF867C}">
                  <a14:compatExt spid="_x0000_s16513"/>
                </a:ext>
                <a:ext uri="{FF2B5EF4-FFF2-40B4-BE49-F238E27FC236}">
                  <a16:creationId xmlns:a16="http://schemas.microsoft.com/office/drawing/2014/main" id="{00000000-0008-0000-0000-00008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6514" name="Button 130" hidden="1">
              <a:extLst>
                <a:ext uri="{63B3BB69-23CF-44E3-9099-C40C66FF867C}">
                  <a14:compatExt spid="_x0000_s16514"/>
                </a:ext>
                <a:ext uri="{FF2B5EF4-FFF2-40B4-BE49-F238E27FC236}">
                  <a16:creationId xmlns:a16="http://schemas.microsoft.com/office/drawing/2014/main" id="{00000000-0008-0000-0000-00008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6515" name="Button 131" hidden="1">
              <a:extLst>
                <a:ext uri="{63B3BB69-23CF-44E3-9099-C40C66FF867C}">
                  <a14:compatExt spid="_x0000_s16515"/>
                </a:ext>
                <a:ext uri="{FF2B5EF4-FFF2-40B4-BE49-F238E27FC236}">
                  <a16:creationId xmlns:a16="http://schemas.microsoft.com/office/drawing/2014/main" id="{00000000-0008-0000-0000-00008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6516" name="Button 132" hidden="1">
              <a:extLst>
                <a:ext uri="{63B3BB69-23CF-44E3-9099-C40C66FF867C}">
                  <a14:compatExt spid="_x0000_s16516"/>
                </a:ext>
                <a:ext uri="{FF2B5EF4-FFF2-40B4-BE49-F238E27FC236}">
                  <a16:creationId xmlns:a16="http://schemas.microsoft.com/office/drawing/2014/main" id="{00000000-0008-0000-0000-00008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6517" name="Button 133" hidden="1">
              <a:extLst>
                <a:ext uri="{63B3BB69-23CF-44E3-9099-C40C66FF867C}">
                  <a14:compatExt spid="_x0000_s16517"/>
                </a:ext>
                <a:ext uri="{FF2B5EF4-FFF2-40B4-BE49-F238E27FC236}">
                  <a16:creationId xmlns:a16="http://schemas.microsoft.com/office/drawing/2014/main" id="{00000000-0008-0000-0000-00008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6518" name="Button 134" hidden="1">
              <a:extLst>
                <a:ext uri="{63B3BB69-23CF-44E3-9099-C40C66FF867C}">
                  <a14:compatExt spid="_x0000_s16518"/>
                </a:ext>
                <a:ext uri="{FF2B5EF4-FFF2-40B4-BE49-F238E27FC236}">
                  <a16:creationId xmlns:a16="http://schemas.microsoft.com/office/drawing/2014/main" id="{00000000-0008-0000-0000-00008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6519" name="Button 135" hidden="1">
              <a:extLst>
                <a:ext uri="{63B3BB69-23CF-44E3-9099-C40C66FF867C}">
                  <a14:compatExt spid="_x0000_s16519"/>
                </a:ext>
                <a:ext uri="{FF2B5EF4-FFF2-40B4-BE49-F238E27FC236}">
                  <a16:creationId xmlns:a16="http://schemas.microsoft.com/office/drawing/2014/main" id="{00000000-0008-0000-0000-00008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6520" name="Button 136" hidden="1">
              <a:extLst>
                <a:ext uri="{63B3BB69-23CF-44E3-9099-C40C66FF867C}">
                  <a14:compatExt spid="_x0000_s16520"/>
                </a:ext>
                <a:ext uri="{FF2B5EF4-FFF2-40B4-BE49-F238E27FC236}">
                  <a16:creationId xmlns:a16="http://schemas.microsoft.com/office/drawing/2014/main" id="{00000000-0008-0000-0000-00008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6521" name="Button 137" hidden="1">
              <a:extLst>
                <a:ext uri="{63B3BB69-23CF-44E3-9099-C40C66FF867C}">
                  <a14:compatExt spid="_x0000_s16521"/>
                </a:ext>
                <a:ext uri="{FF2B5EF4-FFF2-40B4-BE49-F238E27FC236}">
                  <a16:creationId xmlns:a16="http://schemas.microsoft.com/office/drawing/2014/main" id="{00000000-0008-0000-0000-00008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6522" name="Button 138" hidden="1">
              <a:extLst>
                <a:ext uri="{63B3BB69-23CF-44E3-9099-C40C66FF867C}">
                  <a14:compatExt spid="_x0000_s16522"/>
                </a:ext>
                <a:ext uri="{FF2B5EF4-FFF2-40B4-BE49-F238E27FC236}">
                  <a16:creationId xmlns:a16="http://schemas.microsoft.com/office/drawing/2014/main" id="{00000000-0008-0000-0000-00008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6523" name="Button 139" hidden="1">
              <a:extLst>
                <a:ext uri="{63B3BB69-23CF-44E3-9099-C40C66FF867C}">
                  <a14:compatExt spid="_x0000_s16523"/>
                </a:ext>
                <a:ext uri="{FF2B5EF4-FFF2-40B4-BE49-F238E27FC236}">
                  <a16:creationId xmlns:a16="http://schemas.microsoft.com/office/drawing/2014/main" id="{00000000-0008-0000-0000-00008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6524" name="Button 140" hidden="1">
              <a:extLst>
                <a:ext uri="{63B3BB69-23CF-44E3-9099-C40C66FF867C}">
                  <a14:compatExt spid="_x0000_s16524"/>
                </a:ext>
                <a:ext uri="{FF2B5EF4-FFF2-40B4-BE49-F238E27FC236}">
                  <a16:creationId xmlns:a16="http://schemas.microsoft.com/office/drawing/2014/main" id="{00000000-0008-0000-0000-00008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6525" name="Button 141" hidden="1">
              <a:extLst>
                <a:ext uri="{63B3BB69-23CF-44E3-9099-C40C66FF867C}">
                  <a14:compatExt spid="_x0000_s16525"/>
                </a:ext>
                <a:ext uri="{FF2B5EF4-FFF2-40B4-BE49-F238E27FC236}">
                  <a16:creationId xmlns:a16="http://schemas.microsoft.com/office/drawing/2014/main" id="{00000000-0008-0000-0000-00008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6526" name="Button 142" hidden="1">
              <a:extLst>
                <a:ext uri="{63B3BB69-23CF-44E3-9099-C40C66FF867C}">
                  <a14:compatExt spid="_x0000_s16526"/>
                </a:ext>
                <a:ext uri="{FF2B5EF4-FFF2-40B4-BE49-F238E27FC236}">
                  <a16:creationId xmlns:a16="http://schemas.microsoft.com/office/drawing/2014/main" id="{00000000-0008-0000-0000-00008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6527" name="Button 143" hidden="1">
              <a:extLst>
                <a:ext uri="{63B3BB69-23CF-44E3-9099-C40C66FF867C}">
                  <a14:compatExt spid="_x0000_s16527"/>
                </a:ext>
                <a:ext uri="{FF2B5EF4-FFF2-40B4-BE49-F238E27FC236}">
                  <a16:creationId xmlns:a16="http://schemas.microsoft.com/office/drawing/2014/main" id="{00000000-0008-0000-0000-00008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6528" name="Button 144" hidden="1">
              <a:extLst>
                <a:ext uri="{63B3BB69-23CF-44E3-9099-C40C66FF867C}">
                  <a14:compatExt spid="_x0000_s16528"/>
                </a:ext>
                <a:ext uri="{FF2B5EF4-FFF2-40B4-BE49-F238E27FC236}">
                  <a16:creationId xmlns:a16="http://schemas.microsoft.com/office/drawing/2014/main" id="{00000000-0008-0000-0000-00009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6529" name="Button 145" hidden="1">
              <a:extLst>
                <a:ext uri="{63B3BB69-23CF-44E3-9099-C40C66FF867C}">
                  <a14:compatExt spid="_x0000_s16529"/>
                </a:ext>
                <a:ext uri="{FF2B5EF4-FFF2-40B4-BE49-F238E27FC236}">
                  <a16:creationId xmlns:a16="http://schemas.microsoft.com/office/drawing/2014/main" id="{00000000-0008-0000-0000-00009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6530" name="Button 146" hidden="1">
              <a:extLst>
                <a:ext uri="{63B3BB69-23CF-44E3-9099-C40C66FF867C}">
                  <a14:compatExt spid="_x0000_s16530"/>
                </a:ext>
                <a:ext uri="{FF2B5EF4-FFF2-40B4-BE49-F238E27FC236}">
                  <a16:creationId xmlns:a16="http://schemas.microsoft.com/office/drawing/2014/main" id="{00000000-0008-0000-0000-00009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6531" name="Button 147" hidden="1">
              <a:extLst>
                <a:ext uri="{63B3BB69-23CF-44E3-9099-C40C66FF867C}">
                  <a14:compatExt spid="_x0000_s16531"/>
                </a:ext>
                <a:ext uri="{FF2B5EF4-FFF2-40B4-BE49-F238E27FC236}">
                  <a16:creationId xmlns:a16="http://schemas.microsoft.com/office/drawing/2014/main" id="{00000000-0008-0000-0000-00009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6532" name="Button 148" hidden="1">
              <a:extLst>
                <a:ext uri="{63B3BB69-23CF-44E3-9099-C40C66FF867C}">
                  <a14:compatExt spid="_x0000_s16532"/>
                </a:ext>
                <a:ext uri="{FF2B5EF4-FFF2-40B4-BE49-F238E27FC236}">
                  <a16:creationId xmlns:a16="http://schemas.microsoft.com/office/drawing/2014/main" id="{00000000-0008-0000-0000-00009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6533" name="Button 149" hidden="1">
              <a:extLst>
                <a:ext uri="{63B3BB69-23CF-44E3-9099-C40C66FF867C}">
                  <a14:compatExt spid="_x0000_s16533"/>
                </a:ext>
                <a:ext uri="{FF2B5EF4-FFF2-40B4-BE49-F238E27FC236}">
                  <a16:creationId xmlns:a16="http://schemas.microsoft.com/office/drawing/2014/main" id="{00000000-0008-0000-0000-00009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6534" name="Button 150" hidden="1">
              <a:extLst>
                <a:ext uri="{63B3BB69-23CF-44E3-9099-C40C66FF867C}">
                  <a14:compatExt spid="_x0000_s16534"/>
                </a:ext>
                <a:ext uri="{FF2B5EF4-FFF2-40B4-BE49-F238E27FC236}">
                  <a16:creationId xmlns:a16="http://schemas.microsoft.com/office/drawing/2014/main" id="{00000000-0008-0000-0000-00009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6535" name="Button 151" hidden="1">
              <a:extLst>
                <a:ext uri="{63B3BB69-23CF-44E3-9099-C40C66FF867C}">
                  <a14:compatExt spid="_x0000_s16535"/>
                </a:ext>
                <a:ext uri="{FF2B5EF4-FFF2-40B4-BE49-F238E27FC236}">
                  <a16:creationId xmlns:a16="http://schemas.microsoft.com/office/drawing/2014/main" id="{00000000-0008-0000-0000-00009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6536" name="Button 152" hidden="1">
              <a:extLst>
                <a:ext uri="{63B3BB69-23CF-44E3-9099-C40C66FF867C}">
                  <a14:compatExt spid="_x0000_s16536"/>
                </a:ext>
                <a:ext uri="{FF2B5EF4-FFF2-40B4-BE49-F238E27FC236}">
                  <a16:creationId xmlns:a16="http://schemas.microsoft.com/office/drawing/2014/main" id="{00000000-0008-0000-0000-00009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6537" name="Button 153" hidden="1">
              <a:extLst>
                <a:ext uri="{63B3BB69-23CF-44E3-9099-C40C66FF867C}">
                  <a14:compatExt spid="_x0000_s16537"/>
                </a:ext>
                <a:ext uri="{FF2B5EF4-FFF2-40B4-BE49-F238E27FC236}">
                  <a16:creationId xmlns:a16="http://schemas.microsoft.com/office/drawing/2014/main" id="{00000000-0008-0000-0000-00009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6538" name="Button 154" hidden="1">
              <a:extLst>
                <a:ext uri="{63B3BB69-23CF-44E3-9099-C40C66FF867C}">
                  <a14:compatExt spid="_x0000_s16538"/>
                </a:ext>
                <a:ext uri="{FF2B5EF4-FFF2-40B4-BE49-F238E27FC236}">
                  <a16:creationId xmlns:a16="http://schemas.microsoft.com/office/drawing/2014/main" id="{00000000-0008-0000-0000-00009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6539" name="Button 155" hidden="1">
              <a:extLst>
                <a:ext uri="{63B3BB69-23CF-44E3-9099-C40C66FF867C}">
                  <a14:compatExt spid="_x0000_s16539"/>
                </a:ext>
                <a:ext uri="{FF2B5EF4-FFF2-40B4-BE49-F238E27FC236}">
                  <a16:creationId xmlns:a16="http://schemas.microsoft.com/office/drawing/2014/main" id="{00000000-0008-0000-0000-00009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6540" name="Button 156" hidden="1">
              <a:extLst>
                <a:ext uri="{63B3BB69-23CF-44E3-9099-C40C66FF867C}">
                  <a14:compatExt spid="_x0000_s16540"/>
                </a:ext>
                <a:ext uri="{FF2B5EF4-FFF2-40B4-BE49-F238E27FC236}">
                  <a16:creationId xmlns:a16="http://schemas.microsoft.com/office/drawing/2014/main" id="{00000000-0008-0000-0000-00009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6541" name="Button 157" hidden="1">
              <a:extLst>
                <a:ext uri="{63B3BB69-23CF-44E3-9099-C40C66FF867C}">
                  <a14:compatExt spid="_x0000_s16541"/>
                </a:ext>
                <a:ext uri="{FF2B5EF4-FFF2-40B4-BE49-F238E27FC236}">
                  <a16:creationId xmlns:a16="http://schemas.microsoft.com/office/drawing/2014/main" id="{00000000-0008-0000-0000-00009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6542" name="Button 158" hidden="1">
              <a:extLst>
                <a:ext uri="{63B3BB69-23CF-44E3-9099-C40C66FF867C}">
                  <a14:compatExt spid="_x0000_s16542"/>
                </a:ext>
                <a:ext uri="{FF2B5EF4-FFF2-40B4-BE49-F238E27FC236}">
                  <a16:creationId xmlns:a16="http://schemas.microsoft.com/office/drawing/2014/main" id="{00000000-0008-0000-0000-00009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6543" name="Button 159" hidden="1">
              <a:extLst>
                <a:ext uri="{63B3BB69-23CF-44E3-9099-C40C66FF867C}">
                  <a14:compatExt spid="_x0000_s16543"/>
                </a:ext>
                <a:ext uri="{FF2B5EF4-FFF2-40B4-BE49-F238E27FC236}">
                  <a16:creationId xmlns:a16="http://schemas.microsoft.com/office/drawing/2014/main" id="{00000000-0008-0000-0000-00009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6544" name="Button 160" hidden="1">
              <a:extLst>
                <a:ext uri="{63B3BB69-23CF-44E3-9099-C40C66FF867C}">
                  <a14:compatExt spid="_x0000_s16544"/>
                </a:ext>
                <a:ext uri="{FF2B5EF4-FFF2-40B4-BE49-F238E27FC236}">
                  <a16:creationId xmlns:a16="http://schemas.microsoft.com/office/drawing/2014/main" id="{00000000-0008-0000-0000-0000A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6545" name="Button 161" hidden="1">
              <a:extLst>
                <a:ext uri="{63B3BB69-23CF-44E3-9099-C40C66FF867C}">
                  <a14:compatExt spid="_x0000_s16545"/>
                </a:ext>
                <a:ext uri="{FF2B5EF4-FFF2-40B4-BE49-F238E27FC236}">
                  <a16:creationId xmlns:a16="http://schemas.microsoft.com/office/drawing/2014/main" id="{00000000-0008-0000-0000-0000A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6546" name="Button 162" hidden="1">
              <a:extLst>
                <a:ext uri="{63B3BB69-23CF-44E3-9099-C40C66FF867C}">
                  <a14:compatExt spid="_x0000_s16546"/>
                </a:ext>
                <a:ext uri="{FF2B5EF4-FFF2-40B4-BE49-F238E27FC236}">
                  <a16:creationId xmlns:a16="http://schemas.microsoft.com/office/drawing/2014/main" id="{00000000-0008-0000-0000-0000A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6547" name="Button 163" hidden="1">
              <a:extLst>
                <a:ext uri="{63B3BB69-23CF-44E3-9099-C40C66FF867C}">
                  <a14:compatExt spid="_x0000_s16547"/>
                </a:ext>
                <a:ext uri="{FF2B5EF4-FFF2-40B4-BE49-F238E27FC236}">
                  <a16:creationId xmlns:a16="http://schemas.microsoft.com/office/drawing/2014/main" id="{00000000-0008-0000-0000-0000A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6548" name="Button 164" hidden="1">
              <a:extLst>
                <a:ext uri="{63B3BB69-23CF-44E3-9099-C40C66FF867C}">
                  <a14:compatExt spid="_x0000_s16548"/>
                </a:ext>
                <a:ext uri="{FF2B5EF4-FFF2-40B4-BE49-F238E27FC236}">
                  <a16:creationId xmlns:a16="http://schemas.microsoft.com/office/drawing/2014/main" id="{00000000-0008-0000-0000-0000A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6549" name="Button 165" hidden="1">
              <a:extLst>
                <a:ext uri="{63B3BB69-23CF-44E3-9099-C40C66FF867C}">
                  <a14:compatExt spid="_x0000_s16549"/>
                </a:ext>
                <a:ext uri="{FF2B5EF4-FFF2-40B4-BE49-F238E27FC236}">
                  <a16:creationId xmlns:a16="http://schemas.microsoft.com/office/drawing/2014/main" id="{00000000-0008-0000-0000-0000A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6550" name="Button 166" hidden="1">
              <a:extLst>
                <a:ext uri="{63B3BB69-23CF-44E3-9099-C40C66FF867C}">
                  <a14:compatExt spid="_x0000_s16550"/>
                </a:ext>
                <a:ext uri="{FF2B5EF4-FFF2-40B4-BE49-F238E27FC236}">
                  <a16:creationId xmlns:a16="http://schemas.microsoft.com/office/drawing/2014/main" id="{00000000-0008-0000-0000-0000A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6551" name="Button 167" hidden="1">
              <a:extLst>
                <a:ext uri="{63B3BB69-23CF-44E3-9099-C40C66FF867C}">
                  <a14:compatExt spid="_x0000_s16551"/>
                </a:ext>
                <a:ext uri="{FF2B5EF4-FFF2-40B4-BE49-F238E27FC236}">
                  <a16:creationId xmlns:a16="http://schemas.microsoft.com/office/drawing/2014/main" id="{00000000-0008-0000-0000-0000A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6552" name="Button 168" hidden="1">
              <a:extLst>
                <a:ext uri="{63B3BB69-23CF-44E3-9099-C40C66FF867C}">
                  <a14:compatExt spid="_x0000_s16552"/>
                </a:ext>
                <a:ext uri="{FF2B5EF4-FFF2-40B4-BE49-F238E27FC236}">
                  <a16:creationId xmlns:a16="http://schemas.microsoft.com/office/drawing/2014/main" id="{00000000-0008-0000-0000-0000A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6553" name="Button 169" hidden="1">
              <a:extLst>
                <a:ext uri="{63B3BB69-23CF-44E3-9099-C40C66FF867C}">
                  <a14:compatExt spid="_x0000_s16553"/>
                </a:ext>
                <a:ext uri="{FF2B5EF4-FFF2-40B4-BE49-F238E27FC236}">
                  <a16:creationId xmlns:a16="http://schemas.microsoft.com/office/drawing/2014/main" id="{00000000-0008-0000-0000-0000A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6554" name="Button 170" hidden="1">
              <a:extLst>
                <a:ext uri="{63B3BB69-23CF-44E3-9099-C40C66FF867C}">
                  <a14:compatExt spid="_x0000_s16554"/>
                </a:ext>
                <a:ext uri="{FF2B5EF4-FFF2-40B4-BE49-F238E27FC236}">
                  <a16:creationId xmlns:a16="http://schemas.microsoft.com/office/drawing/2014/main" id="{00000000-0008-0000-0000-0000A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6555" name="Button 171" hidden="1">
              <a:extLst>
                <a:ext uri="{63B3BB69-23CF-44E3-9099-C40C66FF867C}">
                  <a14:compatExt spid="_x0000_s16555"/>
                </a:ext>
                <a:ext uri="{FF2B5EF4-FFF2-40B4-BE49-F238E27FC236}">
                  <a16:creationId xmlns:a16="http://schemas.microsoft.com/office/drawing/2014/main" id="{00000000-0008-0000-0000-0000A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6556" name="Button 172" hidden="1">
              <a:extLst>
                <a:ext uri="{63B3BB69-23CF-44E3-9099-C40C66FF867C}">
                  <a14:compatExt spid="_x0000_s16556"/>
                </a:ext>
                <a:ext uri="{FF2B5EF4-FFF2-40B4-BE49-F238E27FC236}">
                  <a16:creationId xmlns:a16="http://schemas.microsoft.com/office/drawing/2014/main" id="{00000000-0008-0000-0000-0000A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6557" name="Button 173" hidden="1">
              <a:extLst>
                <a:ext uri="{63B3BB69-23CF-44E3-9099-C40C66FF867C}">
                  <a14:compatExt spid="_x0000_s16557"/>
                </a:ext>
                <a:ext uri="{FF2B5EF4-FFF2-40B4-BE49-F238E27FC236}">
                  <a16:creationId xmlns:a16="http://schemas.microsoft.com/office/drawing/2014/main" id="{00000000-0008-0000-0000-0000A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6558" name="Button 174" hidden="1">
              <a:extLst>
                <a:ext uri="{63B3BB69-23CF-44E3-9099-C40C66FF867C}">
                  <a14:compatExt spid="_x0000_s16558"/>
                </a:ext>
                <a:ext uri="{FF2B5EF4-FFF2-40B4-BE49-F238E27FC236}">
                  <a16:creationId xmlns:a16="http://schemas.microsoft.com/office/drawing/2014/main" id="{00000000-0008-0000-0000-0000A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6559" name="Button 175" hidden="1">
              <a:extLst>
                <a:ext uri="{63B3BB69-23CF-44E3-9099-C40C66FF867C}">
                  <a14:compatExt spid="_x0000_s16559"/>
                </a:ext>
                <a:ext uri="{FF2B5EF4-FFF2-40B4-BE49-F238E27FC236}">
                  <a16:creationId xmlns:a16="http://schemas.microsoft.com/office/drawing/2014/main" id="{00000000-0008-0000-0000-0000A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6560" name="Button 176" hidden="1">
              <a:extLst>
                <a:ext uri="{63B3BB69-23CF-44E3-9099-C40C66FF867C}">
                  <a14:compatExt spid="_x0000_s16560"/>
                </a:ext>
                <a:ext uri="{FF2B5EF4-FFF2-40B4-BE49-F238E27FC236}">
                  <a16:creationId xmlns:a16="http://schemas.microsoft.com/office/drawing/2014/main" id="{00000000-0008-0000-0000-0000B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6561" name="Button 177" hidden="1">
              <a:extLst>
                <a:ext uri="{63B3BB69-23CF-44E3-9099-C40C66FF867C}">
                  <a14:compatExt spid="_x0000_s16561"/>
                </a:ext>
                <a:ext uri="{FF2B5EF4-FFF2-40B4-BE49-F238E27FC236}">
                  <a16:creationId xmlns:a16="http://schemas.microsoft.com/office/drawing/2014/main" id="{00000000-0008-0000-0000-0000B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6562" name="Button 178" hidden="1">
              <a:extLst>
                <a:ext uri="{63B3BB69-23CF-44E3-9099-C40C66FF867C}">
                  <a14:compatExt spid="_x0000_s16562"/>
                </a:ext>
                <a:ext uri="{FF2B5EF4-FFF2-40B4-BE49-F238E27FC236}">
                  <a16:creationId xmlns:a16="http://schemas.microsoft.com/office/drawing/2014/main" id="{00000000-0008-0000-0000-0000B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6563" name="Button 179" hidden="1">
              <a:extLst>
                <a:ext uri="{63B3BB69-23CF-44E3-9099-C40C66FF867C}">
                  <a14:compatExt spid="_x0000_s16563"/>
                </a:ext>
                <a:ext uri="{FF2B5EF4-FFF2-40B4-BE49-F238E27FC236}">
                  <a16:creationId xmlns:a16="http://schemas.microsoft.com/office/drawing/2014/main" id="{00000000-0008-0000-0000-0000B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6564" name="Button 180" hidden="1">
              <a:extLst>
                <a:ext uri="{63B3BB69-23CF-44E3-9099-C40C66FF867C}">
                  <a14:compatExt spid="_x0000_s16564"/>
                </a:ext>
                <a:ext uri="{FF2B5EF4-FFF2-40B4-BE49-F238E27FC236}">
                  <a16:creationId xmlns:a16="http://schemas.microsoft.com/office/drawing/2014/main" id="{00000000-0008-0000-0000-0000B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6565" name="Button 181" hidden="1">
              <a:extLst>
                <a:ext uri="{63B3BB69-23CF-44E3-9099-C40C66FF867C}">
                  <a14:compatExt spid="_x0000_s16565"/>
                </a:ext>
                <a:ext uri="{FF2B5EF4-FFF2-40B4-BE49-F238E27FC236}">
                  <a16:creationId xmlns:a16="http://schemas.microsoft.com/office/drawing/2014/main" id="{00000000-0008-0000-0000-0000B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6566" name="Button 182" hidden="1">
              <a:extLst>
                <a:ext uri="{63B3BB69-23CF-44E3-9099-C40C66FF867C}">
                  <a14:compatExt spid="_x0000_s16566"/>
                </a:ext>
                <a:ext uri="{FF2B5EF4-FFF2-40B4-BE49-F238E27FC236}">
                  <a16:creationId xmlns:a16="http://schemas.microsoft.com/office/drawing/2014/main" id="{00000000-0008-0000-0000-0000B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6567" name="Button 183" hidden="1">
              <a:extLst>
                <a:ext uri="{63B3BB69-23CF-44E3-9099-C40C66FF867C}">
                  <a14:compatExt spid="_x0000_s16567"/>
                </a:ext>
                <a:ext uri="{FF2B5EF4-FFF2-40B4-BE49-F238E27FC236}">
                  <a16:creationId xmlns:a16="http://schemas.microsoft.com/office/drawing/2014/main" id="{00000000-0008-0000-0000-0000B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6568" name="Button 184" hidden="1">
              <a:extLst>
                <a:ext uri="{63B3BB69-23CF-44E3-9099-C40C66FF867C}">
                  <a14:compatExt spid="_x0000_s16568"/>
                </a:ext>
                <a:ext uri="{FF2B5EF4-FFF2-40B4-BE49-F238E27FC236}">
                  <a16:creationId xmlns:a16="http://schemas.microsoft.com/office/drawing/2014/main" id="{00000000-0008-0000-0000-0000B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6569" name="Button 185" hidden="1">
              <a:extLst>
                <a:ext uri="{63B3BB69-23CF-44E3-9099-C40C66FF867C}">
                  <a14:compatExt spid="_x0000_s16569"/>
                </a:ext>
                <a:ext uri="{FF2B5EF4-FFF2-40B4-BE49-F238E27FC236}">
                  <a16:creationId xmlns:a16="http://schemas.microsoft.com/office/drawing/2014/main" id="{00000000-0008-0000-0000-0000B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6570" name="Button 186" hidden="1">
              <a:extLst>
                <a:ext uri="{63B3BB69-23CF-44E3-9099-C40C66FF867C}">
                  <a14:compatExt spid="_x0000_s16570"/>
                </a:ext>
                <a:ext uri="{FF2B5EF4-FFF2-40B4-BE49-F238E27FC236}">
                  <a16:creationId xmlns:a16="http://schemas.microsoft.com/office/drawing/2014/main" id="{00000000-0008-0000-0000-0000B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6571" name="Button 187" hidden="1">
              <a:extLst>
                <a:ext uri="{63B3BB69-23CF-44E3-9099-C40C66FF867C}">
                  <a14:compatExt spid="_x0000_s16571"/>
                </a:ext>
                <a:ext uri="{FF2B5EF4-FFF2-40B4-BE49-F238E27FC236}">
                  <a16:creationId xmlns:a16="http://schemas.microsoft.com/office/drawing/2014/main" id="{00000000-0008-0000-0000-0000B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6572" name="Button 188" hidden="1">
              <a:extLst>
                <a:ext uri="{63B3BB69-23CF-44E3-9099-C40C66FF867C}">
                  <a14:compatExt spid="_x0000_s16572"/>
                </a:ext>
                <a:ext uri="{FF2B5EF4-FFF2-40B4-BE49-F238E27FC236}">
                  <a16:creationId xmlns:a16="http://schemas.microsoft.com/office/drawing/2014/main" id="{00000000-0008-0000-0000-0000B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6573" name="Button 189" hidden="1">
              <a:extLst>
                <a:ext uri="{63B3BB69-23CF-44E3-9099-C40C66FF867C}">
                  <a14:compatExt spid="_x0000_s16573"/>
                </a:ext>
                <a:ext uri="{FF2B5EF4-FFF2-40B4-BE49-F238E27FC236}">
                  <a16:creationId xmlns:a16="http://schemas.microsoft.com/office/drawing/2014/main" id="{00000000-0008-0000-0000-0000B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6574" name="Button 190" hidden="1">
              <a:extLst>
                <a:ext uri="{63B3BB69-23CF-44E3-9099-C40C66FF867C}">
                  <a14:compatExt spid="_x0000_s16574"/>
                </a:ext>
                <a:ext uri="{FF2B5EF4-FFF2-40B4-BE49-F238E27FC236}">
                  <a16:creationId xmlns:a16="http://schemas.microsoft.com/office/drawing/2014/main" id="{00000000-0008-0000-0000-0000B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6575" name="Button 191" hidden="1">
              <a:extLst>
                <a:ext uri="{63B3BB69-23CF-44E3-9099-C40C66FF867C}">
                  <a14:compatExt spid="_x0000_s16575"/>
                </a:ext>
                <a:ext uri="{FF2B5EF4-FFF2-40B4-BE49-F238E27FC236}">
                  <a16:creationId xmlns:a16="http://schemas.microsoft.com/office/drawing/2014/main" id="{00000000-0008-0000-0000-0000B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6576" name="Button 192" hidden="1">
              <a:extLst>
                <a:ext uri="{63B3BB69-23CF-44E3-9099-C40C66FF867C}">
                  <a14:compatExt spid="_x0000_s16576"/>
                </a:ext>
                <a:ext uri="{FF2B5EF4-FFF2-40B4-BE49-F238E27FC236}">
                  <a16:creationId xmlns:a16="http://schemas.microsoft.com/office/drawing/2014/main" id="{00000000-0008-0000-0000-0000C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6577" name="Button 193" hidden="1">
              <a:extLst>
                <a:ext uri="{63B3BB69-23CF-44E3-9099-C40C66FF867C}">
                  <a14:compatExt spid="_x0000_s16577"/>
                </a:ext>
                <a:ext uri="{FF2B5EF4-FFF2-40B4-BE49-F238E27FC236}">
                  <a16:creationId xmlns:a16="http://schemas.microsoft.com/office/drawing/2014/main" id="{00000000-0008-0000-0000-0000C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6578" name="Button 194" hidden="1">
              <a:extLst>
                <a:ext uri="{63B3BB69-23CF-44E3-9099-C40C66FF867C}">
                  <a14:compatExt spid="_x0000_s16578"/>
                </a:ext>
                <a:ext uri="{FF2B5EF4-FFF2-40B4-BE49-F238E27FC236}">
                  <a16:creationId xmlns:a16="http://schemas.microsoft.com/office/drawing/2014/main" id="{00000000-0008-0000-0000-0000C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6579" name="Button 195" hidden="1">
              <a:extLst>
                <a:ext uri="{63B3BB69-23CF-44E3-9099-C40C66FF867C}">
                  <a14:compatExt spid="_x0000_s16579"/>
                </a:ext>
                <a:ext uri="{FF2B5EF4-FFF2-40B4-BE49-F238E27FC236}">
                  <a16:creationId xmlns:a16="http://schemas.microsoft.com/office/drawing/2014/main" id="{00000000-0008-0000-0000-0000C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6580" name="Button 196" hidden="1">
              <a:extLst>
                <a:ext uri="{63B3BB69-23CF-44E3-9099-C40C66FF867C}">
                  <a14:compatExt spid="_x0000_s16580"/>
                </a:ext>
                <a:ext uri="{FF2B5EF4-FFF2-40B4-BE49-F238E27FC236}">
                  <a16:creationId xmlns:a16="http://schemas.microsoft.com/office/drawing/2014/main" id="{00000000-0008-0000-0000-0000C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6581" name="Button 197" hidden="1">
              <a:extLst>
                <a:ext uri="{63B3BB69-23CF-44E3-9099-C40C66FF867C}">
                  <a14:compatExt spid="_x0000_s16581"/>
                </a:ext>
                <a:ext uri="{FF2B5EF4-FFF2-40B4-BE49-F238E27FC236}">
                  <a16:creationId xmlns:a16="http://schemas.microsoft.com/office/drawing/2014/main" id="{00000000-0008-0000-0000-0000C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6582" name="Button 198" hidden="1">
              <a:extLst>
                <a:ext uri="{63B3BB69-23CF-44E3-9099-C40C66FF867C}">
                  <a14:compatExt spid="_x0000_s16582"/>
                </a:ext>
                <a:ext uri="{FF2B5EF4-FFF2-40B4-BE49-F238E27FC236}">
                  <a16:creationId xmlns:a16="http://schemas.microsoft.com/office/drawing/2014/main" id="{00000000-0008-0000-0000-0000C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6583" name="Button 199" hidden="1">
              <a:extLst>
                <a:ext uri="{63B3BB69-23CF-44E3-9099-C40C66FF867C}">
                  <a14:compatExt spid="_x0000_s16583"/>
                </a:ext>
                <a:ext uri="{FF2B5EF4-FFF2-40B4-BE49-F238E27FC236}">
                  <a16:creationId xmlns:a16="http://schemas.microsoft.com/office/drawing/2014/main" id="{00000000-0008-0000-0000-0000C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6584" name="Button 200" hidden="1">
              <a:extLst>
                <a:ext uri="{63B3BB69-23CF-44E3-9099-C40C66FF867C}">
                  <a14:compatExt spid="_x0000_s16584"/>
                </a:ext>
                <a:ext uri="{FF2B5EF4-FFF2-40B4-BE49-F238E27FC236}">
                  <a16:creationId xmlns:a16="http://schemas.microsoft.com/office/drawing/2014/main" id="{00000000-0008-0000-0000-0000C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6585" name="Button 201" hidden="1">
              <a:extLst>
                <a:ext uri="{63B3BB69-23CF-44E3-9099-C40C66FF867C}">
                  <a14:compatExt spid="_x0000_s16585"/>
                </a:ext>
                <a:ext uri="{FF2B5EF4-FFF2-40B4-BE49-F238E27FC236}">
                  <a16:creationId xmlns:a16="http://schemas.microsoft.com/office/drawing/2014/main" id="{00000000-0008-0000-0000-0000C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6586" name="Button 202" hidden="1">
              <a:extLst>
                <a:ext uri="{63B3BB69-23CF-44E3-9099-C40C66FF867C}">
                  <a14:compatExt spid="_x0000_s16586"/>
                </a:ext>
                <a:ext uri="{FF2B5EF4-FFF2-40B4-BE49-F238E27FC236}">
                  <a16:creationId xmlns:a16="http://schemas.microsoft.com/office/drawing/2014/main" id="{00000000-0008-0000-0000-0000C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6587" name="Button 203" hidden="1">
              <a:extLst>
                <a:ext uri="{63B3BB69-23CF-44E3-9099-C40C66FF867C}">
                  <a14:compatExt spid="_x0000_s16587"/>
                </a:ext>
                <a:ext uri="{FF2B5EF4-FFF2-40B4-BE49-F238E27FC236}">
                  <a16:creationId xmlns:a16="http://schemas.microsoft.com/office/drawing/2014/main" id="{00000000-0008-0000-0000-0000C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6588" name="Button 204" hidden="1">
              <a:extLst>
                <a:ext uri="{63B3BB69-23CF-44E3-9099-C40C66FF867C}">
                  <a14:compatExt spid="_x0000_s16588"/>
                </a:ext>
                <a:ext uri="{FF2B5EF4-FFF2-40B4-BE49-F238E27FC236}">
                  <a16:creationId xmlns:a16="http://schemas.microsoft.com/office/drawing/2014/main" id="{00000000-0008-0000-0000-0000C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6589" name="Button 205" hidden="1">
              <a:extLst>
                <a:ext uri="{63B3BB69-23CF-44E3-9099-C40C66FF867C}">
                  <a14:compatExt spid="_x0000_s16589"/>
                </a:ext>
                <a:ext uri="{FF2B5EF4-FFF2-40B4-BE49-F238E27FC236}">
                  <a16:creationId xmlns:a16="http://schemas.microsoft.com/office/drawing/2014/main" id="{00000000-0008-0000-0000-0000C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6590" name="Button 206" hidden="1">
              <a:extLst>
                <a:ext uri="{63B3BB69-23CF-44E3-9099-C40C66FF867C}">
                  <a14:compatExt spid="_x0000_s16590"/>
                </a:ext>
                <a:ext uri="{FF2B5EF4-FFF2-40B4-BE49-F238E27FC236}">
                  <a16:creationId xmlns:a16="http://schemas.microsoft.com/office/drawing/2014/main" id="{00000000-0008-0000-0000-0000C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6591" name="Button 207" hidden="1">
              <a:extLst>
                <a:ext uri="{63B3BB69-23CF-44E3-9099-C40C66FF867C}">
                  <a14:compatExt spid="_x0000_s16591"/>
                </a:ext>
                <a:ext uri="{FF2B5EF4-FFF2-40B4-BE49-F238E27FC236}">
                  <a16:creationId xmlns:a16="http://schemas.microsoft.com/office/drawing/2014/main" id="{00000000-0008-0000-0000-0000C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6592" name="Button 208" hidden="1">
              <a:extLst>
                <a:ext uri="{63B3BB69-23CF-44E3-9099-C40C66FF867C}">
                  <a14:compatExt spid="_x0000_s16592"/>
                </a:ext>
                <a:ext uri="{FF2B5EF4-FFF2-40B4-BE49-F238E27FC236}">
                  <a16:creationId xmlns:a16="http://schemas.microsoft.com/office/drawing/2014/main" id="{00000000-0008-0000-0000-0000D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6593" name="Button 209" hidden="1">
              <a:extLst>
                <a:ext uri="{63B3BB69-23CF-44E3-9099-C40C66FF867C}">
                  <a14:compatExt spid="_x0000_s16593"/>
                </a:ext>
                <a:ext uri="{FF2B5EF4-FFF2-40B4-BE49-F238E27FC236}">
                  <a16:creationId xmlns:a16="http://schemas.microsoft.com/office/drawing/2014/main" id="{00000000-0008-0000-0000-0000D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6594" name="Button 210" hidden="1">
              <a:extLst>
                <a:ext uri="{63B3BB69-23CF-44E3-9099-C40C66FF867C}">
                  <a14:compatExt spid="_x0000_s16594"/>
                </a:ext>
                <a:ext uri="{FF2B5EF4-FFF2-40B4-BE49-F238E27FC236}">
                  <a16:creationId xmlns:a16="http://schemas.microsoft.com/office/drawing/2014/main" id="{00000000-0008-0000-0000-0000D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6595" name="Button 211" hidden="1">
              <a:extLst>
                <a:ext uri="{63B3BB69-23CF-44E3-9099-C40C66FF867C}">
                  <a14:compatExt spid="_x0000_s16595"/>
                </a:ext>
                <a:ext uri="{FF2B5EF4-FFF2-40B4-BE49-F238E27FC236}">
                  <a16:creationId xmlns:a16="http://schemas.microsoft.com/office/drawing/2014/main" id="{00000000-0008-0000-0000-0000D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6596" name="Button 212" hidden="1">
              <a:extLst>
                <a:ext uri="{63B3BB69-23CF-44E3-9099-C40C66FF867C}">
                  <a14:compatExt spid="_x0000_s16596"/>
                </a:ext>
                <a:ext uri="{FF2B5EF4-FFF2-40B4-BE49-F238E27FC236}">
                  <a16:creationId xmlns:a16="http://schemas.microsoft.com/office/drawing/2014/main" id="{00000000-0008-0000-0000-0000D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5379" name="Button 19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5380" name="Button 20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5381" name="Button 21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5382" name="Button 22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5383" name="Button 23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5384" name="Button 24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5385" name="Button 25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5386" name="Button 26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5387" name="Button 27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5388" name="Button 28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5389" name="Button 29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5390" name="Button 30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5391" name="Button 31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5392" name="Button 32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5393" name="Button 33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5394" name="Button 34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5395" name="Button 35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5396" name="Button 36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5397" name="Button 37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5398" name="Button 38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5399" name="Button 39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5400" name="Button 40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5401" name="Button 41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5402" name="Button 42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5403" name="Button 43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5404" name="Button 44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5405" name="Button 45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5406" name="Button 46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5407" name="Button 47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5408" name="Button 48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5409" name="Button 49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5410" name="Button 50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5411" name="Button 51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5412" name="Button 52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5413" name="Button 53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5414" name="Button 54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5415" name="Button 55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5416" name="Button 56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5417" name="Button 57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5418" name="Button 58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5419" name="Button 59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5420" name="Button 60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5421" name="Button 61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5422" name="Button 62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5423" name="Button 63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5424" name="Button 64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5425" name="Button 65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5426" name="Button 66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5427" name="Button 67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5428" name="Button 68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5429" name="Button 69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5430" name="Button 70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5431" name="Button 71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5432" name="Button 72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5433" name="Button 73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5434" name="Button 74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5435" name="Button 75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5436" name="Button 76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5437" name="Button 77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5438" name="Button 78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5439" name="Button 79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5440" name="Button 80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5441" name="Button 81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5442" name="Button 82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5443" name="Button 83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5444" name="Button 84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5445" name="Button 85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5446" name="Button 86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5447" name="Button 87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5448" name="Button 88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5449" name="Button 89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5450" name="Button 90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5451" name="Button 91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5452" name="Button 92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5453" name="Button 93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5454" name="Button 94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5455" name="Button 95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5456" name="Button 96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5457" name="Button 97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5458" name="Button 98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5459" name="Button 99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5460" name="Button 100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5461" name="Button 101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5462" name="Button 102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5463" name="Button 103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5464" name="Button 104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5465" name="Button 105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5466" name="Button 106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5467" name="Button 107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5468" name="Button 108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5469" name="Button 109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5470" name="Button 110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5471" name="Button 111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5472" name="Button 112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5473" name="Button 113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5474" name="Button 114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5475" name="Button 115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5476" name="Button 116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5477" name="Button 117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5478" name="Button 118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5479" name="Button 119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5480" name="Button 120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5481" name="Button 121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5482" name="Button 122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5483" name="Button 123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5484" name="Button 124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5485" name="Button 125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5486" name="Button 126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5487" name="Button 127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5488" name="Button 128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5489" name="Button 129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5490" name="Button 130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5491" name="Button 131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5492" name="Button 132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5493" name="Button 133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5494" name="Button 134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5495" name="Button 135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5496" name="Button 136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5497" name="Button 137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5498" name="Button 138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5499" name="Button 139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5500" name="Button 140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5501" name="Button 141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5502" name="Button 142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5503" name="Button 143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5504" name="Button 144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5505" name="Button 145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5506" name="Button 146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5507" name="Button 147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5508" name="Button 148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5509" name="Button 149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5510" name="Button 150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5511" name="Button 151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5512" name="Button 152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5513" name="Button 153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5514" name="Button 154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5515" name="Button 155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5516" name="Button 156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5517" name="Button 157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5518" name="Button 158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5519" name="Button 159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5520" name="Button 160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5521" name="Button 161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5522" name="Button 162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5523" name="Button 163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5524" name="Button 164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5525" name="Button 165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5526" name="Button 166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5527" name="Button 167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5528" name="Button 168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5529" name="Button 169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5530" name="Button 170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5531" name="Button 171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5532" name="Button 172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5533" name="Button 173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5534" name="Button 174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5535" name="Button 175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5536" name="Button 176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5537" name="Button 177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5538" name="Button 178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5539" name="Button 179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5540" name="Button 180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5541" name="Button 181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5542" name="Button 182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5543" name="Button 183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5544" name="Button 184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5545" name="Button 185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5546" name="Button 186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5547" name="Button 187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5548" name="Button 188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5549" name="Button 189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5550" name="Button 190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5551" name="Button 191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5552" name="Button 192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5553" name="Button 193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5554" name="Button 194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5555" name="Button 195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5556" name="Button 196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5557" name="Button 197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5558" name="Button 198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5559" name="Button 199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5560" name="Button 200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5561" name="Button 201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5562" name="Button 202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5563" name="Button 203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5564" name="Button 204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5565" name="Button 205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5566" name="Button 206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5567" name="Button 207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5568" name="Button 208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5569" name="Button 209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5570" name="Button 210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5571" name="Button 211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5572" name="Button 212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2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2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2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2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2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2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2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2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2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2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2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2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2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2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2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2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2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2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2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2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2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2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2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2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2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2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2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2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2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2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2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2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2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2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2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2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2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2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2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2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2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2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2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2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2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2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2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2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2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2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2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2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2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2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2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2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2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2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2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2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2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2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2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2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2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2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2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2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2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2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2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2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2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2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2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2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2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2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2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2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2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2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2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2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2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2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2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2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2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2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2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2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2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2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2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2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2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2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2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2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2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2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2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2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2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2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2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2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2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2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2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2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2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2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2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2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2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2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2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2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2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2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2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2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2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2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2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2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2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2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2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2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2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2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2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2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2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2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2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2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2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2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2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2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2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2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6.xml"/><Relationship Id="rId21" Type="http://schemas.openxmlformats.org/officeDocument/2006/relationships/ctrlProp" Target="../ctrlProps/ctrlProp230.xml"/><Relationship Id="rId42" Type="http://schemas.openxmlformats.org/officeDocument/2006/relationships/ctrlProp" Target="../ctrlProps/ctrlProp251.xml"/><Relationship Id="rId63" Type="http://schemas.openxmlformats.org/officeDocument/2006/relationships/ctrlProp" Target="../ctrlProps/ctrlProp272.xml"/><Relationship Id="rId84" Type="http://schemas.openxmlformats.org/officeDocument/2006/relationships/ctrlProp" Target="../ctrlProps/ctrlProp293.xml"/><Relationship Id="rId138" Type="http://schemas.openxmlformats.org/officeDocument/2006/relationships/ctrlProp" Target="../ctrlProps/ctrlProp347.xml"/><Relationship Id="rId159" Type="http://schemas.openxmlformats.org/officeDocument/2006/relationships/ctrlProp" Target="../ctrlProps/ctrlProp368.xml"/><Relationship Id="rId170" Type="http://schemas.openxmlformats.org/officeDocument/2006/relationships/ctrlProp" Target="../ctrlProps/ctrlProp379.xml"/><Relationship Id="rId191" Type="http://schemas.openxmlformats.org/officeDocument/2006/relationships/ctrlProp" Target="../ctrlProps/ctrlProp400.xml"/><Relationship Id="rId205" Type="http://schemas.openxmlformats.org/officeDocument/2006/relationships/ctrlProp" Target="../ctrlProps/ctrlProp414.xml"/><Relationship Id="rId107" Type="http://schemas.openxmlformats.org/officeDocument/2006/relationships/ctrlProp" Target="../ctrlProps/ctrlProp316.xml"/><Relationship Id="rId11" Type="http://schemas.openxmlformats.org/officeDocument/2006/relationships/ctrlProp" Target="../ctrlProps/ctrlProp220.xml"/><Relationship Id="rId32" Type="http://schemas.openxmlformats.org/officeDocument/2006/relationships/ctrlProp" Target="../ctrlProps/ctrlProp241.xml"/><Relationship Id="rId53" Type="http://schemas.openxmlformats.org/officeDocument/2006/relationships/ctrlProp" Target="../ctrlProps/ctrlProp262.xml"/><Relationship Id="rId74" Type="http://schemas.openxmlformats.org/officeDocument/2006/relationships/ctrlProp" Target="../ctrlProps/ctrlProp283.xml"/><Relationship Id="rId128" Type="http://schemas.openxmlformats.org/officeDocument/2006/relationships/ctrlProp" Target="../ctrlProps/ctrlProp337.xml"/><Relationship Id="rId149" Type="http://schemas.openxmlformats.org/officeDocument/2006/relationships/ctrlProp" Target="../ctrlProps/ctrlProp358.xml"/><Relationship Id="rId5" Type="http://schemas.openxmlformats.org/officeDocument/2006/relationships/ctrlProp" Target="../ctrlProps/ctrlProp214.xml"/><Relationship Id="rId95" Type="http://schemas.openxmlformats.org/officeDocument/2006/relationships/ctrlProp" Target="../ctrlProps/ctrlProp304.xml"/><Relationship Id="rId160" Type="http://schemas.openxmlformats.org/officeDocument/2006/relationships/ctrlProp" Target="../ctrlProps/ctrlProp369.xml"/><Relationship Id="rId181" Type="http://schemas.openxmlformats.org/officeDocument/2006/relationships/ctrlProp" Target="../ctrlProps/ctrlProp390.xml"/><Relationship Id="rId22" Type="http://schemas.openxmlformats.org/officeDocument/2006/relationships/ctrlProp" Target="../ctrlProps/ctrlProp231.xml"/><Relationship Id="rId43" Type="http://schemas.openxmlformats.org/officeDocument/2006/relationships/ctrlProp" Target="../ctrlProps/ctrlProp252.xml"/><Relationship Id="rId64" Type="http://schemas.openxmlformats.org/officeDocument/2006/relationships/ctrlProp" Target="../ctrlProps/ctrlProp273.xml"/><Relationship Id="rId118" Type="http://schemas.openxmlformats.org/officeDocument/2006/relationships/ctrlProp" Target="../ctrlProps/ctrlProp327.xml"/><Relationship Id="rId139" Type="http://schemas.openxmlformats.org/officeDocument/2006/relationships/ctrlProp" Target="../ctrlProps/ctrlProp348.xml"/><Relationship Id="rId85" Type="http://schemas.openxmlformats.org/officeDocument/2006/relationships/ctrlProp" Target="../ctrlProps/ctrlProp294.xml"/><Relationship Id="rId150" Type="http://schemas.openxmlformats.org/officeDocument/2006/relationships/ctrlProp" Target="../ctrlProps/ctrlProp359.xml"/><Relationship Id="rId171" Type="http://schemas.openxmlformats.org/officeDocument/2006/relationships/ctrlProp" Target="../ctrlProps/ctrlProp380.xml"/><Relationship Id="rId192" Type="http://schemas.openxmlformats.org/officeDocument/2006/relationships/ctrlProp" Target="../ctrlProps/ctrlProp401.xml"/><Relationship Id="rId206" Type="http://schemas.openxmlformats.org/officeDocument/2006/relationships/ctrlProp" Target="../ctrlProps/ctrlProp415.xml"/><Relationship Id="rId12" Type="http://schemas.openxmlformats.org/officeDocument/2006/relationships/ctrlProp" Target="../ctrlProps/ctrlProp221.xml"/><Relationship Id="rId33" Type="http://schemas.openxmlformats.org/officeDocument/2006/relationships/ctrlProp" Target="../ctrlProps/ctrlProp242.xml"/><Relationship Id="rId108" Type="http://schemas.openxmlformats.org/officeDocument/2006/relationships/ctrlProp" Target="../ctrlProps/ctrlProp317.xml"/><Relationship Id="rId129" Type="http://schemas.openxmlformats.org/officeDocument/2006/relationships/ctrlProp" Target="../ctrlProps/ctrlProp338.xml"/><Relationship Id="rId54" Type="http://schemas.openxmlformats.org/officeDocument/2006/relationships/ctrlProp" Target="../ctrlProps/ctrlProp263.xml"/><Relationship Id="rId75" Type="http://schemas.openxmlformats.org/officeDocument/2006/relationships/ctrlProp" Target="../ctrlProps/ctrlProp284.xml"/><Relationship Id="rId96" Type="http://schemas.openxmlformats.org/officeDocument/2006/relationships/ctrlProp" Target="../ctrlProps/ctrlProp305.xml"/><Relationship Id="rId140" Type="http://schemas.openxmlformats.org/officeDocument/2006/relationships/ctrlProp" Target="../ctrlProps/ctrlProp349.xml"/><Relationship Id="rId161" Type="http://schemas.openxmlformats.org/officeDocument/2006/relationships/ctrlProp" Target="../ctrlProps/ctrlProp370.xml"/><Relationship Id="rId182" Type="http://schemas.openxmlformats.org/officeDocument/2006/relationships/ctrlProp" Target="../ctrlProps/ctrlProp391.xml"/><Relationship Id="rId6" Type="http://schemas.openxmlformats.org/officeDocument/2006/relationships/ctrlProp" Target="../ctrlProps/ctrlProp215.xml"/><Relationship Id="rId23" Type="http://schemas.openxmlformats.org/officeDocument/2006/relationships/ctrlProp" Target="../ctrlProps/ctrlProp232.xml"/><Relationship Id="rId119" Type="http://schemas.openxmlformats.org/officeDocument/2006/relationships/ctrlProp" Target="../ctrlProps/ctrlProp328.xml"/><Relationship Id="rId44" Type="http://schemas.openxmlformats.org/officeDocument/2006/relationships/ctrlProp" Target="../ctrlProps/ctrlProp253.xml"/><Relationship Id="rId65" Type="http://schemas.openxmlformats.org/officeDocument/2006/relationships/ctrlProp" Target="../ctrlProps/ctrlProp274.xml"/><Relationship Id="rId86" Type="http://schemas.openxmlformats.org/officeDocument/2006/relationships/ctrlProp" Target="../ctrlProps/ctrlProp295.xml"/><Relationship Id="rId130" Type="http://schemas.openxmlformats.org/officeDocument/2006/relationships/ctrlProp" Target="../ctrlProps/ctrlProp339.xml"/><Relationship Id="rId151" Type="http://schemas.openxmlformats.org/officeDocument/2006/relationships/ctrlProp" Target="../ctrlProps/ctrlProp360.xml"/><Relationship Id="rId172" Type="http://schemas.openxmlformats.org/officeDocument/2006/relationships/ctrlProp" Target="../ctrlProps/ctrlProp381.xml"/><Relationship Id="rId193" Type="http://schemas.openxmlformats.org/officeDocument/2006/relationships/ctrlProp" Target="../ctrlProps/ctrlProp402.xml"/><Relationship Id="rId207" Type="http://schemas.openxmlformats.org/officeDocument/2006/relationships/ctrlProp" Target="../ctrlProps/ctrlProp416.xml"/><Relationship Id="rId13" Type="http://schemas.openxmlformats.org/officeDocument/2006/relationships/ctrlProp" Target="../ctrlProps/ctrlProp222.xml"/><Relationship Id="rId109" Type="http://schemas.openxmlformats.org/officeDocument/2006/relationships/ctrlProp" Target="../ctrlProps/ctrlProp318.xml"/><Relationship Id="rId34" Type="http://schemas.openxmlformats.org/officeDocument/2006/relationships/ctrlProp" Target="../ctrlProps/ctrlProp243.xml"/><Relationship Id="rId55" Type="http://schemas.openxmlformats.org/officeDocument/2006/relationships/ctrlProp" Target="../ctrlProps/ctrlProp264.xml"/><Relationship Id="rId76" Type="http://schemas.openxmlformats.org/officeDocument/2006/relationships/ctrlProp" Target="../ctrlProps/ctrlProp285.xml"/><Relationship Id="rId97" Type="http://schemas.openxmlformats.org/officeDocument/2006/relationships/ctrlProp" Target="../ctrlProps/ctrlProp306.xml"/><Relationship Id="rId120" Type="http://schemas.openxmlformats.org/officeDocument/2006/relationships/ctrlProp" Target="../ctrlProps/ctrlProp329.xml"/><Relationship Id="rId141" Type="http://schemas.openxmlformats.org/officeDocument/2006/relationships/ctrlProp" Target="../ctrlProps/ctrlProp350.xml"/><Relationship Id="rId7" Type="http://schemas.openxmlformats.org/officeDocument/2006/relationships/ctrlProp" Target="../ctrlProps/ctrlProp216.xml"/><Relationship Id="rId162" Type="http://schemas.openxmlformats.org/officeDocument/2006/relationships/ctrlProp" Target="../ctrlProps/ctrlProp371.xml"/><Relationship Id="rId183" Type="http://schemas.openxmlformats.org/officeDocument/2006/relationships/ctrlProp" Target="../ctrlProps/ctrlProp392.xml"/><Relationship Id="rId24" Type="http://schemas.openxmlformats.org/officeDocument/2006/relationships/ctrlProp" Target="../ctrlProps/ctrlProp233.xml"/><Relationship Id="rId45" Type="http://schemas.openxmlformats.org/officeDocument/2006/relationships/ctrlProp" Target="../ctrlProps/ctrlProp254.xml"/><Relationship Id="rId66" Type="http://schemas.openxmlformats.org/officeDocument/2006/relationships/ctrlProp" Target="../ctrlProps/ctrlProp275.xml"/><Relationship Id="rId87" Type="http://schemas.openxmlformats.org/officeDocument/2006/relationships/ctrlProp" Target="../ctrlProps/ctrlProp296.xml"/><Relationship Id="rId110" Type="http://schemas.openxmlformats.org/officeDocument/2006/relationships/ctrlProp" Target="../ctrlProps/ctrlProp319.xml"/><Relationship Id="rId131" Type="http://schemas.openxmlformats.org/officeDocument/2006/relationships/ctrlProp" Target="../ctrlProps/ctrlProp340.xml"/><Relationship Id="rId152" Type="http://schemas.openxmlformats.org/officeDocument/2006/relationships/ctrlProp" Target="../ctrlProps/ctrlProp361.xml"/><Relationship Id="rId173" Type="http://schemas.openxmlformats.org/officeDocument/2006/relationships/ctrlProp" Target="../ctrlProps/ctrlProp382.xml"/><Relationship Id="rId194" Type="http://schemas.openxmlformats.org/officeDocument/2006/relationships/ctrlProp" Target="../ctrlProps/ctrlProp403.xml"/><Relationship Id="rId208" Type="http://schemas.openxmlformats.org/officeDocument/2006/relationships/ctrlProp" Target="../ctrlProps/ctrlProp417.xml"/><Relationship Id="rId19" Type="http://schemas.openxmlformats.org/officeDocument/2006/relationships/ctrlProp" Target="../ctrlProps/ctrlProp228.xml"/><Relationship Id="rId14" Type="http://schemas.openxmlformats.org/officeDocument/2006/relationships/ctrlProp" Target="../ctrlProps/ctrlProp223.xml"/><Relationship Id="rId30" Type="http://schemas.openxmlformats.org/officeDocument/2006/relationships/ctrlProp" Target="../ctrlProps/ctrlProp239.xml"/><Relationship Id="rId35" Type="http://schemas.openxmlformats.org/officeDocument/2006/relationships/ctrlProp" Target="../ctrlProps/ctrlProp244.xml"/><Relationship Id="rId56" Type="http://schemas.openxmlformats.org/officeDocument/2006/relationships/ctrlProp" Target="../ctrlProps/ctrlProp265.xml"/><Relationship Id="rId77" Type="http://schemas.openxmlformats.org/officeDocument/2006/relationships/ctrlProp" Target="../ctrlProps/ctrlProp286.xml"/><Relationship Id="rId100" Type="http://schemas.openxmlformats.org/officeDocument/2006/relationships/ctrlProp" Target="../ctrlProps/ctrlProp309.xml"/><Relationship Id="rId105" Type="http://schemas.openxmlformats.org/officeDocument/2006/relationships/ctrlProp" Target="../ctrlProps/ctrlProp314.xml"/><Relationship Id="rId126" Type="http://schemas.openxmlformats.org/officeDocument/2006/relationships/ctrlProp" Target="../ctrlProps/ctrlProp335.xml"/><Relationship Id="rId147" Type="http://schemas.openxmlformats.org/officeDocument/2006/relationships/ctrlProp" Target="../ctrlProps/ctrlProp356.xml"/><Relationship Id="rId168" Type="http://schemas.openxmlformats.org/officeDocument/2006/relationships/ctrlProp" Target="../ctrlProps/ctrlProp377.xml"/><Relationship Id="rId8" Type="http://schemas.openxmlformats.org/officeDocument/2006/relationships/ctrlProp" Target="../ctrlProps/ctrlProp217.xml"/><Relationship Id="rId51" Type="http://schemas.openxmlformats.org/officeDocument/2006/relationships/ctrlProp" Target="../ctrlProps/ctrlProp260.xml"/><Relationship Id="rId72" Type="http://schemas.openxmlformats.org/officeDocument/2006/relationships/ctrlProp" Target="../ctrlProps/ctrlProp281.xml"/><Relationship Id="rId93" Type="http://schemas.openxmlformats.org/officeDocument/2006/relationships/ctrlProp" Target="../ctrlProps/ctrlProp302.xml"/><Relationship Id="rId98" Type="http://schemas.openxmlformats.org/officeDocument/2006/relationships/ctrlProp" Target="../ctrlProps/ctrlProp307.xml"/><Relationship Id="rId121" Type="http://schemas.openxmlformats.org/officeDocument/2006/relationships/ctrlProp" Target="../ctrlProps/ctrlProp330.xml"/><Relationship Id="rId142" Type="http://schemas.openxmlformats.org/officeDocument/2006/relationships/ctrlProp" Target="../ctrlProps/ctrlProp351.xml"/><Relationship Id="rId163" Type="http://schemas.openxmlformats.org/officeDocument/2006/relationships/ctrlProp" Target="../ctrlProps/ctrlProp372.xml"/><Relationship Id="rId184" Type="http://schemas.openxmlformats.org/officeDocument/2006/relationships/ctrlProp" Target="../ctrlProps/ctrlProp393.xml"/><Relationship Id="rId189" Type="http://schemas.openxmlformats.org/officeDocument/2006/relationships/ctrlProp" Target="../ctrlProps/ctrlProp398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3.xml"/><Relationship Id="rId25" Type="http://schemas.openxmlformats.org/officeDocument/2006/relationships/ctrlProp" Target="../ctrlProps/ctrlProp234.xml"/><Relationship Id="rId46" Type="http://schemas.openxmlformats.org/officeDocument/2006/relationships/ctrlProp" Target="../ctrlProps/ctrlProp255.xml"/><Relationship Id="rId67" Type="http://schemas.openxmlformats.org/officeDocument/2006/relationships/ctrlProp" Target="../ctrlProps/ctrlProp276.xml"/><Relationship Id="rId116" Type="http://schemas.openxmlformats.org/officeDocument/2006/relationships/ctrlProp" Target="../ctrlProps/ctrlProp325.xml"/><Relationship Id="rId137" Type="http://schemas.openxmlformats.org/officeDocument/2006/relationships/ctrlProp" Target="../ctrlProps/ctrlProp346.xml"/><Relationship Id="rId158" Type="http://schemas.openxmlformats.org/officeDocument/2006/relationships/ctrlProp" Target="../ctrlProps/ctrlProp367.xml"/><Relationship Id="rId20" Type="http://schemas.openxmlformats.org/officeDocument/2006/relationships/ctrlProp" Target="../ctrlProps/ctrlProp229.xml"/><Relationship Id="rId41" Type="http://schemas.openxmlformats.org/officeDocument/2006/relationships/ctrlProp" Target="../ctrlProps/ctrlProp250.xml"/><Relationship Id="rId62" Type="http://schemas.openxmlformats.org/officeDocument/2006/relationships/ctrlProp" Target="../ctrlProps/ctrlProp271.xml"/><Relationship Id="rId83" Type="http://schemas.openxmlformats.org/officeDocument/2006/relationships/ctrlProp" Target="../ctrlProps/ctrlProp292.xml"/><Relationship Id="rId88" Type="http://schemas.openxmlformats.org/officeDocument/2006/relationships/ctrlProp" Target="../ctrlProps/ctrlProp297.xml"/><Relationship Id="rId111" Type="http://schemas.openxmlformats.org/officeDocument/2006/relationships/ctrlProp" Target="../ctrlProps/ctrlProp320.xml"/><Relationship Id="rId132" Type="http://schemas.openxmlformats.org/officeDocument/2006/relationships/ctrlProp" Target="../ctrlProps/ctrlProp341.xml"/><Relationship Id="rId153" Type="http://schemas.openxmlformats.org/officeDocument/2006/relationships/ctrlProp" Target="../ctrlProps/ctrlProp362.xml"/><Relationship Id="rId174" Type="http://schemas.openxmlformats.org/officeDocument/2006/relationships/ctrlProp" Target="../ctrlProps/ctrlProp383.xml"/><Relationship Id="rId179" Type="http://schemas.openxmlformats.org/officeDocument/2006/relationships/ctrlProp" Target="../ctrlProps/ctrlProp388.xml"/><Relationship Id="rId195" Type="http://schemas.openxmlformats.org/officeDocument/2006/relationships/ctrlProp" Target="../ctrlProps/ctrlProp404.xml"/><Relationship Id="rId209" Type="http://schemas.openxmlformats.org/officeDocument/2006/relationships/ctrlProp" Target="../ctrlProps/ctrlProp418.xml"/><Relationship Id="rId190" Type="http://schemas.openxmlformats.org/officeDocument/2006/relationships/ctrlProp" Target="../ctrlProps/ctrlProp399.xml"/><Relationship Id="rId204" Type="http://schemas.openxmlformats.org/officeDocument/2006/relationships/ctrlProp" Target="../ctrlProps/ctrlProp413.xml"/><Relationship Id="rId15" Type="http://schemas.openxmlformats.org/officeDocument/2006/relationships/ctrlProp" Target="../ctrlProps/ctrlProp224.xml"/><Relationship Id="rId36" Type="http://schemas.openxmlformats.org/officeDocument/2006/relationships/ctrlProp" Target="../ctrlProps/ctrlProp245.xml"/><Relationship Id="rId57" Type="http://schemas.openxmlformats.org/officeDocument/2006/relationships/ctrlProp" Target="../ctrlProps/ctrlProp266.xml"/><Relationship Id="rId106" Type="http://schemas.openxmlformats.org/officeDocument/2006/relationships/ctrlProp" Target="../ctrlProps/ctrlProp315.xml"/><Relationship Id="rId127" Type="http://schemas.openxmlformats.org/officeDocument/2006/relationships/ctrlProp" Target="../ctrlProps/ctrlProp336.xml"/><Relationship Id="rId10" Type="http://schemas.openxmlformats.org/officeDocument/2006/relationships/ctrlProp" Target="../ctrlProps/ctrlProp219.xml"/><Relationship Id="rId31" Type="http://schemas.openxmlformats.org/officeDocument/2006/relationships/ctrlProp" Target="../ctrlProps/ctrlProp240.xml"/><Relationship Id="rId52" Type="http://schemas.openxmlformats.org/officeDocument/2006/relationships/ctrlProp" Target="../ctrlProps/ctrlProp261.xml"/><Relationship Id="rId73" Type="http://schemas.openxmlformats.org/officeDocument/2006/relationships/ctrlProp" Target="../ctrlProps/ctrlProp282.xml"/><Relationship Id="rId78" Type="http://schemas.openxmlformats.org/officeDocument/2006/relationships/ctrlProp" Target="../ctrlProps/ctrlProp287.xml"/><Relationship Id="rId94" Type="http://schemas.openxmlformats.org/officeDocument/2006/relationships/ctrlProp" Target="../ctrlProps/ctrlProp303.xml"/><Relationship Id="rId99" Type="http://schemas.openxmlformats.org/officeDocument/2006/relationships/ctrlProp" Target="../ctrlProps/ctrlProp308.xml"/><Relationship Id="rId101" Type="http://schemas.openxmlformats.org/officeDocument/2006/relationships/ctrlProp" Target="../ctrlProps/ctrlProp310.xml"/><Relationship Id="rId122" Type="http://schemas.openxmlformats.org/officeDocument/2006/relationships/ctrlProp" Target="../ctrlProps/ctrlProp331.xml"/><Relationship Id="rId143" Type="http://schemas.openxmlformats.org/officeDocument/2006/relationships/ctrlProp" Target="../ctrlProps/ctrlProp352.xml"/><Relationship Id="rId148" Type="http://schemas.openxmlformats.org/officeDocument/2006/relationships/ctrlProp" Target="../ctrlProps/ctrlProp357.xml"/><Relationship Id="rId164" Type="http://schemas.openxmlformats.org/officeDocument/2006/relationships/ctrlProp" Target="../ctrlProps/ctrlProp373.xml"/><Relationship Id="rId169" Type="http://schemas.openxmlformats.org/officeDocument/2006/relationships/ctrlProp" Target="../ctrlProps/ctrlProp378.xml"/><Relationship Id="rId185" Type="http://schemas.openxmlformats.org/officeDocument/2006/relationships/ctrlProp" Target="../ctrlProps/ctrlProp394.xml"/><Relationship Id="rId4" Type="http://schemas.openxmlformats.org/officeDocument/2006/relationships/ctrlProp" Target="../ctrlProps/ctrlProp213.xml"/><Relationship Id="rId9" Type="http://schemas.openxmlformats.org/officeDocument/2006/relationships/ctrlProp" Target="../ctrlProps/ctrlProp218.xml"/><Relationship Id="rId180" Type="http://schemas.openxmlformats.org/officeDocument/2006/relationships/ctrlProp" Target="../ctrlProps/ctrlProp389.xml"/><Relationship Id="rId210" Type="http://schemas.openxmlformats.org/officeDocument/2006/relationships/ctrlProp" Target="../ctrlProps/ctrlProp419.xml"/><Relationship Id="rId215" Type="http://schemas.openxmlformats.org/officeDocument/2006/relationships/ctrlProp" Target="../ctrlProps/ctrlProp424.xml"/><Relationship Id="rId26" Type="http://schemas.openxmlformats.org/officeDocument/2006/relationships/ctrlProp" Target="../ctrlProps/ctrlProp235.xml"/><Relationship Id="rId47" Type="http://schemas.openxmlformats.org/officeDocument/2006/relationships/ctrlProp" Target="../ctrlProps/ctrlProp256.xml"/><Relationship Id="rId68" Type="http://schemas.openxmlformats.org/officeDocument/2006/relationships/ctrlProp" Target="../ctrlProps/ctrlProp277.xml"/><Relationship Id="rId89" Type="http://schemas.openxmlformats.org/officeDocument/2006/relationships/ctrlProp" Target="../ctrlProps/ctrlProp298.xml"/><Relationship Id="rId112" Type="http://schemas.openxmlformats.org/officeDocument/2006/relationships/ctrlProp" Target="../ctrlProps/ctrlProp321.xml"/><Relationship Id="rId133" Type="http://schemas.openxmlformats.org/officeDocument/2006/relationships/ctrlProp" Target="../ctrlProps/ctrlProp342.xml"/><Relationship Id="rId154" Type="http://schemas.openxmlformats.org/officeDocument/2006/relationships/ctrlProp" Target="../ctrlProps/ctrlProp363.xml"/><Relationship Id="rId175" Type="http://schemas.openxmlformats.org/officeDocument/2006/relationships/ctrlProp" Target="../ctrlProps/ctrlProp384.xml"/><Relationship Id="rId196" Type="http://schemas.openxmlformats.org/officeDocument/2006/relationships/ctrlProp" Target="../ctrlProps/ctrlProp405.xml"/><Relationship Id="rId200" Type="http://schemas.openxmlformats.org/officeDocument/2006/relationships/ctrlProp" Target="../ctrlProps/ctrlProp409.xml"/><Relationship Id="rId16" Type="http://schemas.openxmlformats.org/officeDocument/2006/relationships/ctrlProp" Target="../ctrlProps/ctrlProp225.xml"/><Relationship Id="rId37" Type="http://schemas.openxmlformats.org/officeDocument/2006/relationships/ctrlProp" Target="../ctrlProps/ctrlProp246.xml"/><Relationship Id="rId58" Type="http://schemas.openxmlformats.org/officeDocument/2006/relationships/ctrlProp" Target="../ctrlProps/ctrlProp267.xml"/><Relationship Id="rId79" Type="http://schemas.openxmlformats.org/officeDocument/2006/relationships/ctrlProp" Target="../ctrlProps/ctrlProp288.xml"/><Relationship Id="rId102" Type="http://schemas.openxmlformats.org/officeDocument/2006/relationships/ctrlProp" Target="../ctrlProps/ctrlProp311.xml"/><Relationship Id="rId123" Type="http://schemas.openxmlformats.org/officeDocument/2006/relationships/ctrlProp" Target="../ctrlProps/ctrlProp332.xml"/><Relationship Id="rId144" Type="http://schemas.openxmlformats.org/officeDocument/2006/relationships/ctrlProp" Target="../ctrlProps/ctrlProp353.xml"/><Relationship Id="rId90" Type="http://schemas.openxmlformats.org/officeDocument/2006/relationships/ctrlProp" Target="../ctrlProps/ctrlProp299.xml"/><Relationship Id="rId165" Type="http://schemas.openxmlformats.org/officeDocument/2006/relationships/ctrlProp" Target="../ctrlProps/ctrlProp374.xml"/><Relationship Id="rId186" Type="http://schemas.openxmlformats.org/officeDocument/2006/relationships/ctrlProp" Target="../ctrlProps/ctrlProp395.xml"/><Relationship Id="rId211" Type="http://schemas.openxmlformats.org/officeDocument/2006/relationships/ctrlProp" Target="../ctrlProps/ctrlProp420.xml"/><Relationship Id="rId27" Type="http://schemas.openxmlformats.org/officeDocument/2006/relationships/ctrlProp" Target="../ctrlProps/ctrlProp236.xml"/><Relationship Id="rId48" Type="http://schemas.openxmlformats.org/officeDocument/2006/relationships/ctrlProp" Target="../ctrlProps/ctrlProp257.xml"/><Relationship Id="rId69" Type="http://schemas.openxmlformats.org/officeDocument/2006/relationships/ctrlProp" Target="../ctrlProps/ctrlProp278.xml"/><Relationship Id="rId113" Type="http://schemas.openxmlformats.org/officeDocument/2006/relationships/ctrlProp" Target="../ctrlProps/ctrlProp322.xml"/><Relationship Id="rId134" Type="http://schemas.openxmlformats.org/officeDocument/2006/relationships/ctrlProp" Target="../ctrlProps/ctrlProp343.xml"/><Relationship Id="rId80" Type="http://schemas.openxmlformats.org/officeDocument/2006/relationships/ctrlProp" Target="../ctrlProps/ctrlProp289.xml"/><Relationship Id="rId155" Type="http://schemas.openxmlformats.org/officeDocument/2006/relationships/ctrlProp" Target="../ctrlProps/ctrlProp364.xml"/><Relationship Id="rId176" Type="http://schemas.openxmlformats.org/officeDocument/2006/relationships/ctrlProp" Target="../ctrlProps/ctrlProp385.xml"/><Relationship Id="rId197" Type="http://schemas.openxmlformats.org/officeDocument/2006/relationships/ctrlProp" Target="../ctrlProps/ctrlProp406.xml"/><Relationship Id="rId201" Type="http://schemas.openxmlformats.org/officeDocument/2006/relationships/ctrlProp" Target="../ctrlProps/ctrlProp410.xml"/><Relationship Id="rId17" Type="http://schemas.openxmlformats.org/officeDocument/2006/relationships/ctrlProp" Target="../ctrlProps/ctrlProp226.xml"/><Relationship Id="rId38" Type="http://schemas.openxmlformats.org/officeDocument/2006/relationships/ctrlProp" Target="../ctrlProps/ctrlProp247.xml"/><Relationship Id="rId59" Type="http://schemas.openxmlformats.org/officeDocument/2006/relationships/ctrlProp" Target="../ctrlProps/ctrlProp268.xml"/><Relationship Id="rId103" Type="http://schemas.openxmlformats.org/officeDocument/2006/relationships/ctrlProp" Target="../ctrlProps/ctrlProp312.xml"/><Relationship Id="rId124" Type="http://schemas.openxmlformats.org/officeDocument/2006/relationships/ctrlProp" Target="../ctrlProps/ctrlProp333.xml"/><Relationship Id="rId70" Type="http://schemas.openxmlformats.org/officeDocument/2006/relationships/ctrlProp" Target="../ctrlProps/ctrlProp279.xml"/><Relationship Id="rId91" Type="http://schemas.openxmlformats.org/officeDocument/2006/relationships/ctrlProp" Target="../ctrlProps/ctrlProp300.xml"/><Relationship Id="rId145" Type="http://schemas.openxmlformats.org/officeDocument/2006/relationships/ctrlProp" Target="../ctrlProps/ctrlProp354.xml"/><Relationship Id="rId166" Type="http://schemas.openxmlformats.org/officeDocument/2006/relationships/ctrlProp" Target="../ctrlProps/ctrlProp375.xml"/><Relationship Id="rId187" Type="http://schemas.openxmlformats.org/officeDocument/2006/relationships/ctrlProp" Target="../ctrlProps/ctrlProp396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1.xml"/><Relationship Id="rId28" Type="http://schemas.openxmlformats.org/officeDocument/2006/relationships/ctrlProp" Target="../ctrlProps/ctrlProp237.xml"/><Relationship Id="rId49" Type="http://schemas.openxmlformats.org/officeDocument/2006/relationships/ctrlProp" Target="../ctrlProps/ctrlProp258.xml"/><Relationship Id="rId114" Type="http://schemas.openxmlformats.org/officeDocument/2006/relationships/ctrlProp" Target="../ctrlProps/ctrlProp323.xml"/><Relationship Id="rId60" Type="http://schemas.openxmlformats.org/officeDocument/2006/relationships/ctrlProp" Target="../ctrlProps/ctrlProp269.xml"/><Relationship Id="rId81" Type="http://schemas.openxmlformats.org/officeDocument/2006/relationships/ctrlProp" Target="../ctrlProps/ctrlProp290.xml"/><Relationship Id="rId135" Type="http://schemas.openxmlformats.org/officeDocument/2006/relationships/ctrlProp" Target="../ctrlProps/ctrlProp344.xml"/><Relationship Id="rId156" Type="http://schemas.openxmlformats.org/officeDocument/2006/relationships/ctrlProp" Target="../ctrlProps/ctrlProp365.xml"/><Relationship Id="rId177" Type="http://schemas.openxmlformats.org/officeDocument/2006/relationships/ctrlProp" Target="../ctrlProps/ctrlProp386.xml"/><Relationship Id="rId198" Type="http://schemas.openxmlformats.org/officeDocument/2006/relationships/ctrlProp" Target="../ctrlProps/ctrlProp407.xml"/><Relationship Id="rId202" Type="http://schemas.openxmlformats.org/officeDocument/2006/relationships/ctrlProp" Target="../ctrlProps/ctrlProp411.xml"/><Relationship Id="rId18" Type="http://schemas.openxmlformats.org/officeDocument/2006/relationships/ctrlProp" Target="../ctrlProps/ctrlProp227.xml"/><Relationship Id="rId39" Type="http://schemas.openxmlformats.org/officeDocument/2006/relationships/ctrlProp" Target="../ctrlProps/ctrlProp248.xml"/><Relationship Id="rId50" Type="http://schemas.openxmlformats.org/officeDocument/2006/relationships/ctrlProp" Target="../ctrlProps/ctrlProp259.xml"/><Relationship Id="rId104" Type="http://schemas.openxmlformats.org/officeDocument/2006/relationships/ctrlProp" Target="../ctrlProps/ctrlProp313.xml"/><Relationship Id="rId125" Type="http://schemas.openxmlformats.org/officeDocument/2006/relationships/ctrlProp" Target="../ctrlProps/ctrlProp334.xml"/><Relationship Id="rId146" Type="http://schemas.openxmlformats.org/officeDocument/2006/relationships/ctrlProp" Target="../ctrlProps/ctrlProp355.xml"/><Relationship Id="rId167" Type="http://schemas.openxmlformats.org/officeDocument/2006/relationships/ctrlProp" Target="../ctrlProps/ctrlProp376.xml"/><Relationship Id="rId188" Type="http://schemas.openxmlformats.org/officeDocument/2006/relationships/ctrlProp" Target="../ctrlProps/ctrlProp397.xml"/><Relationship Id="rId71" Type="http://schemas.openxmlformats.org/officeDocument/2006/relationships/ctrlProp" Target="../ctrlProps/ctrlProp280.xml"/><Relationship Id="rId92" Type="http://schemas.openxmlformats.org/officeDocument/2006/relationships/ctrlProp" Target="../ctrlProps/ctrlProp301.xml"/><Relationship Id="rId213" Type="http://schemas.openxmlformats.org/officeDocument/2006/relationships/ctrlProp" Target="../ctrlProps/ctrlProp42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38.xml"/><Relationship Id="rId40" Type="http://schemas.openxmlformats.org/officeDocument/2006/relationships/ctrlProp" Target="../ctrlProps/ctrlProp249.xml"/><Relationship Id="rId115" Type="http://schemas.openxmlformats.org/officeDocument/2006/relationships/ctrlProp" Target="../ctrlProps/ctrlProp324.xml"/><Relationship Id="rId136" Type="http://schemas.openxmlformats.org/officeDocument/2006/relationships/ctrlProp" Target="../ctrlProps/ctrlProp345.xml"/><Relationship Id="rId157" Type="http://schemas.openxmlformats.org/officeDocument/2006/relationships/ctrlProp" Target="../ctrlProps/ctrlProp366.xml"/><Relationship Id="rId178" Type="http://schemas.openxmlformats.org/officeDocument/2006/relationships/ctrlProp" Target="../ctrlProps/ctrlProp387.xml"/><Relationship Id="rId61" Type="http://schemas.openxmlformats.org/officeDocument/2006/relationships/ctrlProp" Target="../ctrlProps/ctrlProp270.xml"/><Relationship Id="rId82" Type="http://schemas.openxmlformats.org/officeDocument/2006/relationships/ctrlProp" Target="../ctrlProps/ctrlProp291.xml"/><Relationship Id="rId199" Type="http://schemas.openxmlformats.org/officeDocument/2006/relationships/ctrlProp" Target="../ctrlProps/ctrlProp408.xml"/><Relationship Id="rId203" Type="http://schemas.openxmlformats.org/officeDocument/2006/relationships/ctrlProp" Target="../ctrlProps/ctrlProp41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38.xml"/><Relationship Id="rId21" Type="http://schemas.openxmlformats.org/officeDocument/2006/relationships/ctrlProp" Target="../ctrlProps/ctrlProp442.xml"/><Relationship Id="rId42" Type="http://schemas.openxmlformats.org/officeDocument/2006/relationships/ctrlProp" Target="../ctrlProps/ctrlProp463.xml"/><Relationship Id="rId63" Type="http://schemas.openxmlformats.org/officeDocument/2006/relationships/ctrlProp" Target="../ctrlProps/ctrlProp484.xml"/><Relationship Id="rId84" Type="http://schemas.openxmlformats.org/officeDocument/2006/relationships/ctrlProp" Target="../ctrlProps/ctrlProp505.xml"/><Relationship Id="rId138" Type="http://schemas.openxmlformats.org/officeDocument/2006/relationships/ctrlProp" Target="../ctrlProps/ctrlProp559.xml"/><Relationship Id="rId159" Type="http://schemas.openxmlformats.org/officeDocument/2006/relationships/ctrlProp" Target="../ctrlProps/ctrlProp580.xml"/><Relationship Id="rId170" Type="http://schemas.openxmlformats.org/officeDocument/2006/relationships/ctrlProp" Target="../ctrlProps/ctrlProp591.xml"/><Relationship Id="rId191" Type="http://schemas.openxmlformats.org/officeDocument/2006/relationships/ctrlProp" Target="../ctrlProps/ctrlProp612.xml"/><Relationship Id="rId205" Type="http://schemas.openxmlformats.org/officeDocument/2006/relationships/ctrlProp" Target="../ctrlProps/ctrlProp626.xml"/><Relationship Id="rId107" Type="http://schemas.openxmlformats.org/officeDocument/2006/relationships/ctrlProp" Target="../ctrlProps/ctrlProp528.xml"/><Relationship Id="rId11" Type="http://schemas.openxmlformats.org/officeDocument/2006/relationships/ctrlProp" Target="../ctrlProps/ctrlProp432.xml"/><Relationship Id="rId32" Type="http://schemas.openxmlformats.org/officeDocument/2006/relationships/ctrlProp" Target="../ctrlProps/ctrlProp453.xml"/><Relationship Id="rId53" Type="http://schemas.openxmlformats.org/officeDocument/2006/relationships/ctrlProp" Target="../ctrlProps/ctrlProp474.xml"/><Relationship Id="rId74" Type="http://schemas.openxmlformats.org/officeDocument/2006/relationships/ctrlProp" Target="../ctrlProps/ctrlProp495.xml"/><Relationship Id="rId128" Type="http://schemas.openxmlformats.org/officeDocument/2006/relationships/ctrlProp" Target="../ctrlProps/ctrlProp549.xml"/><Relationship Id="rId149" Type="http://schemas.openxmlformats.org/officeDocument/2006/relationships/ctrlProp" Target="../ctrlProps/ctrlProp570.xml"/><Relationship Id="rId5" Type="http://schemas.openxmlformats.org/officeDocument/2006/relationships/ctrlProp" Target="../ctrlProps/ctrlProp426.xml"/><Relationship Id="rId95" Type="http://schemas.openxmlformats.org/officeDocument/2006/relationships/ctrlProp" Target="../ctrlProps/ctrlProp516.xml"/><Relationship Id="rId160" Type="http://schemas.openxmlformats.org/officeDocument/2006/relationships/ctrlProp" Target="../ctrlProps/ctrlProp581.xml"/><Relationship Id="rId181" Type="http://schemas.openxmlformats.org/officeDocument/2006/relationships/ctrlProp" Target="../ctrlProps/ctrlProp602.xml"/><Relationship Id="rId22" Type="http://schemas.openxmlformats.org/officeDocument/2006/relationships/ctrlProp" Target="../ctrlProps/ctrlProp443.xml"/><Relationship Id="rId43" Type="http://schemas.openxmlformats.org/officeDocument/2006/relationships/ctrlProp" Target="../ctrlProps/ctrlProp464.xml"/><Relationship Id="rId64" Type="http://schemas.openxmlformats.org/officeDocument/2006/relationships/ctrlProp" Target="../ctrlProps/ctrlProp485.xml"/><Relationship Id="rId118" Type="http://schemas.openxmlformats.org/officeDocument/2006/relationships/ctrlProp" Target="../ctrlProps/ctrlProp539.xml"/><Relationship Id="rId139" Type="http://schemas.openxmlformats.org/officeDocument/2006/relationships/ctrlProp" Target="../ctrlProps/ctrlProp560.xml"/><Relationship Id="rId85" Type="http://schemas.openxmlformats.org/officeDocument/2006/relationships/ctrlProp" Target="../ctrlProps/ctrlProp506.xml"/><Relationship Id="rId150" Type="http://schemas.openxmlformats.org/officeDocument/2006/relationships/ctrlProp" Target="../ctrlProps/ctrlProp571.xml"/><Relationship Id="rId171" Type="http://schemas.openxmlformats.org/officeDocument/2006/relationships/ctrlProp" Target="../ctrlProps/ctrlProp592.xml"/><Relationship Id="rId192" Type="http://schemas.openxmlformats.org/officeDocument/2006/relationships/ctrlProp" Target="../ctrlProps/ctrlProp613.xml"/><Relationship Id="rId206" Type="http://schemas.openxmlformats.org/officeDocument/2006/relationships/ctrlProp" Target="../ctrlProps/ctrlProp627.xml"/><Relationship Id="rId12" Type="http://schemas.openxmlformats.org/officeDocument/2006/relationships/ctrlProp" Target="../ctrlProps/ctrlProp433.xml"/><Relationship Id="rId33" Type="http://schemas.openxmlformats.org/officeDocument/2006/relationships/ctrlProp" Target="../ctrlProps/ctrlProp454.xml"/><Relationship Id="rId108" Type="http://schemas.openxmlformats.org/officeDocument/2006/relationships/ctrlProp" Target="../ctrlProps/ctrlProp529.xml"/><Relationship Id="rId129" Type="http://schemas.openxmlformats.org/officeDocument/2006/relationships/ctrlProp" Target="../ctrlProps/ctrlProp550.xml"/><Relationship Id="rId54" Type="http://schemas.openxmlformats.org/officeDocument/2006/relationships/ctrlProp" Target="../ctrlProps/ctrlProp475.xml"/><Relationship Id="rId75" Type="http://schemas.openxmlformats.org/officeDocument/2006/relationships/ctrlProp" Target="../ctrlProps/ctrlProp496.xml"/><Relationship Id="rId96" Type="http://schemas.openxmlformats.org/officeDocument/2006/relationships/ctrlProp" Target="../ctrlProps/ctrlProp517.xml"/><Relationship Id="rId140" Type="http://schemas.openxmlformats.org/officeDocument/2006/relationships/ctrlProp" Target="../ctrlProps/ctrlProp561.xml"/><Relationship Id="rId161" Type="http://schemas.openxmlformats.org/officeDocument/2006/relationships/ctrlProp" Target="../ctrlProps/ctrlProp582.xml"/><Relationship Id="rId182" Type="http://schemas.openxmlformats.org/officeDocument/2006/relationships/ctrlProp" Target="../ctrlProps/ctrlProp603.xml"/><Relationship Id="rId6" Type="http://schemas.openxmlformats.org/officeDocument/2006/relationships/ctrlProp" Target="../ctrlProps/ctrlProp427.xml"/><Relationship Id="rId23" Type="http://schemas.openxmlformats.org/officeDocument/2006/relationships/ctrlProp" Target="../ctrlProps/ctrlProp444.xml"/><Relationship Id="rId119" Type="http://schemas.openxmlformats.org/officeDocument/2006/relationships/ctrlProp" Target="../ctrlProps/ctrlProp540.xml"/><Relationship Id="rId44" Type="http://schemas.openxmlformats.org/officeDocument/2006/relationships/ctrlProp" Target="../ctrlProps/ctrlProp465.xml"/><Relationship Id="rId65" Type="http://schemas.openxmlformats.org/officeDocument/2006/relationships/ctrlProp" Target="../ctrlProps/ctrlProp486.xml"/><Relationship Id="rId86" Type="http://schemas.openxmlformats.org/officeDocument/2006/relationships/ctrlProp" Target="../ctrlProps/ctrlProp507.xml"/><Relationship Id="rId130" Type="http://schemas.openxmlformats.org/officeDocument/2006/relationships/ctrlProp" Target="../ctrlProps/ctrlProp551.xml"/><Relationship Id="rId151" Type="http://schemas.openxmlformats.org/officeDocument/2006/relationships/ctrlProp" Target="../ctrlProps/ctrlProp572.xml"/><Relationship Id="rId172" Type="http://schemas.openxmlformats.org/officeDocument/2006/relationships/ctrlProp" Target="../ctrlProps/ctrlProp593.xml"/><Relationship Id="rId193" Type="http://schemas.openxmlformats.org/officeDocument/2006/relationships/ctrlProp" Target="../ctrlProps/ctrlProp614.xml"/><Relationship Id="rId207" Type="http://schemas.openxmlformats.org/officeDocument/2006/relationships/ctrlProp" Target="../ctrlProps/ctrlProp628.xml"/><Relationship Id="rId13" Type="http://schemas.openxmlformats.org/officeDocument/2006/relationships/ctrlProp" Target="../ctrlProps/ctrlProp434.xml"/><Relationship Id="rId109" Type="http://schemas.openxmlformats.org/officeDocument/2006/relationships/ctrlProp" Target="../ctrlProps/ctrlProp530.xml"/><Relationship Id="rId34" Type="http://schemas.openxmlformats.org/officeDocument/2006/relationships/ctrlProp" Target="../ctrlProps/ctrlProp455.xml"/><Relationship Id="rId55" Type="http://schemas.openxmlformats.org/officeDocument/2006/relationships/ctrlProp" Target="../ctrlProps/ctrlProp476.xml"/><Relationship Id="rId76" Type="http://schemas.openxmlformats.org/officeDocument/2006/relationships/ctrlProp" Target="../ctrlProps/ctrlProp497.xml"/><Relationship Id="rId97" Type="http://schemas.openxmlformats.org/officeDocument/2006/relationships/ctrlProp" Target="../ctrlProps/ctrlProp518.xml"/><Relationship Id="rId120" Type="http://schemas.openxmlformats.org/officeDocument/2006/relationships/ctrlProp" Target="../ctrlProps/ctrlProp541.xml"/><Relationship Id="rId141" Type="http://schemas.openxmlformats.org/officeDocument/2006/relationships/ctrlProp" Target="../ctrlProps/ctrlProp562.xml"/><Relationship Id="rId7" Type="http://schemas.openxmlformats.org/officeDocument/2006/relationships/ctrlProp" Target="../ctrlProps/ctrlProp428.xml"/><Relationship Id="rId162" Type="http://schemas.openxmlformats.org/officeDocument/2006/relationships/ctrlProp" Target="../ctrlProps/ctrlProp583.xml"/><Relationship Id="rId183" Type="http://schemas.openxmlformats.org/officeDocument/2006/relationships/ctrlProp" Target="../ctrlProps/ctrlProp604.xml"/><Relationship Id="rId24" Type="http://schemas.openxmlformats.org/officeDocument/2006/relationships/ctrlProp" Target="../ctrlProps/ctrlProp445.xml"/><Relationship Id="rId45" Type="http://schemas.openxmlformats.org/officeDocument/2006/relationships/ctrlProp" Target="../ctrlProps/ctrlProp466.xml"/><Relationship Id="rId66" Type="http://schemas.openxmlformats.org/officeDocument/2006/relationships/ctrlProp" Target="../ctrlProps/ctrlProp487.xml"/><Relationship Id="rId87" Type="http://schemas.openxmlformats.org/officeDocument/2006/relationships/ctrlProp" Target="../ctrlProps/ctrlProp508.xml"/><Relationship Id="rId110" Type="http://schemas.openxmlformats.org/officeDocument/2006/relationships/ctrlProp" Target="../ctrlProps/ctrlProp531.xml"/><Relationship Id="rId131" Type="http://schemas.openxmlformats.org/officeDocument/2006/relationships/ctrlProp" Target="../ctrlProps/ctrlProp552.xml"/><Relationship Id="rId152" Type="http://schemas.openxmlformats.org/officeDocument/2006/relationships/ctrlProp" Target="../ctrlProps/ctrlProp573.xml"/><Relationship Id="rId173" Type="http://schemas.openxmlformats.org/officeDocument/2006/relationships/ctrlProp" Target="../ctrlProps/ctrlProp594.xml"/><Relationship Id="rId194" Type="http://schemas.openxmlformats.org/officeDocument/2006/relationships/ctrlProp" Target="../ctrlProps/ctrlProp615.xml"/><Relationship Id="rId208" Type="http://schemas.openxmlformats.org/officeDocument/2006/relationships/ctrlProp" Target="../ctrlProps/ctrlProp629.xml"/><Relationship Id="rId19" Type="http://schemas.openxmlformats.org/officeDocument/2006/relationships/ctrlProp" Target="../ctrlProps/ctrlProp440.xml"/><Relationship Id="rId14" Type="http://schemas.openxmlformats.org/officeDocument/2006/relationships/ctrlProp" Target="../ctrlProps/ctrlProp435.xml"/><Relationship Id="rId30" Type="http://schemas.openxmlformats.org/officeDocument/2006/relationships/ctrlProp" Target="../ctrlProps/ctrlProp451.xml"/><Relationship Id="rId35" Type="http://schemas.openxmlformats.org/officeDocument/2006/relationships/ctrlProp" Target="../ctrlProps/ctrlProp456.xml"/><Relationship Id="rId56" Type="http://schemas.openxmlformats.org/officeDocument/2006/relationships/ctrlProp" Target="../ctrlProps/ctrlProp477.xml"/><Relationship Id="rId77" Type="http://schemas.openxmlformats.org/officeDocument/2006/relationships/ctrlProp" Target="../ctrlProps/ctrlProp498.xml"/><Relationship Id="rId100" Type="http://schemas.openxmlformats.org/officeDocument/2006/relationships/ctrlProp" Target="../ctrlProps/ctrlProp521.xml"/><Relationship Id="rId105" Type="http://schemas.openxmlformats.org/officeDocument/2006/relationships/ctrlProp" Target="../ctrlProps/ctrlProp526.xml"/><Relationship Id="rId126" Type="http://schemas.openxmlformats.org/officeDocument/2006/relationships/ctrlProp" Target="../ctrlProps/ctrlProp547.xml"/><Relationship Id="rId147" Type="http://schemas.openxmlformats.org/officeDocument/2006/relationships/ctrlProp" Target="../ctrlProps/ctrlProp568.xml"/><Relationship Id="rId168" Type="http://schemas.openxmlformats.org/officeDocument/2006/relationships/ctrlProp" Target="../ctrlProps/ctrlProp589.xml"/><Relationship Id="rId8" Type="http://schemas.openxmlformats.org/officeDocument/2006/relationships/ctrlProp" Target="../ctrlProps/ctrlProp429.xml"/><Relationship Id="rId51" Type="http://schemas.openxmlformats.org/officeDocument/2006/relationships/ctrlProp" Target="../ctrlProps/ctrlProp472.xml"/><Relationship Id="rId72" Type="http://schemas.openxmlformats.org/officeDocument/2006/relationships/ctrlProp" Target="../ctrlProps/ctrlProp493.xml"/><Relationship Id="rId93" Type="http://schemas.openxmlformats.org/officeDocument/2006/relationships/ctrlProp" Target="../ctrlProps/ctrlProp514.xml"/><Relationship Id="rId98" Type="http://schemas.openxmlformats.org/officeDocument/2006/relationships/ctrlProp" Target="../ctrlProps/ctrlProp519.xml"/><Relationship Id="rId121" Type="http://schemas.openxmlformats.org/officeDocument/2006/relationships/ctrlProp" Target="../ctrlProps/ctrlProp542.xml"/><Relationship Id="rId142" Type="http://schemas.openxmlformats.org/officeDocument/2006/relationships/ctrlProp" Target="../ctrlProps/ctrlProp563.xml"/><Relationship Id="rId163" Type="http://schemas.openxmlformats.org/officeDocument/2006/relationships/ctrlProp" Target="../ctrlProps/ctrlProp584.xml"/><Relationship Id="rId184" Type="http://schemas.openxmlformats.org/officeDocument/2006/relationships/ctrlProp" Target="../ctrlProps/ctrlProp605.xml"/><Relationship Id="rId189" Type="http://schemas.openxmlformats.org/officeDocument/2006/relationships/ctrlProp" Target="../ctrlProps/ctrlProp610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35.xml"/><Relationship Id="rId25" Type="http://schemas.openxmlformats.org/officeDocument/2006/relationships/ctrlProp" Target="../ctrlProps/ctrlProp446.xml"/><Relationship Id="rId46" Type="http://schemas.openxmlformats.org/officeDocument/2006/relationships/ctrlProp" Target="../ctrlProps/ctrlProp467.xml"/><Relationship Id="rId67" Type="http://schemas.openxmlformats.org/officeDocument/2006/relationships/ctrlProp" Target="../ctrlProps/ctrlProp488.xml"/><Relationship Id="rId116" Type="http://schemas.openxmlformats.org/officeDocument/2006/relationships/ctrlProp" Target="../ctrlProps/ctrlProp537.xml"/><Relationship Id="rId137" Type="http://schemas.openxmlformats.org/officeDocument/2006/relationships/ctrlProp" Target="../ctrlProps/ctrlProp558.xml"/><Relationship Id="rId158" Type="http://schemas.openxmlformats.org/officeDocument/2006/relationships/ctrlProp" Target="../ctrlProps/ctrlProp579.xml"/><Relationship Id="rId20" Type="http://schemas.openxmlformats.org/officeDocument/2006/relationships/ctrlProp" Target="../ctrlProps/ctrlProp441.xml"/><Relationship Id="rId41" Type="http://schemas.openxmlformats.org/officeDocument/2006/relationships/ctrlProp" Target="../ctrlProps/ctrlProp462.xml"/><Relationship Id="rId62" Type="http://schemas.openxmlformats.org/officeDocument/2006/relationships/ctrlProp" Target="../ctrlProps/ctrlProp483.xml"/><Relationship Id="rId83" Type="http://schemas.openxmlformats.org/officeDocument/2006/relationships/ctrlProp" Target="../ctrlProps/ctrlProp504.xml"/><Relationship Id="rId88" Type="http://schemas.openxmlformats.org/officeDocument/2006/relationships/ctrlProp" Target="../ctrlProps/ctrlProp509.xml"/><Relationship Id="rId111" Type="http://schemas.openxmlformats.org/officeDocument/2006/relationships/ctrlProp" Target="../ctrlProps/ctrlProp532.xml"/><Relationship Id="rId132" Type="http://schemas.openxmlformats.org/officeDocument/2006/relationships/ctrlProp" Target="../ctrlProps/ctrlProp553.xml"/><Relationship Id="rId153" Type="http://schemas.openxmlformats.org/officeDocument/2006/relationships/ctrlProp" Target="../ctrlProps/ctrlProp574.xml"/><Relationship Id="rId174" Type="http://schemas.openxmlformats.org/officeDocument/2006/relationships/ctrlProp" Target="../ctrlProps/ctrlProp595.xml"/><Relationship Id="rId179" Type="http://schemas.openxmlformats.org/officeDocument/2006/relationships/ctrlProp" Target="../ctrlProps/ctrlProp600.xml"/><Relationship Id="rId195" Type="http://schemas.openxmlformats.org/officeDocument/2006/relationships/ctrlProp" Target="../ctrlProps/ctrlProp616.xml"/><Relationship Id="rId209" Type="http://schemas.openxmlformats.org/officeDocument/2006/relationships/ctrlProp" Target="../ctrlProps/ctrlProp630.xml"/><Relationship Id="rId190" Type="http://schemas.openxmlformats.org/officeDocument/2006/relationships/ctrlProp" Target="../ctrlProps/ctrlProp611.xml"/><Relationship Id="rId204" Type="http://schemas.openxmlformats.org/officeDocument/2006/relationships/ctrlProp" Target="../ctrlProps/ctrlProp625.xml"/><Relationship Id="rId15" Type="http://schemas.openxmlformats.org/officeDocument/2006/relationships/ctrlProp" Target="../ctrlProps/ctrlProp436.xml"/><Relationship Id="rId36" Type="http://schemas.openxmlformats.org/officeDocument/2006/relationships/ctrlProp" Target="../ctrlProps/ctrlProp457.xml"/><Relationship Id="rId57" Type="http://schemas.openxmlformats.org/officeDocument/2006/relationships/ctrlProp" Target="../ctrlProps/ctrlProp478.xml"/><Relationship Id="rId106" Type="http://schemas.openxmlformats.org/officeDocument/2006/relationships/ctrlProp" Target="../ctrlProps/ctrlProp527.xml"/><Relationship Id="rId127" Type="http://schemas.openxmlformats.org/officeDocument/2006/relationships/ctrlProp" Target="../ctrlProps/ctrlProp548.xml"/><Relationship Id="rId10" Type="http://schemas.openxmlformats.org/officeDocument/2006/relationships/ctrlProp" Target="../ctrlProps/ctrlProp431.xml"/><Relationship Id="rId31" Type="http://schemas.openxmlformats.org/officeDocument/2006/relationships/ctrlProp" Target="../ctrlProps/ctrlProp452.xml"/><Relationship Id="rId52" Type="http://schemas.openxmlformats.org/officeDocument/2006/relationships/ctrlProp" Target="../ctrlProps/ctrlProp473.xml"/><Relationship Id="rId73" Type="http://schemas.openxmlformats.org/officeDocument/2006/relationships/ctrlProp" Target="../ctrlProps/ctrlProp494.xml"/><Relationship Id="rId78" Type="http://schemas.openxmlformats.org/officeDocument/2006/relationships/ctrlProp" Target="../ctrlProps/ctrlProp499.xml"/><Relationship Id="rId94" Type="http://schemas.openxmlformats.org/officeDocument/2006/relationships/ctrlProp" Target="../ctrlProps/ctrlProp515.xml"/><Relationship Id="rId99" Type="http://schemas.openxmlformats.org/officeDocument/2006/relationships/ctrlProp" Target="../ctrlProps/ctrlProp520.xml"/><Relationship Id="rId101" Type="http://schemas.openxmlformats.org/officeDocument/2006/relationships/ctrlProp" Target="../ctrlProps/ctrlProp522.xml"/><Relationship Id="rId122" Type="http://schemas.openxmlformats.org/officeDocument/2006/relationships/ctrlProp" Target="../ctrlProps/ctrlProp543.xml"/><Relationship Id="rId143" Type="http://schemas.openxmlformats.org/officeDocument/2006/relationships/ctrlProp" Target="../ctrlProps/ctrlProp564.xml"/><Relationship Id="rId148" Type="http://schemas.openxmlformats.org/officeDocument/2006/relationships/ctrlProp" Target="../ctrlProps/ctrlProp569.xml"/><Relationship Id="rId164" Type="http://schemas.openxmlformats.org/officeDocument/2006/relationships/ctrlProp" Target="../ctrlProps/ctrlProp585.xml"/><Relationship Id="rId169" Type="http://schemas.openxmlformats.org/officeDocument/2006/relationships/ctrlProp" Target="../ctrlProps/ctrlProp590.xml"/><Relationship Id="rId185" Type="http://schemas.openxmlformats.org/officeDocument/2006/relationships/ctrlProp" Target="../ctrlProps/ctrlProp606.xml"/><Relationship Id="rId4" Type="http://schemas.openxmlformats.org/officeDocument/2006/relationships/ctrlProp" Target="../ctrlProps/ctrlProp425.xml"/><Relationship Id="rId9" Type="http://schemas.openxmlformats.org/officeDocument/2006/relationships/ctrlProp" Target="../ctrlProps/ctrlProp430.xml"/><Relationship Id="rId180" Type="http://schemas.openxmlformats.org/officeDocument/2006/relationships/ctrlProp" Target="../ctrlProps/ctrlProp601.xml"/><Relationship Id="rId210" Type="http://schemas.openxmlformats.org/officeDocument/2006/relationships/ctrlProp" Target="../ctrlProps/ctrlProp631.xml"/><Relationship Id="rId215" Type="http://schemas.openxmlformats.org/officeDocument/2006/relationships/ctrlProp" Target="../ctrlProps/ctrlProp636.xml"/><Relationship Id="rId26" Type="http://schemas.openxmlformats.org/officeDocument/2006/relationships/ctrlProp" Target="../ctrlProps/ctrlProp447.xml"/><Relationship Id="rId47" Type="http://schemas.openxmlformats.org/officeDocument/2006/relationships/ctrlProp" Target="../ctrlProps/ctrlProp468.xml"/><Relationship Id="rId68" Type="http://schemas.openxmlformats.org/officeDocument/2006/relationships/ctrlProp" Target="../ctrlProps/ctrlProp489.xml"/><Relationship Id="rId89" Type="http://schemas.openxmlformats.org/officeDocument/2006/relationships/ctrlProp" Target="../ctrlProps/ctrlProp510.xml"/><Relationship Id="rId112" Type="http://schemas.openxmlformats.org/officeDocument/2006/relationships/ctrlProp" Target="../ctrlProps/ctrlProp533.xml"/><Relationship Id="rId133" Type="http://schemas.openxmlformats.org/officeDocument/2006/relationships/ctrlProp" Target="../ctrlProps/ctrlProp554.xml"/><Relationship Id="rId154" Type="http://schemas.openxmlformats.org/officeDocument/2006/relationships/ctrlProp" Target="../ctrlProps/ctrlProp575.xml"/><Relationship Id="rId175" Type="http://schemas.openxmlformats.org/officeDocument/2006/relationships/ctrlProp" Target="../ctrlProps/ctrlProp596.xml"/><Relationship Id="rId196" Type="http://schemas.openxmlformats.org/officeDocument/2006/relationships/ctrlProp" Target="../ctrlProps/ctrlProp617.xml"/><Relationship Id="rId200" Type="http://schemas.openxmlformats.org/officeDocument/2006/relationships/ctrlProp" Target="../ctrlProps/ctrlProp621.xml"/><Relationship Id="rId16" Type="http://schemas.openxmlformats.org/officeDocument/2006/relationships/ctrlProp" Target="../ctrlProps/ctrlProp437.xml"/><Relationship Id="rId37" Type="http://schemas.openxmlformats.org/officeDocument/2006/relationships/ctrlProp" Target="../ctrlProps/ctrlProp458.xml"/><Relationship Id="rId58" Type="http://schemas.openxmlformats.org/officeDocument/2006/relationships/ctrlProp" Target="../ctrlProps/ctrlProp479.xml"/><Relationship Id="rId79" Type="http://schemas.openxmlformats.org/officeDocument/2006/relationships/ctrlProp" Target="../ctrlProps/ctrlProp500.xml"/><Relationship Id="rId102" Type="http://schemas.openxmlformats.org/officeDocument/2006/relationships/ctrlProp" Target="../ctrlProps/ctrlProp523.xml"/><Relationship Id="rId123" Type="http://schemas.openxmlformats.org/officeDocument/2006/relationships/ctrlProp" Target="../ctrlProps/ctrlProp544.xml"/><Relationship Id="rId144" Type="http://schemas.openxmlformats.org/officeDocument/2006/relationships/ctrlProp" Target="../ctrlProps/ctrlProp565.xml"/><Relationship Id="rId90" Type="http://schemas.openxmlformats.org/officeDocument/2006/relationships/ctrlProp" Target="../ctrlProps/ctrlProp511.xml"/><Relationship Id="rId165" Type="http://schemas.openxmlformats.org/officeDocument/2006/relationships/ctrlProp" Target="../ctrlProps/ctrlProp586.xml"/><Relationship Id="rId186" Type="http://schemas.openxmlformats.org/officeDocument/2006/relationships/ctrlProp" Target="../ctrlProps/ctrlProp607.xml"/><Relationship Id="rId211" Type="http://schemas.openxmlformats.org/officeDocument/2006/relationships/ctrlProp" Target="../ctrlProps/ctrlProp632.xml"/><Relationship Id="rId27" Type="http://schemas.openxmlformats.org/officeDocument/2006/relationships/ctrlProp" Target="../ctrlProps/ctrlProp448.xml"/><Relationship Id="rId48" Type="http://schemas.openxmlformats.org/officeDocument/2006/relationships/ctrlProp" Target="../ctrlProps/ctrlProp469.xml"/><Relationship Id="rId69" Type="http://schemas.openxmlformats.org/officeDocument/2006/relationships/ctrlProp" Target="../ctrlProps/ctrlProp490.xml"/><Relationship Id="rId113" Type="http://schemas.openxmlformats.org/officeDocument/2006/relationships/ctrlProp" Target="../ctrlProps/ctrlProp534.xml"/><Relationship Id="rId134" Type="http://schemas.openxmlformats.org/officeDocument/2006/relationships/ctrlProp" Target="../ctrlProps/ctrlProp555.xml"/><Relationship Id="rId80" Type="http://schemas.openxmlformats.org/officeDocument/2006/relationships/ctrlProp" Target="../ctrlProps/ctrlProp501.xml"/><Relationship Id="rId155" Type="http://schemas.openxmlformats.org/officeDocument/2006/relationships/ctrlProp" Target="../ctrlProps/ctrlProp576.xml"/><Relationship Id="rId176" Type="http://schemas.openxmlformats.org/officeDocument/2006/relationships/ctrlProp" Target="../ctrlProps/ctrlProp597.xml"/><Relationship Id="rId197" Type="http://schemas.openxmlformats.org/officeDocument/2006/relationships/ctrlProp" Target="../ctrlProps/ctrlProp618.xml"/><Relationship Id="rId201" Type="http://schemas.openxmlformats.org/officeDocument/2006/relationships/ctrlProp" Target="../ctrlProps/ctrlProp622.xml"/><Relationship Id="rId17" Type="http://schemas.openxmlformats.org/officeDocument/2006/relationships/ctrlProp" Target="../ctrlProps/ctrlProp438.xml"/><Relationship Id="rId38" Type="http://schemas.openxmlformats.org/officeDocument/2006/relationships/ctrlProp" Target="../ctrlProps/ctrlProp459.xml"/><Relationship Id="rId59" Type="http://schemas.openxmlformats.org/officeDocument/2006/relationships/ctrlProp" Target="../ctrlProps/ctrlProp480.xml"/><Relationship Id="rId103" Type="http://schemas.openxmlformats.org/officeDocument/2006/relationships/ctrlProp" Target="../ctrlProps/ctrlProp524.xml"/><Relationship Id="rId124" Type="http://schemas.openxmlformats.org/officeDocument/2006/relationships/ctrlProp" Target="../ctrlProps/ctrlProp545.xml"/><Relationship Id="rId70" Type="http://schemas.openxmlformats.org/officeDocument/2006/relationships/ctrlProp" Target="../ctrlProps/ctrlProp491.xml"/><Relationship Id="rId91" Type="http://schemas.openxmlformats.org/officeDocument/2006/relationships/ctrlProp" Target="../ctrlProps/ctrlProp512.xml"/><Relationship Id="rId145" Type="http://schemas.openxmlformats.org/officeDocument/2006/relationships/ctrlProp" Target="../ctrlProps/ctrlProp566.xml"/><Relationship Id="rId166" Type="http://schemas.openxmlformats.org/officeDocument/2006/relationships/ctrlProp" Target="../ctrlProps/ctrlProp587.xml"/><Relationship Id="rId187" Type="http://schemas.openxmlformats.org/officeDocument/2006/relationships/ctrlProp" Target="../ctrlProps/ctrlProp608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3.xml"/><Relationship Id="rId28" Type="http://schemas.openxmlformats.org/officeDocument/2006/relationships/ctrlProp" Target="../ctrlProps/ctrlProp449.xml"/><Relationship Id="rId49" Type="http://schemas.openxmlformats.org/officeDocument/2006/relationships/ctrlProp" Target="../ctrlProps/ctrlProp470.xml"/><Relationship Id="rId114" Type="http://schemas.openxmlformats.org/officeDocument/2006/relationships/ctrlProp" Target="../ctrlProps/ctrlProp535.xml"/><Relationship Id="rId60" Type="http://schemas.openxmlformats.org/officeDocument/2006/relationships/ctrlProp" Target="../ctrlProps/ctrlProp481.xml"/><Relationship Id="rId81" Type="http://schemas.openxmlformats.org/officeDocument/2006/relationships/ctrlProp" Target="../ctrlProps/ctrlProp502.xml"/><Relationship Id="rId135" Type="http://schemas.openxmlformats.org/officeDocument/2006/relationships/ctrlProp" Target="../ctrlProps/ctrlProp556.xml"/><Relationship Id="rId156" Type="http://schemas.openxmlformats.org/officeDocument/2006/relationships/ctrlProp" Target="../ctrlProps/ctrlProp577.xml"/><Relationship Id="rId177" Type="http://schemas.openxmlformats.org/officeDocument/2006/relationships/ctrlProp" Target="../ctrlProps/ctrlProp598.xml"/><Relationship Id="rId198" Type="http://schemas.openxmlformats.org/officeDocument/2006/relationships/ctrlProp" Target="../ctrlProps/ctrlProp619.xml"/><Relationship Id="rId202" Type="http://schemas.openxmlformats.org/officeDocument/2006/relationships/ctrlProp" Target="../ctrlProps/ctrlProp623.xml"/><Relationship Id="rId18" Type="http://schemas.openxmlformats.org/officeDocument/2006/relationships/ctrlProp" Target="../ctrlProps/ctrlProp439.xml"/><Relationship Id="rId39" Type="http://schemas.openxmlformats.org/officeDocument/2006/relationships/ctrlProp" Target="../ctrlProps/ctrlProp460.xml"/><Relationship Id="rId50" Type="http://schemas.openxmlformats.org/officeDocument/2006/relationships/ctrlProp" Target="../ctrlProps/ctrlProp471.xml"/><Relationship Id="rId104" Type="http://schemas.openxmlformats.org/officeDocument/2006/relationships/ctrlProp" Target="../ctrlProps/ctrlProp525.xml"/><Relationship Id="rId125" Type="http://schemas.openxmlformats.org/officeDocument/2006/relationships/ctrlProp" Target="../ctrlProps/ctrlProp546.xml"/><Relationship Id="rId146" Type="http://schemas.openxmlformats.org/officeDocument/2006/relationships/ctrlProp" Target="../ctrlProps/ctrlProp567.xml"/><Relationship Id="rId167" Type="http://schemas.openxmlformats.org/officeDocument/2006/relationships/ctrlProp" Target="../ctrlProps/ctrlProp588.xml"/><Relationship Id="rId188" Type="http://schemas.openxmlformats.org/officeDocument/2006/relationships/ctrlProp" Target="../ctrlProps/ctrlProp609.xml"/><Relationship Id="rId71" Type="http://schemas.openxmlformats.org/officeDocument/2006/relationships/ctrlProp" Target="../ctrlProps/ctrlProp492.xml"/><Relationship Id="rId92" Type="http://schemas.openxmlformats.org/officeDocument/2006/relationships/ctrlProp" Target="../ctrlProps/ctrlProp513.xml"/><Relationship Id="rId213" Type="http://schemas.openxmlformats.org/officeDocument/2006/relationships/ctrlProp" Target="../ctrlProps/ctrlProp634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0.xml"/><Relationship Id="rId40" Type="http://schemas.openxmlformats.org/officeDocument/2006/relationships/ctrlProp" Target="../ctrlProps/ctrlProp461.xml"/><Relationship Id="rId115" Type="http://schemas.openxmlformats.org/officeDocument/2006/relationships/ctrlProp" Target="../ctrlProps/ctrlProp536.xml"/><Relationship Id="rId136" Type="http://schemas.openxmlformats.org/officeDocument/2006/relationships/ctrlProp" Target="../ctrlProps/ctrlProp557.xml"/><Relationship Id="rId157" Type="http://schemas.openxmlformats.org/officeDocument/2006/relationships/ctrlProp" Target="../ctrlProps/ctrlProp578.xml"/><Relationship Id="rId178" Type="http://schemas.openxmlformats.org/officeDocument/2006/relationships/ctrlProp" Target="../ctrlProps/ctrlProp599.xml"/><Relationship Id="rId61" Type="http://schemas.openxmlformats.org/officeDocument/2006/relationships/ctrlProp" Target="../ctrlProps/ctrlProp482.xml"/><Relationship Id="rId82" Type="http://schemas.openxmlformats.org/officeDocument/2006/relationships/ctrlProp" Target="../ctrlProps/ctrlProp503.xml"/><Relationship Id="rId199" Type="http://schemas.openxmlformats.org/officeDocument/2006/relationships/ctrlProp" Target="../ctrlProps/ctrlProp620.xml"/><Relationship Id="rId203" Type="http://schemas.openxmlformats.org/officeDocument/2006/relationships/ctrlProp" Target="../ctrlProps/ctrlProp62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0.xml"/><Relationship Id="rId21" Type="http://schemas.openxmlformats.org/officeDocument/2006/relationships/ctrlProp" Target="../ctrlProps/ctrlProp654.xml"/><Relationship Id="rId42" Type="http://schemas.openxmlformats.org/officeDocument/2006/relationships/ctrlProp" Target="../ctrlProps/ctrlProp675.xml"/><Relationship Id="rId63" Type="http://schemas.openxmlformats.org/officeDocument/2006/relationships/ctrlProp" Target="../ctrlProps/ctrlProp696.xml"/><Relationship Id="rId84" Type="http://schemas.openxmlformats.org/officeDocument/2006/relationships/ctrlProp" Target="../ctrlProps/ctrlProp717.xml"/><Relationship Id="rId138" Type="http://schemas.openxmlformats.org/officeDocument/2006/relationships/ctrlProp" Target="../ctrlProps/ctrlProp771.xml"/><Relationship Id="rId159" Type="http://schemas.openxmlformats.org/officeDocument/2006/relationships/ctrlProp" Target="../ctrlProps/ctrlProp792.xml"/><Relationship Id="rId170" Type="http://schemas.openxmlformats.org/officeDocument/2006/relationships/ctrlProp" Target="../ctrlProps/ctrlProp803.xml"/><Relationship Id="rId191" Type="http://schemas.openxmlformats.org/officeDocument/2006/relationships/ctrlProp" Target="../ctrlProps/ctrlProp824.xml"/><Relationship Id="rId205" Type="http://schemas.openxmlformats.org/officeDocument/2006/relationships/ctrlProp" Target="../ctrlProps/ctrlProp838.xml"/><Relationship Id="rId107" Type="http://schemas.openxmlformats.org/officeDocument/2006/relationships/ctrlProp" Target="../ctrlProps/ctrlProp740.xml"/><Relationship Id="rId11" Type="http://schemas.openxmlformats.org/officeDocument/2006/relationships/ctrlProp" Target="../ctrlProps/ctrlProp644.xml"/><Relationship Id="rId32" Type="http://schemas.openxmlformats.org/officeDocument/2006/relationships/ctrlProp" Target="../ctrlProps/ctrlProp665.xml"/><Relationship Id="rId53" Type="http://schemas.openxmlformats.org/officeDocument/2006/relationships/ctrlProp" Target="../ctrlProps/ctrlProp686.xml"/><Relationship Id="rId74" Type="http://schemas.openxmlformats.org/officeDocument/2006/relationships/ctrlProp" Target="../ctrlProps/ctrlProp707.xml"/><Relationship Id="rId128" Type="http://schemas.openxmlformats.org/officeDocument/2006/relationships/ctrlProp" Target="../ctrlProps/ctrlProp761.xml"/><Relationship Id="rId149" Type="http://schemas.openxmlformats.org/officeDocument/2006/relationships/ctrlProp" Target="../ctrlProps/ctrlProp782.xml"/><Relationship Id="rId5" Type="http://schemas.openxmlformats.org/officeDocument/2006/relationships/ctrlProp" Target="../ctrlProps/ctrlProp638.xml"/><Relationship Id="rId95" Type="http://schemas.openxmlformats.org/officeDocument/2006/relationships/ctrlProp" Target="../ctrlProps/ctrlProp728.xml"/><Relationship Id="rId160" Type="http://schemas.openxmlformats.org/officeDocument/2006/relationships/ctrlProp" Target="../ctrlProps/ctrlProp793.xml"/><Relationship Id="rId181" Type="http://schemas.openxmlformats.org/officeDocument/2006/relationships/ctrlProp" Target="../ctrlProps/ctrlProp814.xml"/><Relationship Id="rId22" Type="http://schemas.openxmlformats.org/officeDocument/2006/relationships/ctrlProp" Target="../ctrlProps/ctrlProp655.xml"/><Relationship Id="rId43" Type="http://schemas.openxmlformats.org/officeDocument/2006/relationships/ctrlProp" Target="../ctrlProps/ctrlProp676.xml"/><Relationship Id="rId64" Type="http://schemas.openxmlformats.org/officeDocument/2006/relationships/ctrlProp" Target="../ctrlProps/ctrlProp697.xml"/><Relationship Id="rId118" Type="http://schemas.openxmlformats.org/officeDocument/2006/relationships/ctrlProp" Target="../ctrlProps/ctrlProp751.xml"/><Relationship Id="rId139" Type="http://schemas.openxmlformats.org/officeDocument/2006/relationships/ctrlProp" Target="../ctrlProps/ctrlProp772.xml"/><Relationship Id="rId85" Type="http://schemas.openxmlformats.org/officeDocument/2006/relationships/ctrlProp" Target="../ctrlProps/ctrlProp718.xml"/><Relationship Id="rId150" Type="http://schemas.openxmlformats.org/officeDocument/2006/relationships/ctrlProp" Target="../ctrlProps/ctrlProp783.xml"/><Relationship Id="rId171" Type="http://schemas.openxmlformats.org/officeDocument/2006/relationships/ctrlProp" Target="../ctrlProps/ctrlProp804.xml"/><Relationship Id="rId192" Type="http://schemas.openxmlformats.org/officeDocument/2006/relationships/ctrlProp" Target="../ctrlProps/ctrlProp825.xml"/><Relationship Id="rId206" Type="http://schemas.openxmlformats.org/officeDocument/2006/relationships/ctrlProp" Target="../ctrlProps/ctrlProp839.xml"/><Relationship Id="rId12" Type="http://schemas.openxmlformats.org/officeDocument/2006/relationships/ctrlProp" Target="../ctrlProps/ctrlProp645.xml"/><Relationship Id="rId33" Type="http://schemas.openxmlformats.org/officeDocument/2006/relationships/ctrlProp" Target="../ctrlProps/ctrlProp666.xml"/><Relationship Id="rId108" Type="http://schemas.openxmlformats.org/officeDocument/2006/relationships/ctrlProp" Target="../ctrlProps/ctrlProp741.xml"/><Relationship Id="rId129" Type="http://schemas.openxmlformats.org/officeDocument/2006/relationships/ctrlProp" Target="../ctrlProps/ctrlProp762.xml"/><Relationship Id="rId54" Type="http://schemas.openxmlformats.org/officeDocument/2006/relationships/ctrlProp" Target="../ctrlProps/ctrlProp687.xml"/><Relationship Id="rId75" Type="http://schemas.openxmlformats.org/officeDocument/2006/relationships/ctrlProp" Target="../ctrlProps/ctrlProp708.xml"/><Relationship Id="rId96" Type="http://schemas.openxmlformats.org/officeDocument/2006/relationships/ctrlProp" Target="../ctrlProps/ctrlProp729.xml"/><Relationship Id="rId140" Type="http://schemas.openxmlformats.org/officeDocument/2006/relationships/ctrlProp" Target="../ctrlProps/ctrlProp773.xml"/><Relationship Id="rId161" Type="http://schemas.openxmlformats.org/officeDocument/2006/relationships/ctrlProp" Target="../ctrlProps/ctrlProp794.xml"/><Relationship Id="rId182" Type="http://schemas.openxmlformats.org/officeDocument/2006/relationships/ctrlProp" Target="../ctrlProps/ctrlProp815.xml"/><Relationship Id="rId6" Type="http://schemas.openxmlformats.org/officeDocument/2006/relationships/ctrlProp" Target="../ctrlProps/ctrlProp639.xml"/><Relationship Id="rId23" Type="http://schemas.openxmlformats.org/officeDocument/2006/relationships/ctrlProp" Target="../ctrlProps/ctrlProp656.xml"/><Relationship Id="rId119" Type="http://schemas.openxmlformats.org/officeDocument/2006/relationships/ctrlProp" Target="../ctrlProps/ctrlProp752.xml"/><Relationship Id="rId44" Type="http://schemas.openxmlformats.org/officeDocument/2006/relationships/ctrlProp" Target="../ctrlProps/ctrlProp677.xml"/><Relationship Id="rId65" Type="http://schemas.openxmlformats.org/officeDocument/2006/relationships/ctrlProp" Target="../ctrlProps/ctrlProp698.xml"/><Relationship Id="rId86" Type="http://schemas.openxmlformats.org/officeDocument/2006/relationships/ctrlProp" Target="../ctrlProps/ctrlProp719.xml"/><Relationship Id="rId130" Type="http://schemas.openxmlformats.org/officeDocument/2006/relationships/ctrlProp" Target="../ctrlProps/ctrlProp763.xml"/><Relationship Id="rId151" Type="http://schemas.openxmlformats.org/officeDocument/2006/relationships/ctrlProp" Target="../ctrlProps/ctrlProp784.xml"/><Relationship Id="rId172" Type="http://schemas.openxmlformats.org/officeDocument/2006/relationships/ctrlProp" Target="../ctrlProps/ctrlProp805.xml"/><Relationship Id="rId193" Type="http://schemas.openxmlformats.org/officeDocument/2006/relationships/ctrlProp" Target="../ctrlProps/ctrlProp826.xml"/><Relationship Id="rId207" Type="http://schemas.openxmlformats.org/officeDocument/2006/relationships/ctrlProp" Target="../ctrlProps/ctrlProp840.xml"/><Relationship Id="rId13" Type="http://schemas.openxmlformats.org/officeDocument/2006/relationships/ctrlProp" Target="../ctrlProps/ctrlProp646.xml"/><Relationship Id="rId109" Type="http://schemas.openxmlformats.org/officeDocument/2006/relationships/ctrlProp" Target="../ctrlProps/ctrlProp742.xml"/><Relationship Id="rId34" Type="http://schemas.openxmlformats.org/officeDocument/2006/relationships/ctrlProp" Target="../ctrlProps/ctrlProp667.xml"/><Relationship Id="rId55" Type="http://schemas.openxmlformats.org/officeDocument/2006/relationships/ctrlProp" Target="../ctrlProps/ctrlProp688.xml"/><Relationship Id="rId76" Type="http://schemas.openxmlformats.org/officeDocument/2006/relationships/ctrlProp" Target="../ctrlProps/ctrlProp709.xml"/><Relationship Id="rId97" Type="http://schemas.openxmlformats.org/officeDocument/2006/relationships/ctrlProp" Target="../ctrlProps/ctrlProp730.xml"/><Relationship Id="rId120" Type="http://schemas.openxmlformats.org/officeDocument/2006/relationships/ctrlProp" Target="../ctrlProps/ctrlProp753.xml"/><Relationship Id="rId141" Type="http://schemas.openxmlformats.org/officeDocument/2006/relationships/ctrlProp" Target="../ctrlProps/ctrlProp774.xml"/><Relationship Id="rId7" Type="http://schemas.openxmlformats.org/officeDocument/2006/relationships/ctrlProp" Target="../ctrlProps/ctrlProp640.xml"/><Relationship Id="rId162" Type="http://schemas.openxmlformats.org/officeDocument/2006/relationships/ctrlProp" Target="../ctrlProps/ctrlProp795.xml"/><Relationship Id="rId183" Type="http://schemas.openxmlformats.org/officeDocument/2006/relationships/ctrlProp" Target="../ctrlProps/ctrlProp816.xml"/><Relationship Id="rId24" Type="http://schemas.openxmlformats.org/officeDocument/2006/relationships/ctrlProp" Target="../ctrlProps/ctrlProp657.xml"/><Relationship Id="rId45" Type="http://schemas.openxmlformats.org/officeDocument/2006/relationships/ctrlProp" Target="../ctrlProps/ctrlProp678.xml"/><Relationship Id="rId66" Type="http://schemas.openxmlformats.org/officeDocument/2006/relationships/ctrlProp" Target="../ctrlProps/ctrlProp699.xml"/><Relationship Id="rId87" Type="http://schemas.openxmlformats.org/officeDocument/2006/relationships/ctrlProp" Target="../ctrlProps/ctrlProp720.xml"/><Relationship Id="rId110" Type="http://schemas.openxmlformats.org/officeDocument/2006/relationships/ctrlProp" Target="../ctrlProps/ctrlProp743.xml"/><Relationship Id="rId131" Type="http://schemas.openxmlformats.org/officeDocument/2006/relationships/ctrlProp" Target="../ctrlProps/ctrlProp764.xml"/><Relationship Id="rId152" Type="http://schemas.openxmlformats.org/officeDocument/2006/relationships/ctrlProp" Target="../ctrlProps/ctrlProp785.xml"/><Relationship Id="rId173" Type="http://schemas.openxmlformats.org/officeDocument/2006/relationships/ctrlProp" Target="../ctrlProps/ctrlProp806.xml"/><Relationship Id="rId194" Type="http://schemas.openxmlformats.org/officeDocument/2006/relationships/ctrlProp" Target="../ctrlProps/ctrlProp827.xml"/><Relationship Id="rId208" Type="http://schemas.openxmlformats.org/officeDocument/2006/relationships/ctrlProp" Target="../ctrlProps/ctrlProp841.xml"/><Relationship Id="rId19" Type="http://schemas.openxmlformats.org/officeDocument/2006/relationships/ctrlProp" Target="../ctrlProps/ctrlProp652.xml"/><Relationship Id="rId14" Type="http://schemas.openxmlformats.org/officeDocument/2006/relationships/ctrlProp" Target="../ctrlProps/ctrlProp647.xml"/><Relationship Id="rId30" Type="http://schemas.openxmlformats.org/officeDocument/2006/relationships/ctrlProp" Target="../ctrlProps/ctrlProp663.xml"/><Relationship Id="rId35" Type="http://schemas.openxmlformats.org/officeDocument/2006/relationships/ctrlProp" Target="../ctrlProps/ctrlProp668.xml"/><Relationship Id="rId56" Type="http://schemas.openxmlformats.org/officeDocument/2006/relationships/ctrlProp" Target="../ctrlProps/ctrlProp689.xml"/><Relationship Id="rId77" Type="http://schemas.openxmlformats.org/officeDocument/2006/relationships/ctrlProp" Target="../ctrlProps/ctrlProp710.xml"/><Relationship Id="rId100" Type="http://schemas.openxmlformats.org/officeDocument/2006/relationships/ctrlProp" Target="../ctrlProps/ctrlProp733.xml"/><Relationship Id="rId105" Type="http://schemas.openxmlformats.org/officeDocument/2006/relationships/ctrlProp" Target="../ctrlProps/ctrlProp738.xml"/><Relationship Id="rId126" Type="http://schemas.openxmlformats.org/officeDocument/2006/relationships/ctrlProp" Target="../ctrlProps/ctrlProp759.xml"/><Relationship Id="rId147" Type="http://schemas.openxmlformats.org/officeDocument/2006/relationships/ctrlProp" Target="../ctrlProps/ctrlProp780.xml"/><Relationship Id="rId168" Type="http://schemas.openxmlformats.org/officeDocument/2006/relationships/ctrlProp" Target="../ctrlProps/ctrlProp801.xml"/><Relationship Id="rId8" Type="http://schemas.openxmlformats.org/officeDocument/2006/relationships/ctrlProp" Target="../ctrlProps/ctrlProp641.xml"/><Relationship Id="rId51" Type="http://schemas.openxmlformats.org/officeDocument/2006/relationships/ctrlProp" Target="../ctrlProps/ctrlProp684.xml"/><Relationship Id="rId72" Type="http://schemas.openxmlformats.org/officeDocument/2006/relationships/ctrlProp" Target="../ctrlProps/ctrlProp705.xml"/><Relationship Id="rId93" Type="http://schemas.openxmlformats.org/officeDocument/2006/relationships/ctrlProp" Target="../ctrlProps/ctrlProp726.xml"/><Relationship Id="rId98" Type="http://schemas.openxmlformats.org/officeDocument/2006/relationships/ctrlProp" Target="../ctrlProps/ctrlProp731.xml"/><Relationship Id="rId121" Type="http://schemas.openxmlformats.org/officeDocument/2006/relationships/ctrlProp" Target="../ctrlProps/ctrlProp754.xml"/><Relationship Id="rId142" Type="http://schemas.openxmlformats.org/officeDocument/2006/relationships/ctrlProp" Target="../ctrlProps/ctrlProp775.xml"/><Relationship Id="rId163" Type="http://schemas.openxmlformats.org/officeDocument/2006/relationships/ctrlProp" Target="../ctrlProps/ctrlProp796.xml"/><Relationship Id="rId184" Type="http://schemas.openxmlformats.org/officeDocument/2006/relationships/ctrlProp" Target="../ctrlProps/ctrlProp817.xml"/><Relationship Id="rId189" Type="http://schemas.openxmlformats.org/officeDocument/2006/relationships/ctrlProp" Target="../ctrlProps/ctrlProp822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47.xml"/><Relationship Id="rId25" Type="http://schemas.openxmlformats.org/officeDocument/2006/relationships/ctrlProp" Target="../ctrlProps/ctrlProp658.xml"/><Relationship Id="rId46" Type="http://schemas.openxmlformats.org/officeDocument/2006/relationships/ctrlProp" Target="../ctrlProps/ctrlProp679.xml"/><Relationship Id="rId67" Type="http://schemas.openxmlformats.org/officeDocument/2006/relationships/ctrlProp" Target="../ctrlProps/ctrlProp700.xml"/><Relationship Id="rId116" Type="http://schemas.openxmlformats.org/officeDocument/2006/relationships/ctrlProp" Target="../ctrlProps/ctrlProp749.xml"/><Relationship Id="rId137" Type="http://schemas.openxmlformats.org/officeDocument/2006/relationships/ctrlProp" Target="../ctrlProps/ctrlProp770.xml"/><Relationship Id="rId158" Type="http://schemas.openxmlformats.org/officeDocument/2006/relationships/ctrlProp" Target="../ctrlProps/ctrlProp791.xml"/><Relationship Id="rId20" Type="http://schemas.openxmlformats.org/officeDocument/2006/relationships/ctrlProp" Target="../ctrlProps/ctrlProp653.xml"/><Relationship Id="rId41" Type="http://schemas.openxmlformats.org/officeDocument/2006/relationships/ctrlProp" Target="../ctrlProps/ctrlProp674.xml"/><Relationship Id="rId62" Type="http://schemas.openxmlformats.org/officeDocument/2006/relationships/ctrlProp" Target="../ctrlProps/ctrlProp695.xml"/><Relationship Id="rId83" Type="http://schemas.openxmlformats.org/officeDocument/2006/relationships/ctrlProp" Target="../ctrlProps/ctrlProp716.xml"/><Relationship Id="rId88" Type="http://schemas.openxmlformats.org/officeDocument/2006/relationships/ctrlProp" Target="../ctrlProps/ctrlProp721.xml"/><Relationship Id="rId111" Type="http://schemas.openxmlformats.org/officeDocument/2006/relationships/ctrlProp" Target="../ctrlProps/ctrlProp744.xml"/><Relationship Id="rId132" Type="http://schemas.openxmlformats.org/officeDocument/2006/relationships/ctrlProp" Target="../ctrlProps/ctrlProp765.xml"/><Relationship Id="rId153" Type="http://schemas.openxmlformats.org/officeDocument/2006/relationships/ctrlProp" Target="../ctrlProps/ctrlProp786.xml"/><Relationship Id="rId174" Type="http://schemas.openxmlformats.org/officeDocument/2006/relationships/ctrlProp" Target="../ctrlProps/ctrlProp807.xml"/><Relationship Id="rId179" Type="http://schemas.openxmlformats.org/officeDocument/2006/relationships/ctrlProp" Target="../ctrlProps/ctrlProp812.xml"/><Relationship Id="rId195" Type="http://schemas.openxmlformats.org/officeDocument/2006/relationships/ctrlProp" Target="../ctrlProps/ctrlProp828.xml"/><Relationship Id="rId209" Type="http://schemas.openxmlformats.org/officeDocument/2006/relationships/ctrlProp" Target="../ctrlProps/ctrlProp842.xml"/><Relationship Id="rId190" Type="http://schemas.openxmlformats.org/officeDocument/2006/relationships/ctrlProp" Target="../ctrlProps/ctrlProp823.xml"/><Relationship Id="rId204" Type="http://schemas.openxmlformats.org/officeDocument/2006/relationships/ctrlProp" Target="../ctrlProps/ctrlProp837.xml"/><Relationship Id="rId15" Type="http://schemas.openxmlformats.org/officeDocument/2006/relationships/ctrlProp" Target="../ctrlProps/ctrlProp648.xml"/><Relationship Id="rId36" Type="http://schemas.openxmlformats.org/officeDocument/2006/relationships/ctrlProp" Target="../ctrlProps/ctrlProp669.xml"/><Relationship Id="rId57" Type="http://schemas.openxmlformats.org/officeDocument/2006/relationships/ctrlProp" Target="../ctrlProps/ctrlProp690.xml"/><Relationship Id="rId106" Type="http://schemas.openxmlformats.org/officeDocument/2006/relationships/ctrlProp" Target="../ctrlProps/ctrlProp739.xml"/><Relationship Id="rId127" Type="http://schemas.openxmlformats.org/officeDocument/2006/relationships/ctrlProp" Target="../ctrlProps/ctrlProp760.xml"/><Relationship Id="rId10" Type="http://schemas.openxmlformats.org/officeDocument/2006/relationships/ctrlProp" Target="../ctrlProps/ctrlProp643.xml"/><Relationship Id="rId31" Type="http://schemas.openxmlformats.org/officeDocument/2006/relationships/ctrlProp" Target="../ctrlProps/ctrlProp664.xml"/><Relationship Id="rId52" Type="http://schemas.openxmlformats.org/officeDocument/2006/relationships/ctrlProp" Target="../ctrlProps/ctrlProp685.xml"/><Relationship Id="rId73" Type="http://schemas.openxmlformats.org/officeDocument/2006/relationships/ctrlProp" Target="../ctrlProps/ctrlProp706.xml"/><Relationship Id="rId78" Type="http://schemas.openxmlformats.org/officeDocument/2006/relationships/ctrlProp" Target="../ctrlProps/ctrlProp711.xml"/><Relationship Id="rId94" Type="http://schemas.openxmlformats.org/officeDocument/2006/relationships/ctrlProp" Target="../ctrlProps/ctrlProp727.xml"/><Relationship Id="rId99" Type="http://schemas.openxmlformats.org/officeDocument/2006/relationships/ctrlProp" Target="../ctrlProps/ctrlProp732.xml"/><Relationship Id="rId101" Type="http://schemas.openxmlformats.org/officeDocument/2006/relationships/ctrlProp" Target="../ctrlProps/ctrlProp734.xml"/><Relationship Id="rId122" Type="http://schemas.openxmlformats.org/officeDocument/2006/relationships/ctrlProp" Target="../ctrlProps/ctrlProp755.xml"/><Relationship Id="rId143" Type="http://schemas.openxmlformats.org/officeDocument/2006/relationships/ctrlProp" Target="../ctrlProps/ctrlProp776.xml"/><Relationship Id="rId148" Type="http://schemas.openxmlformats.org/officeDocument/2006/relationships/ctrlProp" Target="../ctrlProps/ctrlProp781.xml"/><Relationship Id="rId164" Type="http://schemas.openxmlformats.org/officeDocument/2006/relationships/ctrlProp" Target="../ctrlProps/ctrlProp797.xml"/><Relationship Id="rId169" Type="http://schemas.openxmlformats.org/officeDocument/2006/relationships/ctrlProp" Target="../ctrlProps/ctrlProp802.xml"/><Relationship Id="rId185" Type="http://schemas.openxmlformats.org/officeDocument/2006/relationships/ctrlProp" Target="../ctrlProps/ctrlProp818.xml"/><Relationship Id="rId4" Type="http://schemas.openxmlformats.org/officeDocument/2006/relationships/ctrlProp" Target="../ctrlProps/ctrlProp637.xml"/><Relationship Id="rId9" Type="http://schemas.openxmlformats.org/officeDocument/2006/relationships/ctrlProp" Target="../ctrlProps/ctrlProp642.xml"/><Relationship Id="rId180" Type="http://schemas.openxmlformats.org/officeDocument/2006/relationships/ctrlProp" Target="../ctrlProps/ctrlProp813.xml"/><Relationship Id="rId210" Type="http://schemas.openxmlformats.org/officeDocument/2006/relationships/ctrlProp" Target="../ctrlProps/ctrlProp843.xml"/><Relationship Id="rId215" Type="http://schemas.openxmlformats.org/officeDocument/2006/relationships/ctrlProp" Target="../ctrlProps/ctrlProp848.xml"/><Relationship Id="rId26" Type="http://schemas.openxmlformats.org/officeDocument/2006/relationships/ctrlProp" Target="../ctrlProps/ctrlProp659.xml"/><Relationship Id="rId47" Type="http://schemas.openxmlformats.org/officeDocument/2006/relationships/ctrlProp" Target="../ctrlProps/ctrlProp680.xml"/><Relationship Id="rId68" Type="http://schemas.openxmlformats.org/officeDocument/2006/relationships/ctrlProp" Target="../ctrlProps/ctrlProp701.xml"/><Relationship Id="rId89" Type="http://schemas.openxmlformats.org/officeDocument/2006/relationships/ctrlProp" Target="../ctrlProps/ctrlProp722.xml"/><Relationship Id="rId112" Type="http://schemas.openxmlformats.org/officeDocument/2006/relationships/ctrlProp" Target="../ctrlProps/ctrlProp745.xml"/><Relationship Id="rId133" Type="http://schemas.openxmlformats.org/officeDocument/2006/relationships/ctrlProp" Target="../ctrlProps/ctrlProp766.xml"/><Relationship Id="rId154" Type="http://schemas.openxmlformats.org/officeDocument/2006/relationships/ctrlProp" Target="../ctrlProps/ctrlProp787.xml"/><Relationship Id="rId175" Type="http://schemas.openxmlformats.org/officeDocument/2006/relationships/ctrlProp" Target="../ctrlProps/ctrlProp808.xml"/><Relationship Id="rId196" Type="http://schemas.openxmlformats.org/officeDocument/2006/relationships/ctrlProp" Target="../ctrlProps/ctrlProp829.xml"/><Relationship Id="rId200" Type="http://schemas.openxmlformats.org/officeDocument/2006/relationships/ctrlProp" Target="../ctrlProps/ctrlProp833.xml"/><Relationship Id="rId16" Type="http://schemas.openxmlformats.org/officeDocument/2006/relationships/ctrlProp" Target="../ctrlProps/ctrlProp649.xml"/><Relationship Id="rId37" Type="http://schemas.openxmlformats.org/officeDocument/2006/relationships/ctrlProp" Target="../ctrlProps/ctrlProp670.xml"/><Relationship Id="rId58" Type="http://schemas.openxmlformats.org/officeDocument/2006/relationships/ctrlProp" Target="../ctrlProps/ctrlProp691.xml"/><Relationship Id="rId79" Type="http://schemas.openxmlformats.org/officeDocument/2006/relationships/ctrlProp" Target="../ctrlProps/ctrlProp712.xml"/><Relationship Id="rId102" Type="http://schemas.openxmlformats.org/officeDocument/2006/relationships/ctrlProp" Target="../ctrlProps/ctrlProp735.xml"/><Relationship Id="rId123" Type="http://schemas.openxmlformats.org/officeDocument/2006/relationships/ctrlProp" Target="../ctrlProps/ctrlProp756.xml"/><Relationship Id="rId144" Type="http://schemas.openxmlformats.org/officeDocument/2006/relationships/ctrlProp" Target="../ctrlProps/ctrlProp777.xml"/><Relationship Id="rId90" Type="http://schemas.openxmlformats.org/officeDocument/2006/relationships/ctrlProp" Target="../ctrlProps/ctrlProp723.xml"/><Relationship Id="rId165" Type="http://schemas.openxmlformats.org/officeDocument/2006/relationships/ctrlProp" Target="../ctrlProps/ctrlProp798.xml"/><Relationship Id="rId186" Type="http://schemas.openxmlformats.org/officeDocument/2006/relationships/ctrlProp" Target="../ctrlProps/ctrlProp819.xml"/><Relationship Id="rId211" Type="http://schemas.openxmlformats.org/officeDocument/2006/relationships/ctrlProp" Target="../ctrlProps/ctrlProp844.xml"/><Relationship Id="rId27" Type="http://schemas.openxmlformats.org/officeDocument/2006/relationships/ctrlProp" Target="../ctrlProps/ctrlProp660.xml"/><Relationship Id="rId48" Type="http://schemas.openxmlformats.org/officeDocument/2006/relationships/ctrlProp" Target="../ctrlProps/ctrlProp681.xml"/><Relationship Id="rId69" Type="http://schemas.openxmlformats.org/officeDocument/2006/relationships/ctrlProp" Target="../ctrlProps/ctrlProp702.xml"/><Relationship Id="rId113" Type="http://schemas.openxmlformats.org/officeDocument/2006/relationships/ctrlProp" Target="../ctrlProps/ctrlProp746.xml"/><Relationship Id="rId134" Type="http://schemas.openxmlformats.org/officeDocument/2006/relationships/ctrlProp" Target="../ctrlProps/ctrlProp767.xml"/><Relationship Id="rId80" Type="http://schemas.openxmlformats.org/officeDocument/2006/relationships/ctrlProp" Target="../ctrlProps/ctrlProp713.xml"/><Relationship Id="rId155" Type="http://schemas.openxmlformats.org/officeDocument/2006/relationships/ctrlProp" Target="../ctrlProps/ctrlProp788.xml"/><Relationship Id="rId176" Type="http://schemas.openxmlformats.org/officeDocument/2006/relationships/ctrlProp" Target="../ctrlProps/ctrlProp809.xml"/><Relationship Id="rId197" Type="http://schemas.openxmlformats.org/officeDocument/2006/relationships/ctrlProp" Target="../ctrlProps/ctrlProp830.xml"/><Relationship Id="rId201" Type="http://schemas.openxmlformats.org/officeDocument/2006/relationships/ctrlProp" Target="../ctrlProps/ctrlProp834.xml"/><Relationship Id="rId17" Type="http://schemas.openxmlformats.org/officeDocument/2006/relationships/ctrlProp" Target="../ctrlProps/ctrlProp650.xml"/><Relationship Id="rId38" Type="http://schemas.openxmlformats.org/officeDocument/2006/relationships/ctrlProp" Target="../ctrlProps/ctrlProp671.xml"/><Relationship Id="rId59" Type="http://schemas.openxmlformats.org/officeDocument/2006/relationships/ctrlProp" Target="../ctrlProps/ctrlProp692.xml"/><Relationship Id="rId103" Type="http://schemas.openxmlformats.org/officeDocument/2006/relationships/ctrlProp" Target="../ctrlProps/ctrlProp736.xml"/><Relationship Id="rId124" Type="http://schemas.openxmlformats.org/officeDocument/2006/relationships/ctrlProp" Target="../ctrlProps/ctrlProp757.xml"/><Relationship Id="rId70" Type="http://schemas.openxmlformats.org/officeDocument/2006/relationships/ctrlProp" Target="../ctrlProps/ctrlProp703.xml"/><Relationship Id="rId91" Type="http://schemas.openxmlformats.org/officeDocument/2006/relationships/ctrlProp" Target="../ctrlProps/ctrlProp724.xml"/><Relationship Id="rId145" Type="http://schemas.openxmlformats.org/officeDocument/2006/relationships/ctrlProp" Target="../ctrlProps/ctrlProp778.xml"/><Relationship Id="rId166" Type="http://schemas.openxmlformats.org/officeDocument/2006/relationships/ctrlProp" Target="../ctrlProps/ctrlProp799.xml"/><Relationship Id="rId187" Type="http://schemas.openxmlformats.org/officeDocument/2006/relationships/ctrlProp" Target="../ctrlProps/ctrlProp820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45.xml"/><Relationship Id="rId28" Type="http://schemas.openxmlformats.org/officeDocument/2006/relationships/ctrlProp" Target="../ctrlProps/ctrlProp661.xml"/><Relationship Id="rId49" Type="http://schemas.openxmlformats.org/officeDocument/2006/relationships/ctrlProp" Target="../ctrlProps/ctrlProp682.xml"/><Relationship Id="rId114" Type="http://schemas.openxmlformats.org/officeDocument/2006/relationships/ctrlProp" Target="../ctrlProps/ctrlProp747.xml"/><Relationship Id="rId60" Type="http://schemas.openxmlformats.org/officeDocument/2006/relationships/ctrlProp" Target="../ctrlProps/ctrlProp693.xml"/><Relationship Id="rId81" Type="http://schemas.openxmlformats.org/officeDocument/2006/relationships/ctrlProp" Target="../ctrlProps/ctrlProp714.xml"/><Relationship Id="rId135" Type="http://schemas.openxmlformats.org/officeDocument/2006/relationships/ctrlProp" Target="../ctrlProps/ctrlProp768.xml"/><Relationship Id="rId156" Type="http://schemas.openxmlformats.org/officeDocument/2006/relationships/ctrlProp" Target="../ctrlProps/ctrlProp789.xml"/><Relationship Id="rId177" Type="http://schemas.openxmlformats.org/officeDocument/2006/relationships/ctrlProp" Target="../ctrlProps/ctrlProp810.xml"/><Relationship Id="rId198" Type="http://schemas.openxmlformats.org/officeDocument/2006/relationships/ctrlProp" Target="../ctrlProps/ctrlProp831.xml"/><Relationship Id="rId202" Type="http://schemas.openxmlformats.org/officeDocument/2006/relationships/ctrlProp" Target="../ctrlProps/ctrlProp835.xml"/><Relationship Id="rId18" Type="http://schemas.openxmlformats.org/officeDocument/2006/relationships/ctrlProp" Target="../ctrlProps/ctrlProp651.xml"/><Relationship Id="rId39" Type="http://schemas.openxmlformats.org/officeDocument/2006/relationships/ctrlProp" Target="../ctrlProps/ctrlProp672.xml"/><Relationship Id="rId50" Type="http://schemas.openxmlformats.org/officeDocument/2006/relationships/ctrlProp" Target="../ctrlProps/ctrlProp683.xml"/><Relationship Id="rId104" Type="http://schemas.openxmlformats.org/officeDocument/2006/relationships/ctrlProp" Target="../ctrlProps/ctrlProp737.xml"/><Relationship Id="rId125" Type="http://schemas.openxmlformats.org/officeDocument/2006/relationships/ctrlProp" Target="../ctrlProps/ctrlProp758.xml"/><Relationship Id="rId146" Type="http://schemas.openxmlformats.org/officeDocument/2006/relationships/ctrlProp" Target="../ctrlProps/ctrlProp779.xml"/><Relationship Id="rId167" Type="http://schemas.openxmlformats.org/officeDocument/2006/relationships/ctrlProp" Target="../ctrlProps/ctrlProp800.xml"/><Relationship Id="rId188" Type="http://schemas.openxmlformats.org/officeDocument/2006/relationships/ctrlProp" Target="../ctrlProps/ctrlProp821.xml"/><Relationship Id="rId71" Type="http://schemas.openxmlformats.org/officeDocument/2006/relationships/ctrlProp" Target="../ctrlProps/ctrlProp704.xml"/><Relationship Id="rId92" Type="http://schemas.openxmlformats.org/officeDocument/2006/relationships/ctrlProp" Target="../ctrlProps/ctrlProp725.xml"/><Relationship Id="rId213" Type="http://schemas.openxmlformats.org/officeDocument/2006/relationships/ctrlProp" Target="../ctrlProps/ctrlProp846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62.xml"/><Relationship Id="rId40" Type="http://schemas.openxmlformats.org/officeDocument/2006/relationships/ctrlProp" Target="../ctrlProps/ctrlProp673.xml"/><Relationship Id="rId115" Type="http://schemas.openxmlformats.org/officeDocument/2006/relationships/ctrlProp" Target="../ctrlProps/ctrlProp748.xml"/><Relationship Id="rId136" Type="http://schemas.openxmlformats.org/officeDocument/2006/relationships/ctrlProp" Target="../ctrlProps/ctrlProp769.xml"/><Relationship Id="rId157" Type="http://schemas.openxmlformats.org/officeDocument/2006/relationships/ctrlProp" Target="../ctrlProps/ctrlProp790.xml"/><Relationship Id="rId178" Type="http://schemas.openxmlformats.org/officeDocument/2006/relationships/ctrlProp" Target="../ctrlProps/ctrlProp811.xml"/><Relationship Id="rId61" Type="http://schemas.openxmlformats.org/officeDocument/2006/relationships/ctrlProp" Target="../ctrlProps/ctrlProp694.xml"/><Relationship Id="rId82" Type="http://schemas.openxmlformats.org/officeDocument/2006/relationships/ctrlProp" Target="../ctrlProps/ctrlProp715.xml"/><Relationship Id="rId199" Type="http://schemas.openxmlformats.org/officeDocument/2006/relationships/ctrlProp" Target="../ctrlProps/ctrlProp832.xml"/><Relationship Id="rId203" Type="http://schemas.openxmlformats.org/officeDocument/2006/relationships/ctrlProp" Target="../ctrlProps/ctrlProp8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AC42"/>
  <sheetViews>
    <sheetView showGridLines="0" view="pageBreakPreview" topLeftCell="A9" zoomScaleNormal="100" zoomScaleSheetLayoutView="110" workbookViewId="0">
      <selection activeCell="J18" sqref="J18:N2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8"/>
      <c r="B1" s="36"/>
      <c r="I1" s="39" t="s">
        <v>33</v>
      </c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3"/>
    </row>
    <row r="2" spans="1:29" ht="37.5" customHeight="1" x14ac:dyDescent="0.2">
      <c r="A2" s="38"/>
      <c r="B2" s="36"/>
      <c r="I2" s="41" t="s">
        <v>32</v>
      </c>
      <c r="J2" s="42"/>
      <c r="K2" s="42"/>
      <c r="L2" s="42"/>
      <c r="M2" s="42"/>
      <c r="N2" s="42"/>
      <c r="O2" s="4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3" t="s">
        <v>1</v>
      </c>
      <c r="B4" s="43"/>
      <c r="C4" s="43"/>
      <c r="D4" s="43"/>
      <c r="E4" s="43"/>
      <c r="F4" s="44"/>
      <c r="G4" s="45"/>
      <c r="H4" s="45"/>
      <c r="I4" s="45"/>
      <c r="J4" s="45"/>
      <c r="K4" s="45"/>
      <c r="L4" s="45"/>
      <c r="M4" s="45"/>
      <c r="N4" s="46" t="s">
        <v>11</v>
      </c>
      <c r="O4" s="46"/>
      <c r="P4" s="46"/>
      <c r="Q4" s="46"/>
      <c r="R4" s="46"/>
      <c r="S4" s="46"/>
      <c r="T4" s="46"/>
      <c r="U4" s="47" t="s">
        <v>66</v>
      </c>
      <c r="V4" s="48"/>
      <c r="W4" s="48"/>
      <c r="X4" s="48"/>
      <c r="Y4" s="48"/>
      <c r="Z4" s="48"/>
      <c r="AA4" s="48"/>
      <c r="AB4" s="49"/>
      <c r="AC4" s="3"/>
    </row>
    <row r="5" spans="1:29" ht="24" customHeight="1" x14ac:dyDescent="0.2">
      <c r="A5" s="43" t="s">
        <v>5</v>
      </c>
      <c r="B5" s="43"/>
      <c r="C5" s="43"/>
      <c r="D5" s="43"/>
      <c r="E5" s="43"/>
      <c r="F5" s="44"/>
      <c r="G5" s="50" t="s">
        <v>61</v>
      </c>
      <c r="H5" s="50"/>
      <c r="I5" s="50"/>
      <c r="J5" s="50"/>
      <c r="K5" s="50"/>
      <c r="L5" s="50"/>
      <c r="M5" s="50"/>
      <c r="N5" s="43" t="s">
        <v>9</v>
      </c>
      <c r="O5" s="43"/>
      <c r="P5" s="43"/>
      <c r="Q5" s="43"/>
      <c r="R5" s="43"/>
      <c r="S5" s="43"/>
      <c r="T5" s="43"/>
      <c r="U5" s="57">
        <v>44417</v>
      </c>
      <c r="V5" s="57"/>
      <c r="W5" s="57"/>
      <c r="X5" s="25" t="s">
        <v>30</v>
      </c>
      <c r="Y5" s="58">
        <v>0.44791666666666669</v>
      </c>
      <c r="Z5" s="59"/>
      <c r="AA5" s="59"/>
      <c r="AB5" s="59"/>
    </row>
    <row r="6" spans="1:29" ht="24" customHeight="1" x14ac:dyDescent="0.2">
      <c r="A6" s="53" t="s">
        <v>7</v>
      </c>
      <c r="B6" s="53"/>
      <c r="C6" s="53"/>
      <c r="D6" s="53"/>
      <c r="E6" s="53"/>
      <c r="F6" s="54"/>
      <c r="G6" s="50" t="s">
        <v>62</v>
      </c>
      <c r="H6" s="50"/>
      <c r="I6" s="50"/>
      <c r="J6" s="50"/>
      <c r="K6" s="50"/>
      <c r="L6" s="50"/>
      <c r="M6" s="50"/>
      <c r="N6" s="60" t="s">
        <v>0</v>
      </c>
      <c r="O6" s="60"/>
      <c r="P6" s="60"/>
      <c r="Q6" s="60"/>
      <c r="R6" s="60"/>
      <c r="S6" s="60"/>
      <c r="T6" s="60"/>
      <c r="U6" s="57">
        <v>44417</v>
      </c>
      <c r="V6" s="57"/>
      <c r="W6" s="57"/>
      <c r="X6" s="25" t="s">
        <v>30</v>
      </c>
      <c r="Y6" s="58">
        <v>0.47916666666666669</v>
      </c>
      <c r="Z6" s="59"/>
      <c r="AA6" s="59"/>
      <c r="AB6" s="59"/>
    </row>
    <row r="7" spans="1:29" ht="24" customHeight="1" x14ac:dyDescent="0.2">
      <c r="A7" s="43" t="s">
        <v>10</v>
      </c>
      <c r="B7" s="43"/>
      <c r="C7" s="43"/>
      <c r="D7" s="43"/>
      <c r="E7" s="43"/>
      <c r="F7" s="44"/>
      <c r="G7" s="50" t="s">
        <v>63</v>
      </c>
      <c r="H7" s="50"/>
      <c r="I7" s="50"/>
      <c r="J7" s="50"/>
      <c r="K7" s="50"/>
      <c r="L7" s="50"/>
      <c r="M7" s="50"/>
      <c r="N7" s="51" t="s">
        <v>35</v>
      </c>
      <c r="O7" s="51"/>
      <c r="P7" s="51"/>
      <c r="Q7" s="51"/>
      <c r="R7" s="51"/>
      <c r="S7" s="51"/>
      <c r="T7" s="51"/>
      <c r="U7" s="52" t="s">
        <v>67</v>
      </c>
      <c r="V7" s="52"/>
      <c r="W7" s="52"/>
      <c r="X7" s="52"/>
      <c r="Y7" s="52"/>
      <c r="Z7" s="52"/>
      <c r="AA7" s="52"/>
      <c r="AB7" s="52"/>
    </row>
    <row r="8" spans="1:29" ht="24" customHeight="1" x14ac:dyDescent="0.2">
      <c r="A8" s="53" t="s">
        <v>2</v>
      </c>
      <c r="B8" s="53"/>
      <c r="C8" s="53"/>
      <c r="D8" s="53"/>
      <c r="E8" s="53"/>
      <c r="F8" s="54"/>
      <c r="G8" s="55">
        <v>514059</v>
      </c>
      <c r="H8" s="55"/>
      <c r="I8" s="55"/>
      <c r="J8" s="55"/>
      <c r="K8" s="55"/>
      <c r="L8" s="55"/>
      <c r="M8" s="55"/>
      <c r="N8" s="51" t="s">
        <v>4</v>
      </c>
      <c r="O8" s="51"/>
      <c r="P8" s="51"/>
      <c r="Q8" s="51"/>
      <c r="R8" s="51"/>
      <c r="S8" s="51"/>
      <c r="T8" s="51"/>
      <c r="U8" s="56" t="s">
        <v>68</v>
      </c>
      <c r="V8" s="56"/>
      <c r="W8" s="56"/>
      <c r="X8" s="56"/>
      <c r="Y8" s="56"/>
      <c r="Z8" s="56"/>
      <c r="AA8" s="56"/>
      <c r="AB8" s="56"/>
    </row>
    <row r="9" spans="1:29" ht="24" customHeight="1" x14ac:dyDescent="0.2">
      <c r="A9" s="53" t="s">
        <v>6</v>
      </c>
      <c r="B9" s="53"/>
      <c r="C9" s="53"/>
      <c r="D9" s="53"/>
      <c r="E9" s="53"/>
      <c r="F9" s="54"/>
      <c r="G9" s="61" t="s">
        <v>75</v>
      </c>
      <c r="H9" s="61"/>
      <c r="I9" s="61"/>
      <c r="J9" s="61"/>
      <c r="K9" s="61"/>
      <c r="L9" s="61"/>
      <c r="M9" s="61"/>
      <c r="N9" s="51" t="s">
        <v>31</v>
      </c>
      <c r="O9" s="51"/>
      <c r="P9" s="51"/>
      <c r="Q9" s="51"/>
      <c r="R9" s="51"/>
      <c r="S9" s="51"/>
      <c r="T9" s="51"/>
      <c r="U9" s="52" t="s">
        <v>78</v>
      </c>
      <c r="V9" s="52"/>
      <c r="W9" s="52"/>
      <c r="X9" s="52"/>
      <c r="Y9" s="52"/>
      <c r="Z9" s="52"/>
      <c r="AA9" s="52"/>
      <c r="AB9" s="52"/>
    </row>
    <row r="10" spans="1:29" ht="6" customHeight="1" x14ac:dyDescent="0.2">
      <c r="U10" s="8"/>
      <c r="V10" s="8"/>
      <c r="W10" s="8"/>
    </row>
    <row r="11" spans="1:29" ht="23.25" customHeight="1" x14ac:dyDescent="0.2">
      <c r="A11" s="62" t="s">
        <v>8</v>
      </c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19"/>
      <c r="N11" s="51" t="s">
        <v>12</v>
      </c>
      <c r="O11" s="51"/>
      <c r="P11" s="51"/>
      <c r="Q11" s="51"/>
      <c r="R11" s="51"/>
      <c r="S11" s="50"/>
      <c r="T11" s="50"/>
      <c r="U11" s="51" t="s">
        <v>13</v>
      </c>
      <c r="V11" s="51"/>
      <c r="W11" s="51"/>
      <c r="X11" s="51"/>
      <c r="Y11" s="51"/>
      <c r="Z11" s="51"/>
      <c r="AA11" s="47"/>
      <c r="AB11" s="49"/>
    </row>
    <row r="12" spans="1:29" ht="6" customHeight="1" x14ac:dyDescent="0.2"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</row>
    <row r="13" spans="1:29" ht="36" customHeight="1" x14ac:dyDescent="0.2">
      <c r="A13" s="70" t="s">
        <v>60</v>
      </c>
      <c r="B13" s="64"/>
      <c r="C13" s="64"/>
      <c r="D13" s="64"/>
      <c r="E13" s="64"/>
      <c r="F13" s="37" t="s">
        <v>37</v>
      </c>
      <c r="G13" s="63" t="s">
        <v>14</v>
      </c>
      <c r="H13" s="63"/>
      <c r="I13" s="63"/>
      <c r="J13" s="71" t="s">
        <v>72</v>
      </c>
      <c r="K13" s="72"/>
      <c r="L13" s="63" t="s">
        <v>15</v>
      </c>
      <c r="M13" s="63"/>
      <c r="N13" s="63"/>
      <c r="O13" s="47">
        <v>0</v>
      </c>
      <c r="P13" s="48"/>
      <c r="Q13" s="49"/>
      <c r="R13" s="63" t="s">
        <v>16</v>
      </c>
      <c r="S13" s="63"/>
      <c r="T13" s="63"/>
      <c r="U13" s="50">
        <v>1</v>
      </c>
      <c r="V13" s="50"/>
      <c r="W13" s="63" t="s">
        <v>17</v>
      </c>
      <c r="X13" s="63"/>
      <c r="Y13" s="63"/>
      <c r="Z13" s="63"/>
      <c r="AA13" s="50">
        <v>2</v>
      </c>
      <c r="AB13" s="50"/>
    </row>
    <row r="14" spans="1:29" ht="27" customHeight="1" x14ac:dyDescent="0.2">
      <c r="A14" s="64" t="s">
        <v>3</v>
      </c>
      <c r="B14" s="64"/>
      <c r="C14" s="64"/>
      <c r="D14" s="64"/>
      <c r="E14" s="64"/>
      <c r="F14" s="37"/>
      <c r="G14" s="63" t="s">
        <v>18</v>
      </c>
      <c r="H14" s="63"/>
      <c r="I14" s="63"/>
      <c r="J14" s="63"/>
      <c r="K14" s="63"/>
      <c r="L14" s="63"/>
      <c r="M14" s="65"/>
      <c r="N14" s="66"/>
      <c r="O14" s="66"/>
      <c r="P14" s="66"/>
      <c r="Q14" s="67"/>
      <c r="R14" s="63" t="s">
        <v>19</v>
      </c>
      <c r="S14" s="63"/>
      <c r="T14" s="63"/>
      <c r="U14" s="63"/>
      <c r="V14" s="63"/>
      <c r="W14" s="68"/>
      <c r="X14" s="68"/>
      <c r="Y14" s="68"/>
      <c r="Z14" s="68"/>
      <c r="AA14" s="68"/>
      <c r="AB14" s="68"/>
    </row>
    <row r="15" spans="1:29" ht="3" customHeight="1" x14ac:dyDescent="0.2">
      <c r="A15" s="21"/>
      <c r="B15" s="21"/>
      <c r="C15" s="21"/>
      <c r="D15" s="21"/>
      <c r="E15" s="21"/>
      <c r="F15" s="22"/>
      <c r="G15" s="23"/>
      <c r="H15" s="23"/>
      <c r="I15" s="23"/>
      <c r="J15" s="23"/>
      <c r="K15" s="23"/>
      <c r="L15" s="23"/>
      <c r="M15" s="12"/>
      <c r="N15" s="12"/>
      <c r="O15" s="12"/>
      <c r="P15" s="12"/>
      <c r="Q15" s="12"/>
      <c r="R15" s="24"/>
      <c r="S15" s="24"/>
      <c r="T15" s="24"/>
      <c r="U15" s="24"/>
      <c r="V15" s="24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7" t="s">
        <v>20</v>
      </c>
      <c r="B17" s="78"/>
      <c r="C17" s="78"/>
      <c r="D17" s="78"/>
      <c r="E17" s="78"/>
      <c r="F17" s="79"/>
      <c r="G17" s="73" t="s">
        <v>21</v>
      </c>
      <c r="H17" s="73"/>
      <c r="I17" s="73"/>
      <c r="J17" s="73" t="s">
        <v>23</v>
      </c>
      <c r="K17" s="73"/>
      <c r="L17" s="73"/>
      <c r="M17" s="73" t="s">
        <v>24</v>
      </c>
      <c r="N17" s="73"/>
      <c r="O17" s="73"/>
      <c r="P17" s="73" t="s">
        <v>22</v>
      </c>
      <c r="Q17" s="73"/>
      <c r="R17" s="73"/>
      <c r="S17" s="73"/>
      <c r="T17" s="73" t="s">
        <v>25</v>
      </c>
      <c r="U17" s="73"/>
      <c r="V17" s="73"/>
      <c r="W17" s="73" t="s">
        <v>26</v>
      </c>
      <c r="X17" s="73"/>
      <c r="Y17" s="73"/>
      <c r="Z17" s="73" t="s">
        <v>27</v>
      </c>
      <c r="AA17" s="73"/>
      <c r="AB17" s="73"/>
    </row>
    <row r="18" spans="1:28" ht="15" customHeight="1" x14ac:dyDescent="0.2">
      <c r="A18" s="74"/>
      <c r="B18" s="74"/>
      <c r="C18" s="74"/>
      <c r="D18" s="74"/>
      <c r="E18" s="74"/>
      <c r="F18" s="74"/>
      <c r="G18" s="16"/>
      <c r="H18" s="16"/>
      <c r="I18" s="16"/>
      <c r="J18" s="75" t="s">
        <v>80</v>
      </c>
      <c r="K18" s="75"/>
      <c r="L18" s="75"/>
      <c r="M18" s="16"/>
      <c r="N18" s="16">
        <v>2</v>
      </c>
      <c r="O18" s="16"/>
      <c r="P18" s="76"/>
      <c r="Q18" s="76"/>
      <c r="R18" s="76"/>
      <c r="S18" s="76"/>
      <c r="T18" s="17"/>
      <c r="U18" s="16">
        <v>0</v>
      </c>
      <c r="V18" s="17"/>
      <c r="W18" s="76"/>
      <c r="X18" s="76"/>
      <c r="Y18" s="76"/>
      <c r="Z18" s="17"/>
      <c r="AA18" s="16">
        <v>0</v>
      </c>
      <c r="AB18" s="17"/>
    </row>
    <row r="19" spans="1:28" ht="15" customHeight="1" x14ac:dyDescent="0.2">
      <c r="A19" s="74" t="s">
        <v>79</v>
      </c>
      <c r="B19" s="74"/>
      <c r="C19" s="74"/>
      <c r="D19" s="74"/>
      <c r="E19" s="74"/>
      <c r="F19" s="74"/>
      <c r="G19" s="16"/>
      <c r="H19" s="16">
        <v>3</v>
      </c>
      <c r="I19" s="16"/>
      <c r="J19" s="75"/>
      <c r="K19" s="75"/>
      <c r="L19" s="75"/>
      <c r="M19" s="16"/>
      <c r="N19" s="16"/>
      <c r="O19" s="16"/>
      <c r="P19" s="76"/>
      <c r="Q19" s="76"/>
      <c r="R19" s="76"/>
      <c r="S19" s="76"/>
      <c r="T19" s="17"/>
      <c r="U19" s="16">
        <v>0</v>
      </c>
      <c r="V19" s="17"/>
      <c r="W19" s="76"/>
      <c r="X19" s="76"/>
      <c r="Y19" s="76"/>
      <c r="Z19" s="17"/>
      <c r="AA19" s="16">
        <v>0</v>
      </c>
      <c r="AB19" s="17"/>
    </row>
    <row r="20" spans="1:28" ht="15" customHeight="1" x14ac:dyDescent="0.2">
      <c r="A20" s="74"/>
      <c r="B20" s="74"/>
      <c r="C20" s="74"/>
      <c r="D20" s="74"/>
      <c r="E20" s="74"/>
      <c r="F20" s="74"/>
      <c r="G20" s="16"/>
      <c r="H20" s="16"/>
      <c r="I20" s="16"/>
      <c r="J20" s="75" t="s">
        <v>91</v>
      </c>
      <c r="K20" s="75"/>
      <c r="L20" s="75"/>
      <c r="M20" s="16"/>
      <c r="N20" s="16">
        <v>4</v>
      </c>
      <c r="O20" s="16"/>
      <c r="P20" s="76"/>
      <c r="Q20" s="76"/>
      <c r="R20" s="76"/>
      <c r="S20" s="76"/>
      <c r="T20" s="17"/>
      <c r="U20" s="16">
        <v>0</v>
      </c>
      <c r="V20" s="17"/>
      <c r="W20" s="76"/>
      <c r="X20" s="76"/>
      <c r="Y20" s="76"/>
      <c r="Z20" s="18"/>
      <c r="AA20" s="16">
        <v>0</v>
      </c>
      <c r="AB20" s="17"/>
    </row>
    <row r="21" spans="1:28" ht="15" customHeight="1" x14ac:dyDescent="0.2">
      <c r="A21" s="74"/>
      <c r="B21" s="74"/>
      <c r="C21" s="74"/>
      <c r="D21" s="74"/>
      <c r="E21" s="74"/>
      <c r="F21" s="74"/>
      <c r="G21" s="16"/>
      <c r="H21" s="16"/>
      <c r="I21" s="16"/>
      <c r="J21" s="75" t="s">
        <v>92</v>
      </c>
      <c r="K21" s="75"/>
      <c r="L21" s="75"/>
      <c r="M21" s="16"/>
      <c r="N21" s="16">
        <v>2</v>
      </c>
      <c r="O21" s="16"/>
      <c r="P21" s="76"/>
      <c r="Q21" s="76"/>
      <c r="R21" s="76"/>
      <c r="S21" s="76"/>
      <c r="T21" s="17"/>
      <c r="U21" s="16">
        <v>0</v>
      </c>
      <c r="V21" s="17"/>
      <c r="W21" s="80"/>
      <c r="X21" s="80"/>
      <c r="Y21" s="80"/>
      <c r="Z21" s="17"/>
      <c r="AA21" s="16">
        <v>0</v>
      </c>
      <c r="AB21" s="17"/>
    </row>
    <row r="22" spans="1:28" ht="15" customHeight="1" x14ac:dyDescent="0.2">
      <c r="A22" s="74" t="s">
        <v>70</v>
      </c>
      <c r="B22" s="74"/>
      <c r="C22" s="74"/>
      <c r="D22" s="74"/>
      <c r="E22" s="74"/>
      <c r="F22" s="74"/>
      <c r="G22" s="16"/>
      <c r="H22" s="16">
        <v>58</v>
      </c>
      <c r="I22" s="16"/>
      <c r="J22" s="75" t="s">
        <v>93</v>
      </c>
      <c r="K22" s="75"/>
      <c r="L22" s="75"/>
      <c r="M22" s="16"/>
      <c r="N22" s="16">
        <v>2</v>
      </c>
      <c r="O22" s="16"/>
      <c r="P22" s="76"/>
      <c r="Q22" s="76"/>
      <c r="R22" s="76"/>
      <c r="S22" s="76"/>
      <c r="T22" s="17"/>
      <c r="U22" s="16">
        <v>0</v>
      </c>
      <c r="V22" s="17"/>
      <c r="W22" s="80"/>
      <c r="X22" s="80"/>
      <c r="Y22" s="80"/>
      <c r="Z22" s="17"/>
      <c r="AA22" s="16">
        <v>0</v>
      </c>
      <c r="AB22" s="17"/>
    </row>
    <row r="23" spans="1:28" ht="15" customHeight="1" x14ac:dyDescent="0.2">
      <c r="A23" s="74"/>
      <c r="B23" s="74"/>
      <c r="C23" s="74"/>
      <c r="D23" s="74"/>
      <c r="E23" s="74"/>
      <c r="F23" s="74"/>
      <c r="G23" s="16"/>
      <c r="H23" s="16"/>
      <c r="I23" s="16"/>
      <c r="J23" s="75" t="s">
        <v>94</v>
      </c>
      <c r="K23" s="75"/>
      <c r="L23" s="75"/>
      <c r="M23" s="16"/>
      <c r="N23" s="16">
        <v>4</v>
      </c>
      <c r="O23" s="16"/>
      <c r="P23" s="76"/>
      <c r="Q23" s="76"/>
      <c r="R23" s="76"/>
      <c r="S23" s="76"/>
      <c r="T23" s="17"/>
      <c r="U23" s="16">
        <v>0</v>
      </c>
      <c r="V23" s="17"/>
      <c r="W23" s="80"/>
      <c r="X23" s="80"/>
      <c r="Y23" s="80"/>
      <c r="Z23" s="17"/>
      <c r="AA23" s="16">
        <v>0</v>
      </c>
      <c r="AB23" s="17"/>
    </row>
    <row r="24" spans="1:28" ht="15" customHeight="1" x14ac:dyDescent="0.2">
      <c r="A24" s="74" t="s">
        <v>81</v>
      </c>
      <c r="B24" s="74"/>
      <c r="C24" s="74"/>
      <c r="D24" s="74"/>
      <c r="E24" s="74"/>
      <c r="F24" s="74"/>
      <c r="G24" s="16"/>
      <c r="H24" s="16">
        <v>2</v>
      </c>
      <c r="I24" s="16"/>
      <c r="J24" s="75"/>
      <c r="K24" s="75"/>
      <c r="L24" s="75"/>
      <c r="M24" s="16"/>
      <c r="N24" s="16"/>
      <c r="O24" s="16"/>
      <c r="P24" s="76"/>
      <c r="Q24" s="76"/>
      <c r="R24" s="76"/>
      <c r="S24" s="76"/>
      <c r="T24" s="17"/>
      <c r="U24" s="16">
        <v>0</v>
      </c>
      <c r="V24" s="17"/>
      <c r="W24" s="80"/>
      <c r="X24" s="80"/>
      <c r="Y24" s="80"/>
      <c r="Z24" s="17"/>
      <c r="AA24" s="16">
        <v>0</v>
      </c>
      <c r="AB24" s="17"/>
    </row>
    <row r="25" spans="1:28" ht="15" customHeight="1" x14ac:dyDescent="0.2">
      <c r="A25" s="74" t="s">
        <v>82</v>
      </c>
      <c r="B25" s="74"/>
      <c r="C25" s="74"/>
      <c r="D25" s="74"/>
      <c r="E25" s="74"/>
      <c r="F25" s="74"/>
      <c r="G25" s="16"/>
      <c r="H25" s="16">
        <v>1</v>
      </c>
      <c r="I25" s="16"/>
      <c r="J25" s="75"/>
      <c r="K25" s="75"/>
      <c r="L25" s="75"/>
      <c r="M25" s="16"/>
      <c r="N25" s="16"/>
      <c r="O25" s="16"/>
      <c r="P25" s="76"/>
      <c r="Q25" s="76"/>
      <c r="R25" s="76"/>
      <c r="S25" s="76"/>
      <c r="T25" s="17"/>
      <c r="U25" s="16">
        <v>0</v>
      </c>
      <c r="V25" s="17"/>
      <c r="W25" s="80"/>
      <c r="X25" s="80"/>
      <c r="Y25" s="80"/>
      <c r="Z25" s="17"/>
      <c r="AA25" s="16">
        <v>0</v>
      </c>
      <c r="AB25" s="17"/>
    </row>
    <row r="26" spans="1:28" ht="15" customHeight="1" x14ac:dyDescent="0.2">
      <c r="A26" s="74"/>
      <c r="B26" s="74"/>
      <c r="C26" s="74"/>
      <c r="D26" s="74"/>
      <c r="E26" s="74"/>
      <c r="F26" s="74"/>
      <c r="G26" s="16"/>
      <c r="H26" s="16"/>
      <c r="I26" s="16"/>
      <c r="J26" s="75"/>
      <c r="K26" s="75"/>
      <c r="L26" s="75"/>
      <c r="M26" s="16"/>
      <c r="N26" s="16"/>
      <c r="O26" s="16"/>
      <c r="P26" s="76"/>
      <c r="Q26" s="76"/>
      <c r="R26" s="76"/>
      <c r="S26" s="76"/>
      <c r="T26" s="17"/>
      <c r="U26" s="16">
        <v>0</v>
      </c>
      <c r="V26" s="17"/>
      <c r="W26" s="80"/>
      <c r="X26" s="80"/>
      <c r="Y26" s="80"/>
      <c r="Z26" s="17"/>
      <c r="AA26" s="16">
        <v>0</v>
      </c>
      <c r="AB26" s="17"/>
    </row>
    <row r="27" spans="1:28" ht="15" customHeight="1" x14ac:dyDescent="0.2">
      <c r="A27" s="74"/>
      <c r="B27" s="74"/>
      <c r="C27" s="74"/>
      <c r="D27" s="74"/>
      <c r="E27" s="74"/>
      <c r="F27" s="74"/>
      <c r="G27" s="16"/>
      <c r="H27" s="16"/>
      <c r="I27" s="16"/>
      <c r="J27" s="75"/>
      <c r="K27" s="75"/>
      <c r="L27" s="75"/>
      <c r="M27" s="16"/>
      <c r="N27" s="16"/>
      <c r="O27" s="16"/>
      <c r="P27" s="76"/>
      <c r="Q27" s="76"/>
      <c r="R27" s="76"/>
      <c r="S27" s="76"/>
      <c r="T27" s="17"/>
      <c r="U27" s="16">
        <v>0</v>
      </c>
      <c r="V27" s="17"/>
      <c r="W27" s="80"/>
      <c r="X27" s="80"/>
      <c r="Y27" s="80"/>
      <c r="Z27" s="17"/>
      <c r="AA27" s="16">
        <v>0</v>
      </c>
      <c r="AB27" s="17"/>
    </row>
    <row r="28" spans="1:28" ht="15" customHeight="1" x14ac:dyDescent="0.2">
      <c r="A28" s="74" t="s">
        <v>65</v>
      </c>
      <c r="B28" s="74"/>
      <c r="C28" s="74"/>
      <c r="D28" s="74"/>
      <c r="E28" s="74"/>
      <c r="F28" s="74"/>
      <c r="G28" s="16"/>
      <c r="H28" s="16">
        <v>7</v>
      </c>
      <c r="I28" s="16"/>
      <c r="J28" s="75"/>
      <c r="K28" s="75"/>
      <c r="L28" s="75"/>
      <c r="M28" s="16"/>
      <c r="N28" s="16"/>
      <c r="O28" s="16"/>
      <c r="P28" s="76"/>
      <c r="Q28" s="76"/>
      <c r="R28" s="76"/>
      <c r="S28" s="76"/>
      <c r="T28" s="17"/>
      <c r="U28" s="16">
        <v>0</v>
      </c>
      <c r="V28" s="17"/>
      <c r="W28" s="80"/>
      <c r="X28" s="80"/>
      <c r="Y28" s="80"/>
      <c r="Z28" s="17"/>
      <c r="AA28" s="16">
        <v>0</v>
      </c>
      <c r="AB28" s="17"/>
    </row>
    <row r="29" spans="1:28" ht="15" customHeight="1" x14ac:dyDescent="0.2">
      <c r="A29" s="74"/>
      <c r="B29" s="74"/>
      <c r="C29" s="74"/>
      <c r="D29" s="74"/>
      <c r="E29" s="74"/>
      <c r="F29" s="74"/>
      <c r="G29" s="16"/>
      <c r="H29" s="16"/>
      <c r="I29" s="16"/>
      <c r="J29" s="75"/>
      <c r="K29" s="75"/>
      <c r="L29" s="75"/>
      <c r="M29" s="16"/>
      <c r="N29" s="16"/>
      <c r="O29" s="16"/>
      <c r="P29" s="76"/>
      <c r="Q29" s="76"/>
      <c r="R29" s="76"/>
      <c r="S29" s="76"/>
      <c r="T29" s="17"/>
      <c r="U29" s="16">
        <v>0</v>
      </c>
      <c r="V29" s="17"/>
      <c r="W29" s="80"/>
      <c r="X29" s="80"/>
      <c r="Y29" s="80"/>
      <c r="Z29" s="17"/>
      <c r="AA29" s="16">
        <v>0</v>
      </c>
      <c r="AB29" s="17"/>
    </row>
    <row r="30" spans="1:28" ht="15" customHeight="1" x14ac:dyDescent="0.2">
      <c r="A30" s="74" t="s">
        <v>85</v>
      </c>
      <c r="B30" s="74"/>
      <c r="C30" s="74"/>
      <c r="D30" s="74"/>
      <c r="E30" s="74"/>
      <c r="F30" s="74"/>
      <c r="G30" s="16"/>
      <c r="H30" s="16">
        <v>10</v>
      </c>
      <c r="I30" s="16"/>
      <c r="J30" s="75"/>
      <c r="K30" s="75"/>
      <c r="L30" s="75"/>
      <c r="M30" s="16"/>
      <c r="N30" s="16"/>
      <c r="O30" s="16"/>
      <c r="P30" s="76"/>
      <c r="Q30" s="76"/>
      <c r="R30" s="76"/>
      <c r="S30" s="76"/>
      <c r="T30" s="17"/>
      <c r="U30" s="16">
        <v>0</v>
      </c>
      <c r="V30" s="17"/>
      <c r="W30" s="80"/>
      <c r="X30" s="80"/>
      <c r="Y30" s="80"/>
      <c r="Z30" s="17"/>
      <c r="AA30" s="16">
        <v>0</v>
      </c>
      <c r="AB30" s="17"/>
    </row>
    <row r="31" spans="1:28" ht="15" customHeight="1" x14ac:dyDescent="0.2">
      <c r="A31" s="74" t="s">
        <v>74</v>
      </c>
      <c r="B31" s="74"/>
      <c r="C31" s="74"/>
      <c r="D31" s="74"/>
      <c r="E31" s="74"/>
      <c r="F31" s="74"/>
      <c r="G31" s="16"/>
      <c r="H31" s="16">
        <v>2</v>
      </c>
      <c r="I31" s="16"/>
      <c r="J31" s="75"/>
      <c r="K31" s="75"/>
      <c r="L31" s="75"/>
      <c r="M31" s="16"/>
      <c r="N31" s="16"/>
      <c r="O31" s="16"/>
      <c r="P31" s="76"/>
      <c r="Q31" s="76"/>
      <c r="R31" s="76"/>
      <c r="S31" s="76"/>
      <c r="T31" s="17"/>
      <c r="U31" s="16">
        <v>0</v>
      </c>
      <c r="V31" s="17"/>
      <c r="W31" s="80"/>
      <c r="X31" s="80"/>
      <c r="Y31" s="80"/>
      <c r="Z31" s="17"/>
      <c r="AA31" s="16">
        <v>0</v>
      </c>
      <c r="AB31" s="17"/>
    </row>
    <row r="32" spans="1:28" ht="15" customHeight="1" x14ac:dyDescent="0.2">
      <c r="A32" s="74" t="s">
        <v>86</v>
      </c>
      <c r="B32" s="74"/>
      <c r="C32" s="74"/>
      <c r="D32" s="74"/>
      <c r="E32" s="74"/>
      <c r="F32" s="74"/>
      <c r="G32" s="16"/>
      <c r="H32" s="16">
        <v>8</v>
      </c>
      <c r="I32" s="16"/>
      <c r="J32" s="75"/>
      <c r="K32" s="75"/>
      <c r="L32" s="75"/>
      <c r="M32" s="16"/>
      <c r="N32" s="16"/>
      <c r="O32" s="16"/>
      <c r="P32" s="76"/>
      <c r="Q32" s="76"/>
      <c r="R32" s="76"/>
      <c r="S32" s="76"/>
      <c r="T32" s="17"/>
      <c r="U32" s="16">
        <v>0</v>
      </c>
      <c r="V32" s="17"/>
      <c r="W32" s="80"/>
      <c r="X32" s="80"/>
      <c r="Y32" s="80"/>
      <c r="Z32" s="17"/>
      <c r="AA32" s="16">
        <v>0</v>
      </c>
      <c r="AB32" s="17"/>
    </row>
    <row r="33" spans="1:28" ht="15" customHeight="1" x14ac:dyDescent="0.2">
      <c r="A33" s="74"/>
      <c r="B33" s="74"/>
      <c r="C33" s="74"/>
      <c r="D33" s="74"/>
      <c r="E33" s="74"/>
      <c r="F33" s="74"/>
      <c r="G33" s="16"/>
      <c r="H33" s="16"/>
      <c r="I33" s="16"/>
      <c r="J33" s="81"/>
      <c r="K33" s="80"/>
      <c r="L33" s="80"/>
      <c r="M33" s="16"/>
      <c r="N33" s="16"/>
      <c r="O33" s="16"/>
      <c r="P33" s="76"/>
      <c r="Q33" s="76"/>
      <c r="R33" s="76"/>
      <c r="S33" s="76"/>
      <c r="T33" s="17"/>
      <c r="U33" s="16">
        <v>0</v>
      </c>
      <c r="V33" s="17"/>
      <c r="W33" s="80"/>
      <c r="X33" s="80"/>
      <c r="Y33" s="80"/>
      <c r="Z33" s="17"/>
      <c r="AA33" s="16">
        <v>0</v>
      </c>
      <c r="AB33" s="17"/>
    </row>
    <row r="34" spans="1:28" ht="15" customHeight="1" x14ac:dyDescent="0.2">
      <c r="A34" s="74"/>
      <c r="B34" s="74"/>
      <c r="C34" s="74"/>
      <c r="D34" s="74"/>
      <c r="E34" s="74"/>
      <c r="F34" s="74"/>
      <c r="G34" s="16"/>
      <c r="H34" s="16"/>
      <c r="I34" s="16"/>
      <c r="J34" s="75"/>
      <c r="K34" s="75"/>
      <c r="L34" s="75"/>
      <c r="M34" s="16"/>
      <c r="N34" s="16"/>
      <c r="O34" s="16"/>
      <c r="P34" s="76"/>
      <c r="Q34" s="76"/>
      <c r="R34" s="76"/>
      <c r="S34" s="76"/>
      <c r="T34" s="17"/>
      <c r="U34" s="16">
        <v>0</v>
      </c>
      <c r="V34" s="17"/>
      <c r="W34" s="80"/>
      <c r="X34" s="80"/>
      <c r="Y34" s="80"/>
      <c r="Z34" s="17"/>
      <c r="AA34" s="16">
        <v>0</v>
      </c>
      <c r="AB34" s="17"/>
    </row>
    <row r="35" spans="1:28" ht="15" customHeight="1" x14ac:dyDescent="0.2">
      <c r="A35" s="74"/>
      <c r="B35" s="74"/>
      <c r="C35" s="74"/>
      <c r="D35" s="74"/>
      <c r="E35" s="74"/>
      <c r="F35" s="74"/>
      <c r="G35" s="16"/>
      <c r="H35" s="16"/>
      <c r="I35" s="16"/>
      <c r="J35" s="75"/>
      <c r="K35" s="75"/>
      <c r="L35" s="75"/>
      <c r="M35" s="16"/>
      <c r="N35" s="16"/>
      <c r="O35" s="16"/>
      <c r="P35" s="76"/>
      <c r="Q35" s="76"/>
      <c r="R35" s="76"/>
      <c r="S35" s="76"/>
      <c r="T35" s="17"/>
      <c r="U35" s="16">
        <v>0</v>
      </c>
      <c r="V35" s="17"/>
      <c r="W35" s="80"/>
      <c r="X35" s="80"/>
      <c r="Y35" s="80"/>
      <c r="Z35" s="17"/>
      <c r="AA35" s="16">
        <v>0</v>
      </c>
      <c r="AB35" s="17"/>
    </row>
    <row r="36" spans="1:28" ht="15" customHeight="1" x14ac:dyDescent="0.2">
      <c r="A36" s="74" t="s">
        <v>88</v>
      </c>
      <c r="B36" s="74"/>
      <c r="C36" s="74"/>
      <c r="D36" s="74"/>
      <c r="E36" s="74"/>
      <c r="F36" s="74"/>
      <c r="G36" s="16"/>
      <c r="H36" s="16">
        <v>1</v>
      </c>
      <c r="I36" s="16"/>
      <c r="J36" s="81"/>
      <c r="K36" s="80"/>
      <c r="L36" s="80"/>
      <c r="M36" s="16"/>
      <c r="N36" s="16"/>
      <c r="O36" s="16"/>
      <c r="P36" s="76"/>
      <c r="Q36" s="76"/>
      <c r="R36" s="76"/>
      <c r="S36" s="76"/>
      <c r="T36" s="17"/>
      <c r="U36" s="16">
        <v>0</v>
      </c>
      <c r="V36" s="17"/>
      <c r="W36" s="80"/>
      <c r="X36" s="80"/>
      <c r="Y36" s="80"/>
      <c r="Z36" s="17"/>
      <c r="AA36" s="16">
        <v>0</v>
      </c>
      <c r="AB36" s="17"/>
    </row>
    <row r="37" spans="1:28" ht="15" customHeight="1" x14ac:dyDescent="0.2">
      <c r="A37" s="74" t="s">
        <v>89</v>
      </c>
      <c r="B37" s="74"/>
      <c r="C37" s="74"/>
      <c r="D37" s="74"/>
      <c r="E37" s="74"/>
      <c r="F37" s="74"/>
      <c r="G37" s="16"/>
      <c r="H37" s="16">
        <v>3</v>
      </c>
      <c r="I37" s="16"/>
      <c r="J37" s="80"/>
      <c r="K37" s="80"/>
      <c r="L37" s="80"/>
      <c r="M37" s="16"/>
      <c r="N37" s="16"/>
      <c r="O37" s="16"/>
      <c r="P37" s="76"/>
      <c r="Q37" s="76"/>
      <c r="R37" s="76"/>
      <c r="S37" s="76"/>
      <c r="T37" s="17"/>
      <c r="U37" s="16">
        <v>0</v>
      </c>
      <c r="V37" s="17"/>
      <c r="W37" s="80"/>
      <c r="X37" s="80"/>
      <c r="Y37" s="8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96" t="s">
        <v>28</v>
      </c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W39" s="70" t="s">
        <v>34</v>
      </c>
      <c r="X39" s="70"/>
      <c r="Y39" s="70"/>
      <c r="Z39" s="70"/>
      <c r="AA39" s="70"/>
      <c r="AB39" s="70"/>
    </row>
    <row r="40" spans="1:28" ht="22.5" customHeight="1" x14ac:dyDescent="0.2">
      <c r="A40" s="82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4"/>
      <c r="W40" s="88"/>
      <c r="X40" s="89"/>
      <c r="Y40" s="89"/>
      <c r="Z40" s="89"/>
      <c r="AA40" s="89"/>
      <c r="AB40" s="90"/>
    </row>
    <row r="41" spans="1:28" ht="26.25" customHeight="1" x14ac:dyDescent="0.2">
      <c r="A41" s="85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7"/>
      <c r="V41" s="91"/>
      <c r="W41" s="92" t="s">
        <v>29</v>
      </c>
      <c r="X41" s="70"/>
      <c r="Y41" s="70"/>
      <c r="Z41" s="70"/>
      <c r="AA41" s="70"/>
      <c r="AB41" s="70"/>
    </row>
    <row r="42" spans="1:28" ht="22.5" customHeight="1" x14ac:dyDescent="0.2">
      <c r="A42" s="85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7"/>
      <c r="V42" s="91"/>
      <c r="W42" s="93"/>
      <c r="X42" s="94"/>
      <c r="Y42" s="94"/>
      <c r="Z42" s="94"/>
      <c r="AA42" s="94"/>
      <c r="AB42" s="95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C42"/>
  <sheetViews>
    <sheetView showGridLines="0" view="pageBreakPreview" topLeftCell="A7" zoomScaleNormal="100" zoomScaleSheetLayoutView="110" workbookViewId="0">
      <selection activeCell="J18" sqref="J18:N1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8"/>
      <c r="B1" s="36"/>
      <c r="I1" s="39" t="s">
        <v>33</v>
      </c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3"/>
    </row>
    <row r="2" spans="1:29" ht="37.5" customHeight="1" x14ac:dyDescent="0.2">
      <c r="A2" s="38"/>
      <c r="B2" s="36"/>
      <c r="I2" s="41" t="s">
        <v>32</v>
      </c>
      <c r="J2" s="42"/>
      <c r="K2" s="42"/>
      <c r="L2" s="42"/>
      <c r="M2" s="42"/>
      <c r="N2" s="42"/>
      <c r="O2" s="4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3" t="s">
        <v>1</v>
      </c>
      <c r="B4" s="43"/>
      <c r="C4" s="43"/>
      <c r="D4" s="43"/>
      <c r="E4" s="43"/>
      <c r="F4" s="44"/>
      <c r="G4" s="45"/>
      <c r="H4" s="45"/>
      <c r="I4" s="45"/>
      <c r="J4" s="45"/>
      <c r="K4" s="45"/>
      <c r="L4" s="45"/>
      <c r="M4" s="45"/>
      <c r="N4" s="46" t="s">
        <v>11</v>
      </c>
      <c r="O4" s="46"/>
      <c r="P4" s="46"/>
      <c r="Q4" s="46"/>
      <c r="R4" s="46"/>
      <c r="S4" s="46"/>
      <c r="T4" s="46"/>
      <c r="U4" s="47" t="s">
        <v>66</v>
      </c>
      <c r="V4" s="48"/>
      <c r="W4" s="48"/>
      <c r="X4" s="48"/>
      <c r="Y4" s="48"/>
      <c r="Z4" s="48"/>
      <c r="AA4" s="48"/>
      <c r="AB4" s="49"/>
      <c r="AC4" s="3"/>
    </row>
    <row r="5" spans="1:29" ht="24" customHeight="1" x14ac:dyDescent="0.2">
      <c r="A5" s="43" t="s">
        <v>5</v>
      </c>
      <c r="B5" s="43"/>
      <c r="C5" s="43"/>
      <c r="D5" s="43"/>
      <c r="E5" s="43"/>
      <c r="F5" s="44"/>
      <c r="G5" s="50" t="s">
        <v>61</v>
      </c>
      <c r="H5" s="50"/>
      <c r="I5" s="50"/>
      <c r="J5" s="50"/>
      <c r="K5" s="50"/>
      <c r="L5" s="50"/>
      <c r="M5" s="50"/>
      <c r="N5" s="43" t="s">
        <v>9</v>
      </c>
      <c r="O5" s="43"/>
      <c r="P5" s="43"/>
      <c r="Q5" s="43"/>
      <c r="R5" s="43"/>
      <c r="S5" s="43"/>
      <c r="T5" s="43"/>
      <c r="U5" s="57">
        <v>44417</v>
      </c>
      <c r="V5" s="57"/>
      <c r="W5" s="57"/>
      <c r="X5" s="25" t="s">
        <v>30</v>
      </c>
      <c r="Y5" s="58">
        <v>0.41666666666666669</v>
      </c>
      <c r="Z5" s="59"/>
      <c r="AA5" s="59"/>
      <c r="AB5" s="59"/>
    </row>
    <row r="6" spans="1:29" ht="24" customHeight="1" x14ac:dyDescent="0.2">
      <c r="A6" s="53" t="s">
        <v>7</v>
      </c>
      <c r="B6" s="53"/>
      <c r="C6" s="53"/>
      <c r="D6" s="53"/>
      <c r="E6" s="53"/>
      <c r="F6" s="54"/>
      <c r="G6" s="50" t="s">
        <v>62</v>
      </c>
      <c r="H6" s="50"/>
      <c r="I6" s="50"/>
      <c r="J6" s="50"/>
      <c r="K6" s="50"/>
      <c r="L6" s="50"/>
      <c r="M6" s="50"/>
      <c r="N6" s="60" t="s">
        <v>0</v>
      </c>
      <c r="O6" s="60"/>
      <c r="P6" s="60"/>
      <c r="Q6" s="60"/>
      <c r="R6" s="60"/>
      <c r="S6" s="60"/>
      <c r="T6" s="60"/>
      <c r="U6" s="57">
        <v>44417</v>
      </c>
      <c r="V6" s="57"/>
      <c r="W6" s="57"/>
      <c r="X6" s="25" t="s">
        <v>30</v>
      </c>
      <c r="Y6" s="58">
        <v>0.4375</v>
      </c>
      <c r="Z6" s="59"/>
      <c r="AA6" s="59"/>
      <c r="AB6" s="59"/>
    </row>
    <row r="7" spans="1:29" ht="24" customHeight="1" x14ac:dyDescent="0.2">
      <c r="A7" s="43" t="s">
        <v>10</v>
      </c>
      <c r="B7" s="43"/>
      <c r="C7" s="43"/>
      <c r="D7" s="43"/>
      <c r="E7" s="43"/>
      <c r="F7" s="44"/>
      <c r="G7" s="50" t="s">
        <v>63</v>
      </c>
      <c r="H7" s="50"/>
      <c r="I7" s="50"/>
      <c r="J7" s="50"/>
      <c r="K7" s="50"/>
      <c r="L7" s="50"/>
      <c r="M7" s="50"/>
      <c r="N7" s="51" t="s">
        <v>35</v>
      </c>
      <c r="O7" s="51"/>
      <c r="P7" s="51"/>
      <c r="Q7" s="51"/>
      <c r="R7" s="51"/>
      <c r="S7" s="51"/>
      <c r="T7" s="51"/>
      <c r="U7" s="52" t="s">
        <v>67</v>
      </c>
      <c r="V7" s="52"/>
      <c r="W7" s="52"/>
      <c r="X7" s="52"/>
      <c r="Y7" s="52"/>
      <c r="Z7" s="52"/>
      <c r="AA7" s="52"/>
      <c r="AB7" s="52"/>
    </row>
    <row r="8" spans="1:29" ht="24" customHeight="1" x14ac:dyDescent="0.2">
      <c r="A8" s="53" t="s">
        <v>2</v>
      </c>
      <c r="B8" s="53"/>
      <c r="C8" s="53"/>
      <c r="D8" s="53"/>
      <c r="E8" s="53"/>
      <c r="F8" s="54"/>
      <c r="G8" s="55">
        <v>514059</v>
      </c>
      <c r="H8" s="55"/>
      <c r="I8" s="55"/>
      <c r="J8" s="55"/>
      <c r="K8" s="55"/>
      <c r="L8" s="55"/>
      <c r="M8" s="55"/>
      <c r="N8" s="51" t="s">
        <v>4</v>
      </c>
      <c r="O8" s="51"/>
      <c r="P8" s="51"/>
      <c r="Q8" s="51"/>
      <c r="R8" s="51"/>
      <c r="S8" s="51"/>
      <c r="T8" s="51"/>
      <c r="U8" s="56" t="s">
        <v>68</v>
      </c>
      <c r="V8" s="56"/>
      <c r="W8" s="56"/>
      <c r="X8" s="56"/>
      <c r="Y8" s="56"/>
      <c r="Z8" s="56"/>
      <c r="AA8" s="56"/>
      <c r="AB8" s="56"/>
    </row>
    <row r="9" spans="1:29" ht="24" customHeight="1" x14ac:dyDescent="0.2">
      <c r="A9" s="53" t="s">
        <v>6</v>
      </c>
      <c r="B9" s="53"/>
      <c r="C9" s="53"/>
      <c r="D9" s="53"/>
      <c r="E9" s="53"/>
      <c r="F9" s="54"/>
      <c r="G9" s="61" t="s">
        <v>75</v>
      </c>
      <c r="H9" s="61"/>
      <c r="I9" s="61"/>
      <c r="J9" s="61"/>
      <c r="K9" s="61"/>
      <c r="L9" s="61"/>
      <c r="M9" s="61"/>
      <c r="N9" s="51" t="s">
        <v>31</v>
      </c>
      <c r="O9" s="51"/>
      <c r="P9" s="51"/>
      <c r="Q9" s="51"/>
      <c r="R9" s="51"/>
      <c r="S9" s="51"/>
      <c r="T9" s="51"/>
      <c r="U9" s="52" t="s">
        <v>78</v>
      </c>
      <c r="V9" s="52"/>
      <c r="W9" s="52"/>
      <c r="X9" s="52"/>
      <c r="Y9" s="52"/>
      <c r="Z9" s="52"/>
      <c r="AA9" s="52"/>
      <c r="AB9" s="52"/>
    </row>
    <row r="10" spans="1:29" ht="6" customHeight="1" x14ac:dyDescent="0.2">
      <c r="U10" s="8"/>
      <c r="V10" s="8"/>
      <c r="W10" s="8"/>
    </row>
    <row r="11" spans="1:29" ht="23.25" customHeight="1" x14ac:dyDescent="0.2">
      <c r="A11" s="62" t="s">
        <v>8</v>
      </c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19"/>
      <c r="N11" s="51" t="s">
        <v>12</v>
      </c>
      <c r="O11" s="51"/>
      <c r="P11" s="51"/>
      <c r="Q11" s="51"/>
      <c r="R11" s="51"/>
      <c r="S11" s="50"/>
      <c r="T11" s="50"/>
      <c r="U11" s="51" t="s">
        <v>13</v>
      </c>
      <c r="V11" s="51"/>
      <c r="W11" s="51"/>
      <c r="X11" s="51"/>
      <c r="Y11" s="51"/>
      <c r="Z11" s="51"/>
      <c r="AA11" s="47"/>
      <c r="AB11" s="49"/>
    </row>
    <row r="12" spans="1:29" ht="6" customHeight="1" x14ac:dyDescent="0.2"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</row>
    <row r="13" spans="1:29" ht="36" customHeight="1" x14ac:dyDescent="0.2">
      <c r="A13" s="70" t="s">
        <v>60</v>
      </c>
      <c r="B13" s="64"/>
      <c r="C13" s="64"/>
      <c r="D13" s="64"/>
      <c r="E13" s="64"/>
      <c r="F13" s="37" t="s">
        <v>37</v>
      </c>
      <c r="G13" s="63" t="s">
        <v>14</v>
      </c>
      <c r="H13" s="63"/>
      <c r="I13" s="63"/>
      <c r="J13" s="71" t="s">
        <v>72</v>
      </c>
      <c r="K13" s="72"/>
      <c r="L13" s="63" t="s">
        <v>15</v>
      </c>
      <c r="M13" s="63"/>
      <c r="N13" s="63"/>
      <c r="O13" s="47">
        <v>0</v>
      </c>
      <c r="P13" s="48"/>
      <c r="Q13" s="49"/>
      <c r="R13" s="63" t="s">
        <v>16</v>
      </c>
      <c r="S13" s="63"/>
      <c r="T13" s="63"/>
      <c r="U13" s="50">
        <v>1</v>
      </c>
      <c r="V13" s="50"/>
      <c r="W13" s="63" t="s">
        <v>17</v>
      </c>
      <c r="X13" s="63"/>
      <c r="Y13" s="63"/>
      <c r="Z13" s="63"/>
      <c r="AA13" s="50">
        <v>2</v>
      </c>
      <c r="AB13" s="50"/>
    </row>
    <row r="14" spans="1:29" ht="27" customHeight="1" x14ac:dyDescent="0.2">
      <c r="A14" s="64" t="s">
        <v>3</v>
      </c>
      <c r="B14" s="64"/>
      <c r="C14" s="64"/>
      <c r="D14" s="64"/>
      <c r="E14" s="64"/>
      <c r="F14" s="37"/>
      <c r="G14" s="63" t="s">
        <v>18</v>
      </c>
      <c r="H14" s="63"/>
      <c r="I14" s="63"/>
      <c r="J14" s="63"/>
      <c r="K14" s="63"/>
      <c r="L14" s="63"/>
      <c r="M14" s="65"/>
      <c r="N14" s="66"/>
      <c r="O14" s="66"/>
      <c r="P14" s="66"/>
      <c r="Q14" s="67"/>
      <c r="R14" s="63" t="s">
        <v>19</v>
      </c>
      <c r="S14" s="63"/>
      <c r="T14" s="63"/>
      <c r="U14" s="63"/>
      <c r="V14" s="63"/>
      <c r="W14" s="68"/>
      <c r="X14" s="68"/>
      <c r="Y14" s="68"/>
      <c r="Z14" s="68"/>
      <c r="AA14" s="68"/>
      <c r="AB14" s="68"/>
    </row>
    <row r="15" spans="1:29" ht="3" customHeight="1" x14ac:dyDescent="0.2">
      <c r="A15" s="21"/>
      <c r="B15" s="21"/>
      <c r="C15" s="21"/>
      <c r="D15" s="21"/>
      <c r="E15" s="21"/>
      <c r="F15" s="22"/>
      <c r="G15" s="23"/>
      <c r="H15" s="23"/>
      <c r="I15" s="23"/>
      <c r="J15" s="23"/>
      <c r="K15" s="23"/>
      <c r="L15" s="23"/>
      <c r="M15" s="12"/>
      <c r="N15" s="12"/>
      <c r="O15" s="12"/>
      <c r="P15" s="12"/>
      <c r="Q15" s="12"/>
      <c r="R15" s="24"/>
      <c r="S15" s="24"/>
      <c r="T15" s="24"/>
      <c r="U15" s="24"/>
      <c r="V15" s="24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7" t="s">
        <v>20</v>
      </c>
      <c r="B17" s="78"/>
      <c r="C17" s="78"/>
      <c r="D17" s="78"/>
      <c r="E17" s="78"/>
      <c r="F17" s="79"/>
      <c r="G17" s="73" t="s">
        <v>21</v>
      </c>
      <c r="H17" s="73"/>
      <c r="I17" s="73"/>
      <c r="J17" s="73" t="s">
        <v>23</v>
      </c>
      <c r="K17" s="73"/>
      <c r="L17" s="73"/>
      <c r="M17" s="73" t="s">
        <v>24</v>
      </c>
      <c r="N17" s="73"/>
      <c r="O17" s="73"/>
      <c r="P17" s="73" t="s">
        <v>22</v>
      </c>
      <c r="Q17" s="73"/>
      <c r="R17" s="73"/>
      <c r="S17" s="73"/>
      <c r="T17" s="73" t="s">
        <v>25</v>
      </c>
      <c r="U17" s="73"/>
      <c r="V17" s="73"/>
      <c r="W17" s="73" t="s">
        <v>26</v>
      </c>
      <c r="X17" s="73"/>
      <c r="Y17" s="73"/>
      <c r="Z17" s="73" t="s">
        <v>27</v>
      </c>
      <c r="AA17" s="73"/>
      <c r="AB17" s="73"/>
    </row>
    <row r="18" spans="1:28" ht="15" customHeight="1" x14ac:dyDescent="0.2">
      <c r="A18" s="74"/>
      <c r="B18" s="74"/>
      <c r="C18" s="74"/>
      <c r="D18" s="74"/>
      <c r="E18" s="74"/>
      <c r="F18" s="74"/>
      <c r="G18" s="16"/>
      <c r="H18" s="16"/>
      <c r="I18" s="16"/>
      <c r="J18" s="75" t="s">
        <v>80</v>
      </c>
      <c r="K18" s="75"/>
      <c r="L18" s="75"/>
      <c r="M18" s="16"/>
      <c r="N18" s="16">
        <v>1</v>
      </c>
      <c r="O18" s="16"/>
      <c r="P18" s="76"/>
      <c r="Q18" s="76"/>
      <c r="R18" s="76"/>
      <c r="S18" s="76"/>
      <c r="T18" s="17"/>
      <c r="U18" s="16">
        <v>0</v>
      </c>
      <c r="V18" s="17"/>
      <c r="W18" s="76"/>
      <c r="X18" s="76"/>
      <c r="Y18" s="76"/>
      <c r="Z18" s="17"/>
      <c r="AA18" s="16">
        <v>0</v>
      </c>
      <c r="AB18" s="17"/>
    </row>
    <row r="19" spans="1:28" ht="15" customHeight="1" x14ac:dyDescent="0.2">
      <c r="A19" s="74" t="s">
        <v>79</v>
      </c>
      <c r="B19" s="74"/>
      <c r="C19" s="74"/>
      <c r="D19" s="74"/>
      <c r="E19" s="74"/>
      <c r="F19" s="74"/>
      <c r="G19" s="16"/>
      <c r="H19" s="16">
        <v>3</v>
      </c>
      <c r="I19" s="16"/>
      <c r="J19" s="75" t="s">
        <v>90</v>
      </c>
      <c r="K19" s="75"/>
      <c r="L19" s="75"/>
      <c r="M19" s="16"/>
      <c r="N19" s="16">
        <v>1</v>
      </c>
      <c r="O19" s="16"/>
      <c r="P19" s="76"/>
      <c r="Q19" s="76"/>
      <c r="R19" s="76"/>
      <c r="S19" s="76"/>
      <c r="T19" s="17"/>
      <c r="U19" s="16">
        <v>0</v>
      </c>
      <c r="V19" s="17"/>
      <c r="W19" s="76"/>
      <c r="X19" s="76"/>
      <c r="Y19" s="76"/>
      <c r="Z19" s="17"/>
      <c r="AA19" s="16">
        <v>0</v>
      </c>
      <c r="AB19" s="17"/>
    </row>
    <row r="20" spans="1:28" ht="15" customHeight="1" x14ac:dyDescent="0.2">
      <c r="A20" s="74"/>
      <c r="B20" s="74"/>
      <c r="C20" s="74"/>
      <c r="D20" s="74"/>
      <c r="E20" s="74"/>
      <c r="F20" s="74"/>
      <c r="G20" s="16"/>
      <c r="H20" s="16"/>
      <c r="I20" s="16"/>
      <c r="J20" s="75"/>
      <c r="K20" s="75"/>
      <c r="L20" s="75"/>
      <c r="M20" s="16"/>
      <c r="N20" s="16"/>
      <c r="O20" s="16"/>
      <c r="P20" s="76"/>
      <c r="Q20" s="76"/>
      <c r="R20" s="76"/>
      <c r="S20" s="76"/>
      <c r="T20" s="17"/>
      <c r="U20" s="16">
        <v>0</v>
      </c>
      <c r="V20" s="17"/>
      <c r="W20" s="76"/>
      <c r="X20" s="76"/>
      <c r="Y20" s="76"/>
      <c r="Z20" s="18"/>
      <c r="AA20" s="16">
        <v>0</v>
      </c>
      <c r="AB20" s="17"/>
    </row>
    <row r="21" spans="1:28" ht="15" customHeight="1" x14ac:dyDescent="0.2">
      <c r="A21" s="74"/>
      <c r="B21" s="74"/>
      <c r="C21" s="74"/>
      <c r="D21" s="74"/>
      <c r="E21" s="74"/>
      <c r="F21" s="74"/>
      <c r="G21" s="16"/>
      <c r="H21" s="16"/>
      <c r="I21" s="16"/>
      <c r="J21" s="75"/>
      <c r="K21" s="75"/>
      <c r="L21" s="75"/>
      <c r="M21" s="16"/>
      <c r="N21" s="16"/>
      <c r="O21" s="16"/>
      <c r="P21" s="76"/>
      <c r="Q21" s="76"/>
      <c r="R21" s="76"/>
      <c r="S21" s="76"/>
      <c r="T21" s="17"/>
      <c r="U21" s="16">
        <v>0</v>
      </c>
      <c r="V21" s="17"/>
      <c r="W21" s="80"/>
      <c r="X21" s="80"/>
      <c r="Y21" s="80"/>
      <c r="Z21" s="17"/>
      <c r="AA21" s="16">
        <v>0</v>
      </c>
      <c r="AB21" s="17"/>
    </row>
    <row r="22" spans="1:28" ht="15" customHeight="1" x14ac:dyDescent="0.2">
      <c r="A22" s="74" t="s">
        <v>70</v>
      </c>
      <c r="B22" s="74"/>
      <c r="C22" s="74"/>
      <c r="D22" s="74"/>
      <c r="E22" s="74"/>
      <c r="F22" s="74"/>
      <c r="G22" s="16"/>
      <c r="H22" s="16">
        <v>19</v>
      </c>
      <c r="I22" s="16"/>
      <c r="J22" s="75"/>
      <c r="K22" s="75"/>
      <c r="L22" s="75"/>
      <c r="M22" s="16"/>
      <c r="N22" s="16"/>
      <c r="O22" s="16"/>
      <c r="P22" s="76"/>
      <c r="Q22" s="76"/>
      <c r="R22" s="76"/>
      <c r="S22" s="76"/>
      <c r="T22" s="17"/>
      <c r="U22" s="16">
        <v>0</v>
      </c>
      <c r="V22" s="17"/>
      <c r="W22" s="80"/>
      <c r="X22" s="80"/>
      <c r="Y22" s="80"/>
      <c r="Z22" s="17"/>
      <c r="AA22" s="16">
        <v>0</v>
      </c>
      <c r="AB22" s="17"/>
    </row>
    <row r="23" spans="1:28" ht="15" customHeight="1" x14ac:dyDescent="0.2">
      <c r="A23" s="74"/>
      <c r="B23" s="74"/>
      <c r="C23" s="74"/>
      <c r="D23" s="74"/>
      <c r="E23" s="74"/>
      <c r="F23" s="74"/>
      <c r="G23" s="16"/>
      <c r="H23" s="16"/>
      <c r="I23" s="16"/>
      <c r="J23" s="75"/>
      <c r="K23" s="75"/>
      <c r="L23" s="75"/>
      <c r="M23" s="16"/>
      <c r="N23" s="16"/>
      <c r="O23" s="16"/>
      <c r="P23" s="76"/>
      <c r="Q23" s="76"/>
      <c r="R23" s="76"/>
      <c r="S23" s="76"/>
      <c r="T23" s="17"/>
      <c r="U23" s="16">
        <v>0</v>
      </c>
      <c r="V23" s="17"/>
      <c r="W23" s="80"/>
      <c r="X23" s="80"/>
      <c r="Y23" s="80"/>
      <c r="Z23" s="17"/>
      <c r="AA23" s="16">
        <v>0</v>
      </c>
      <c r="AB23" s="17"/>
    </row>
    <row r="24" spans="1:28" ht="15" customHeight="1" x14ac:dyDescent="0.2">
      <c r="A24" s="74" t="s">
        <v>81</v>
      </c>
      <c r="B24" s="74"/>
      <c r="C24" s="74"/>
      <c r="D24" s="74"/>
      <c r="E24" s="74"/>
      <c r="F24" s="74"/>
      <c r="G24" s="16"/>
      <c r="H24" s="16">
        <v>2</v>
      </c>
      <c r="I24" s="16"/>
      <c r="J24" s="75"/>
      <c r="K24" s="75"/>
      <c r="L24" s="75"/>
      <c r="M24" s="16"/>
      <c r="N24" s="16"/>
      <c r="O24" s="16"/>
      <c r="P24" s="76"/>
      <c r="Q24" s="76"/>
      <c r="R24" s="76"/>
      <c r="S24" s="76"/>
      <c r="T24" s="17"/>
      <c r="U24" s="16">
        <v>0</v>
      </c>
      <c r="V24" s="17"/>
      <c r="W24" s="80"/>
      <c r="X24" s="80"/>
      <c r="Y24" s="80"/>
      <c r="Z24" s="17"/>
      <c r="AA24" s="16">
        <v>0</v>
      </c>
      <c r="AB24" s="17"/>
    </row>
    <row r="25" spans="1:28" ht="15" customHeight="1" x14ac:dyDescent="0.2">
      <c r="A25" s="74"/>
      <c r="B25" s="74"/>
      <c r="C25" s="74"/>
      <c r="D25" s="74"/>
      <c r="E25" s="74"/>
      <c r="F25" s="74"/>
      <c r="G25" s="16"/>
      <c r="H25" s="16"/>
      <c r="I25" s="16"/>
      <c r="J25" s="75"/>
      <c r="K25" s="75"/>
      <c r="L25" s="75"/>
      <c r="M25" s="16"/>
      <c r="N25" s="16"/>
      <c r="O25" s="16"/>
      <c r="P25" s="76"/>
      <c r="Q25" s="76"/>
      <c r="R25" s="76"/>
      <c r="S25" s="76"/>
      <c r="T25" s="17"/>
      <c r="U25" s="16">
        <v>0</v>
      </c>
      <c r="V25" s="17"/>
      <c r="W25" s="80"/>
      <c r="X25" s="80"/>
      <c r="Y25" s="80"/>
      <c r="Z25" s="17"/>
      <c r="AA25" s="16">
        <v>0</v>
      </c>
      <c r="AB25" s="17"/>
    </row>
    <row r="26" spans="1:28" ht="15" customHeight="1" x14ac:dyDescent="0.2">
      <c r="A26" s="74" t="s">
        <v>83</v>
      </c>
      <c r="B26" s="74"/>
      <c r="C26" s="74"/>
      <c r="D26" s="74"/>
      <c r="E26" s="74"/>
      <c r="F26" s="74"/>
      <c r="G26" s="16"/>
      <c r="H26" s="16">
        <v>2</v>
      </c>
      <c r="I26" s="16"/>
      <c r="J26" s="75"/>
      <c r="K26" s="75"/>
      <c r="L26" s="75"/>
      <c r="M26" s="16"/>
      <c r="N26" s="16"/>
      <c r="O26" s="16"/>
      <c r="P26" s="76"/>
      <c r="Q26" s="76"/>
      <c r="R26" s="76"/>
      <c r="S26" s="76"/>
      <c r="T26" s="17"/>
      <c r="U26" s="16">
        <v>0</v>
      </c>
      <c r="V26" s="17"/>
      <c r="W26" s="80"/>
      <c r="X26" s="80"/>
      <c r="Y26" s="80"/>
      <c r="Z26" s="17"/>
      <c r="AA26" s="16">
        <v>0</v>
      </c>
      <c r="AB26" s="17"/>
    </row>
    <row r="27" spans="1:28" ht="15" customHeight="1" x14ac:dyDescent="0.2">
      <c r="A27" s="74"/>
      <c r="B27" s="74"/>
      <c r="C27" s="74"/>
      <c r="D27" s="74"/>
      <c r="E27" s="74"/>
      <c r="F27" s="74"/>
      <c r="G27" s="16"/>
      <c r="H27" s="16"/>
      <c r="I27" s="16"/>
      <c r="J27" s="75"/>
      <c r="K27" s="75"/>
      <c r="L27" s="75"/>
      <c r="M27" s="16"/>
      <c r="N27" s="16"/>
      <c r="O27" s="16"/>
      <c r="P27" s="76"/>
      <c r="Q27" s="76"/>
      <c r="R27" s="76"/>
      <c r="S27" s="76"/>
      <c r="T27" s="17"/>
      <c r="U27" s="16">
        <v>0</v>
      </c>
      <c r="V27" s="17"/>
      <c r="W27" s="80"/>
      <c r="X27" s="80"/>
      <c r="Y27" s="80"/>
      <c r="Z27" s="17"/>
      <c r="AA27" s="16">
        <v>0</v>
      </c>
      <c r="AB27" s="17"/>
    </row>
    <row r="28" spans="1:28" ht="15" customHeight="1" x14ac:dyDescent="0.2">
      <c r="A28" s="74" t="s">
        <v>65</v>
      </c>
      <c r="B28" s="74"/>
      <c r="C28" s="74"/>
      <c r="D28" s="74"/>
      <c r="E28" s="74"/>
      <c r="F28" s="74"/>
      <c r="G28" s="16"/>
      <c r="H28" s="16">
        <v>6</v>
      </c>
      <c r="I28" s="16"/>
      <c r="J28" s="75"/>
      <c r="K28" s="75"/>
      <c r="L28" s="75"/>
      <c r="M28" s="16"/>
      <c r="N28" s="16"/>
      <c r="O28" s="16"/>
      <c r="P28" s="76"/>
      <c r="Q28" s="76"/>
      <c r="R28" s="76"/>
      <c r="S28" s="76"/>
      <c r="T28" s="17"/>
      <c r="U28" s="16">
        <v>0</v>
      </c>
      <c r="V28" s="17"/>
      <c r="W28" s="80"/>
      <c r="X28" s="80"/>
      <c r="Y28" s="80"/>
      <c r="Z28" s="17"/>
      <c r="AA28" s="16">
        <v>0</v>
      </c>
      <c r="AB28" s="17"/>
    </row>
    <row r="29" spans="1:28" ht="15" customHeight="1" x14ac:dyDescent="0.2">
      <c r="A29" s="74" t="s">
        <v>69</v>
      </c>
      <c r="B29" s="74"/>
      <c r="C29" s="74"/>
      <c r="D29" s="74"/>
      <c r="E29" s="74"/>
      <c r="F29" s="74"/>
      <c r="G29" s="16"/>
      <c r="H29" s="16">
        <v>2</v>
      </c>
      <c r="I29" s="16"/>
      <c r="J29" s="75"/>
      <c r="K29" s="75"/>
      <c r="L29" s="75"/>
      <c r="M29" s="16"/>
      <c r="N29" s="16"/>
      <c r="O29" s="16"/>
      <c r="P29" s="76"/>
      <c r="Q29" s="76"/>
      <c r="R29" s="76"/>
      <c r="S29" s="76"/>
      <c r="T29" s="17"/>
      <c r="U29" s="16">
        <v>0</v>
      </c>
      <c r="V29" s="17"/>
      <c r="W29" s="80"/>
      <c r="X29" s="80"/>
      <c r="Y29" s="80"/>
      <c r="Z29" s="17"/>
      <c r="AA29" s="16">
        <v>0</v>
      </c>
      <c r="AB29" s="17"/>
    </row>
    <row r="30" spans="1:28" ht="15" customHeight="1" x14ac:dyDescent="0.2">
      <c r="A30" s="74" t="s">
        <v>85</v>
      </c>
      <c r="B30" s="74"/>
      <c r="C30" s="74"/>
      <c r="D30" s="74"/>
      <c r="E30" s="74"/>
      <c r="F30" s="74"/>
      <c r="G30" s="16"/>
      <c r="H30" s="16">
        <v>12</v>
      </c>
      <c r="I30" s="16"/>
      <c r="J30" s="75"/>
      <c r="K30" s="75"/>
      <c r="L30" s="75"/>
      <c r="M30" s="16"/>
      <c r="N30" s="16"/>
      <c r="O30" s="16"/>
      <c r="P30" s="76"/>
      <c r="Q30" s="76"/>
      <c r="R30" s="76"/>
      <c r="S30" s="76"/>
      <c r="T30" s="17"/>
      <c r="U30" s="16">
        <v>0</v>
      </c>
      <c r="V30" s="17"/>
      <c r="W30" s="80"/>
      <c r="X30" s="80"/>
      <c r="Y30" s="80"/>
      <c r="Z30" s="17"/>
      <c r="AA30" s="16">
        <v>0</v>
      </c>
      <c r="AB30" s="17"/>
    </row>
    <row r="31" spans="1:28" ht="15" customHeight="1" x14ac:dyDescent="0.2">
      <c r="A31" s="74"/>
      <c r="B31" s="74"/>
      <c r="C31" s="74"/>
      <c r="D31" s="74"/>
      <c r="E31" s="74"/>
      <c r="F31" s="74"/>
      <c r="G31" s="16"/>
      <c r="H31" s="16"/>
      <c r="I31" s="16"/>
      <c r="J31" s="75"/>
      <c r="K31" s="75"/>
      <c r="L31" s="75"/>
      <c r="M31" s="16"/>
      <c r="N31" s="16"/>
      <c r="O31" s="16"/>
      <c r="P31" s="76"/>
      <c r="Q31" s="76"/>
      <c r="R31" s="76"/>
      <c r="S31" s="76"/>
      <c r="T31" s="17"/>
      <c r="U31" s="16">
        <v>0</v>
      </c>
      <c r="V31" s="17"/>
      <c r="W31" s="80"/>
      <c r="X31" s="80"/>
      <c r="Y31" s="80"/>
      <c r="Z31" s="17"/>
      <c r="AA31" s="16">
        <v>0</v>
      </c>
      <c r="AB31" s="17"/>
    </row>
    <row r="32" spans="1:28" ht="15" customHeight="1" x14ac:dyDescent="0.2">
      <c r="A32" s="74" t="s">
        <v>86</v>
      </c>
      <c r="B32" s="74"/>
      <c r="C32" s="74"/>
      <c r="D32" s="74"/>
      <c r="E32" s="74"/>
      <c r="F32" s="74"/>
      <c r="G32" s="16"/>
      <c r="H32" s="16">
        <v>6</v>
      </c>
      <c r="I32" s="16"/>
      <c r="J32" s="75"/>
      <c r="K32" s="75"/>
      <c r="L32" s="75"/>
      <c r="M32" s="16"/>
      <c r="N32" s="16"/>
      <c r="O32" s="16"/>
      <c r="P32" s="76"/>
      <c r="Q32" s="76"/>
      <c r="R32" s="76"/>
      <c r="S32" s="76"/>
      <c r="T32" s="17"/>
      <c r="U32" s="16">
        <v>0</v>
      </c>
      <c r="V32" s="17"/>
      <c r="W32" s="80"/>
      <c r="X32" s="80"/>
      <c r="Y32" s="80"/>
      <c r="Z32" s="17"/>
      <c r="AA32" s="16">
        <v>0</v>
      </c>
      <c r="AB32" s="17"/>
    </row>
    <row r="33" spans="1:28" ht="15" customHeight="1" x14ac:dyDescent="0.2">
      <c r="A33" s="74"/>
      <c r="B33" s="74"/>
      <c r="C33" s="74"/>
      <c r="D33" s="74"/>
      <c r="E33" s="74"/>
      <c r="F33" s="74"/>
      <c r="G33" s="16"/>
      <c r="H33" s="16"/>
      <c r="I33" s="16"/>
      <c r="J33" s="81"/>
      <c r="K33" s="80"/>
      <c r="L33" s="80"/>
      <c r="M33" s="16"/>
      <c r="N33" s="16"/>
      <c r="O33" s="16"/>
      <c r="P33" s="76"/>
      <c r="Q33" s="76"/>
      <c r="R33" s="76"/>
      <c r="S33" s="76"/>
      <c r="T33" s="17"/>
      <c r="U33" s="16">
        <v>0</v>
      </c>
      <c r="V33" s="17"/>
      <c r="W33" s="80"/>
      <c r="X33" s="80"/>
      <c r="Y33" s="80"/>
      <c r="Z33" s="17"/>
      <c r="AA33" s="16">
        <v>0</v>
      </c>
      <c r="AB33" s="17"/>
    </row>
    <row r="34" spans="1:28" ht="15" customHeight="1" x14ac:dyDescent="0.2">
      <c r="A34" s="74" t="s">
        <v>87</v>
      </c>
      <c r="B34" s="74"/>
      <c r="C34" s="74"/>
      <c r="D34" s="74"/>
      <c r="E34" s="74"/>
      <c r="F34" s="74"/>
      <c r="G34" s="16"/>
      <c r="H34" s="16">
        <v>2</v>
      </c>
      <c r="I34" s="16"/>
      <c r="J34" s="75"/>
      <c r="K34" s="75"/>
      <c r="L34" s="75"/>
      <c r="M34" s="16"/>
      <c r="N34" s="16"/>
      <c r="O34" s="16"/>
      <c r="P34" s="76"/>
      <c r="Q34" s="76"/>
      <c r="R34" s="76"/>
      <c r="S34" s="76"/>
      <c r="T34" s="17"/>
      <c r="U34" s="16">
        <v>0</v>
      </c>
      <c r="V34" s="17"/>
      <c r="W34" s="80"/>
      <c r="X34" s="80"/>
      <c r="Y34" s="80"/>
      <c r="Z34" s="17"/>
      <c r="AA34" s="16">
        <v>0</v>
      </c>
      <c r="AB34" s="17"/>
    </row>
    <row r="35" spans="1:28" ht="15" customHeight="1" x14ac:dyDescent="0.2">
      <c r="A35" s="74" t="s">
        <v>64</v>
      </c>
      <c r="B35" s="74"/>
      <c r="C35" s="74"/>
      <c r="D35" s="74"/>
      <c r="E35" s="74"/>
      <c r="F35" s="74"/>
      <c r="G35" s="16"/>
      <c r="H35" s="16">
        <v>4</v>
      </c>
      <c r="I35" s="16"/>
      <c r="J35" s="75"/>
      <c r="K35" s="75"/>
      <c r="L35" s="75"/>
      <c r="M35" s="16"/>
      <c r="N35" s="16"/>
      <c r="O35" s="16"/>
      <c r="P35" s="76"/>
      <c r="Q35" s="76"/>
      <c r="R35" s="76"/>
      <c r="S35" s="76"/>
      <c r="T35" s="17"/>
      <c r="U35" s="16">
        <v>0</v>
      </c>
      <c r="V35" s="17"/>
      <c r="W35" s="80"/>
      <c r="X35" s="80"/>
      <c r="Y35" s="80"/>
      <c r="Z35" s="17"/>
      <c r="AA35" s="16">
        <v>0</v>
      </c>
      <c r="AB35" s="17"/>
    </row>
    <row r="36" spans="1:28" ht="15" customHeight="1" x14ac:dyDescent="0.2">
      <c r="A36" s="74" t="s">
        <v>88</v>
      </c>
      <c r="B36" s="74"/>
      <c r="C36" s="74"/>
      <c r="D36" s="74"/>
      <c r="E36" s="74"/>
      <c r="F36" s="74"/>
      <c r="G36" s="16"/>
      <c r="H36" s="16">
        <v>1</v>
      </c>
      <c r="I36" s="16"/>
      <c r="J36" s="81"/>
      <c r="K36" s="80"/>
      <c r="L36" s="80"/>
      <c r="M36" s="16"/>
      <c r="N36" s="16"/>
      <c r="O36" s="16"/>
      <c r="P36" s="76"/>
      <c r="Q36" s="76"/>
      <c r="R36" s="76"/>
      <c r="S36" s="76"/>
      <c r="T36" s="17"/>
      <c r="U36" s="16">
        <v>0</v>
      </c>
      <c r="V36" s="17"/>
      <c r="W36" s="80"/>
      <c r="X36" s="80"/>
      <c r="Y36" s="80"/>
      <c r="Z36" s="17"/>
      <c r="AA36" s="16">
        <v>0</v>
      </c>
      <c r="AB36" s="17"/>
    </row>
    <row r="37" spans="1:28" ht="15" customHeight="1" x14ac:dyDescent="0.2">
      <c r="A37" s="74" t="s">
        <v>89</v>
      </c>
      <c r="B37" s="74"/>
      <c r="C37" s="74"/>
      <c r="D37" s="74"/>
      <c r="E37" s="74"/>
      <c r="F37" s="74"/>
      <c r="G37" s="16"/>
      <c r="H37" s="16">
        <v>2</v>
      </c>
      <c r="I37" s="16"/>
      <c r="J37" s="80"/>
      <c r="K37" s="80"/>
      <c r="L37" s="80"/>
      <c r="M37" s="16"/>
      <c r="N37" s="16"/>
      <c r="O37" s="16"/>
      <c r="P37" s="76"/>
      <c r="Q37" s="76"/>
      <c r="R37" s="76"/>
      <c r="S37" s="76"/>
      <c r="T37" s="17"/>
      <c r="U37" s="16">
        <v>0</v>
      </c>
      <c r="V37" s="17"/>
      <c r="W37" s="80"/>
      <c r="X37" s="80"/>
      <c r="Y37" s="8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96" t="s">
        <v>28</v>
      </c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W39" s="70" t="s">
        <v>34</v>
      </c>
      <c r="X39" s="70"/>
      <c r="Y39" s="70"/>
      <c r="Z39" s="70"/>
      <c r="AA39" s="70"/>
      <c r="AB39" s="70"/>
    </row>
    <row r="40" spans="1:28" ht="22.5" customHeight="1" x14ac:dyDescent="0.2">
      <c r="A40" s="82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4"/>
      <c r="W40" s="88"/>
      <c r="X40" s="89"/>
      <c r="Y40" s="89"/>
      <c r="Z40" s="89"/>
      <c r="AA40" s="89"/>
      <c r="AB40" s="90"/>
    </row>
    <row r="41" spans="1:28" ht="26.25" customHeight="1" x14ac:dyDescent="0.2">
      <c r="A41" s="85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7"/>
      <c r="V41" s="91"/>
      <c r="W41" s="92" t="s">
        <v>29</v>
      </c>
      <c r="X41" s="70"/>
      <c r="Y41" s="70"/>
      <c r="Z41" s="70"/>
      <c r="AA41" s="70"/>
      <c r="AB41" s="70"/>
    </row>
    <row r="42" spans="1:28" ht="22.5" customHeight="1" x14ac:dyDescent="0.2">
      <c r="A42" s="85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7"/>
      <c r="V42" s="91"/>
      <c r="W42" s="93"/>
      <c r="X42" s="94"/>
      <c r="Y42" s="94"/>
      <c r="Z42" s="94"/>
      <c r="AA42" s="94"/>
      <c r="AB42" s="95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C42"/>
  <sheetViews>
    <sheetView showGridLines="0" tabSelected="1" view="pageBreakPreview" topLeftCell="A10" zoomScaleNormal="100" zoomScaleSheetLayoutView="110" workbookViewId="0">
      <selection activeCell="A18" sqref="A18:H3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8"/>
      <c r="B1" s="6"/>
      <c r="I1" s="39" t="s">
        <v>33</v>
      </c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3"/>
    </row>
    <row r="2" spans="1:29" ht="37.5" customHeight="1" x14ac:dyDescent="0.2">
      <c r="A2" s="38"/>
      <c r="B2" s="6"/>
      <c r="I2" s="41" t="s">
        <v>32</v>
      </c>
      <c r="J2" s="42"/>
      <c r="K2" s="42"/>
      <c r="L2" s="42"/>
      <c r="M2" s="42"/>
      <c r="N2" s="42"/>
      <c r="O2" s="4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3" t="s">
        <v>1</v>
      </c>
      <c r="B4" s="43"/>
      <c r="C4" s="43"/>
      <c r="D4" s="43"/>
      <c r="E4" s="43"/>
      <c r="F4" s="44"/>
      <c r="G4" s="45"/>
      <c r="H4" s="45"/>
      <c r="I4" s="45"/>
      <c r="J4" s="45"/>
      <c r="K4" s="45"/>
      <c r="L4" s="45"/>
      <c r="M4" s="45"/>
      <c r="N4" s="46" t="s">
        <v>11</v>
      </c>
      <c r="O4" s="46"/>
      <c r="P4" s="46"/>
      <c r="Q4" s="46"/>
      <c r="R4" s="46"/>
      <c r="S4" s="46"/>
      <c r="T4" s="46"/>
      <c r="U4" s="47" t="s">
        <v>66</v>
      </c>
      <c r="V4" s="48"/>
      <c r="W4" s="48"/>
      <c r="X4" s="48"/>
      <c r="Y4" s="48"/>
      <c r="Z4" s="48"/>
      <c r="AA4" s="48"/>
      <c r="AB4" s="49"/>
      <c r="AC4" s="3"/>
    </row>
    <row r="5" spans="1:29" ht="24" customHeight="1" x14ac:dyDescent="0.2">
      <c r="A5" s="43" t="s">
        <v>5</v>
      </c>
      <c r="B5" s="43"/>
      <c r="C5" s="43"/>
      <c r="D5" s="43"/>
      <c r="E5" s="43"/>
      <c r="F5" s="44"/>
      <c r="G5" s="50" t="s">
        <v>61</v>
      </c>
      <c r="H5" s="50"/>
      <c r="I5" s="50"/>
      <c r="J5" s="50"/>
      <c r="K5" s="50"/>
      <c r="L5" s="50"/>
      <c r="M5" s="50"/>
      <c r="N5" s="43" t="s">
        <v>9</v>
      </c>
      <c r="O5" s="43"/>
      <c r="P5" s="43"/>
      <c r="Q5" s="43"/>
      <c r="R5" s="43"/>
      <c r="S5" s="43"/>
      <c r="T5" s="43"/>
      <c r="U5" s="57">
        <v>44417</v>
      </c>
      <c r="V5" s="57"/>
      <c r="W5" s="57"/>
      <c r="X5" s="25" t="s">
        <v>30</v>
      </c>
      <c r="Y5" s="58">
        <v>0.375</v>
      </c>
      <c r="Z5" s="59"/>
      <c r="AA5" s="59"/>
      <c r="AB5" s="59"/>
    </row>
    <row r="6" spans="1:29" ht="24" customHeight="1" x14ac:dyDescent="0.2">
      <c r="A6" s="53" t="s">
        <v>7</v>
      </c>
      <c r="B6" s="53"/>
      <c r="C6" s="53"/>
      <c r="D6" s="53"/>
      <c r="E6" s="53"/>
      <c r="F6" s="54"/>
      <c r="G6" s="50" t="s">
        <v>62</v>
      </c>
      <c r="H6" s="50"/>
      <c r="I6" s="50"/>
      <c r="J6" s="50"/>
      <c r="K6" s="50"/>
      <c r="L6" s="50"/>
      <c r="M6" s="50"/>
      <c r="N6" s="60" t="s">
        <v>0</v>
      </c>
      <c r="O6" s="60"/>
      <c r="P6" s="60"/>
      <c r="Q6" s="60"/>
      <c r="R6" s="60"/>
      <c r="S6" s="60"/>
      <c r="T6" s="60"/>
      <c r="U6" s="57">
        <v>44417</v>
      </c>
      <c r="V6" s="57"/>
      <c r="W6" s="57"/>
      <c r="X6" s="25" t="s">
        <v>30</v>
      </c>
      <c r="Y6" s="58">
        <v>0.40972222222222227</v>
      </c>
      <c r="Z6" s="59"/>
      <c r="AA6" s="59"/>
      <c r="AB6" s="59"/>
    </row>
    <row r="7" spans="1:29" ht="24" customHeight="1" x14ac:dyDescent="0.2">
      <c r="A7" s="43" t="s">
        <v>10</v>
      </c>
      <c r="B7" s="43"/>
      <c r="C7" s="43"/>
      <c r="D7" s="43"/>
      <c r="E7" s="43"/>
      <c r="F7" s="44"/>
      <c r="G7" s="50" t="s">
        <v>63</v>
      </c>
      <c r="H7" s="50"/>
      <c r="I7" s="50"/>
      <c r="J7" s="50"/>
      <c r="K7" s="50"/>
      <c r="L7" s="50"/>
      <c r="M7" s="50"/>
      <c r="N7" s="51" t="s">
        <v>35</v>
      </c>
      <c r="O7" s="51"/>
      <c r="P7" s="51"/>
      <c r="Q7" s="51"/>
      <c r="R7" s="51"/>
      <c r="S7" s="51"/>
      <c r="T7" s="51"/>
      <c r="U7" s="52" t="s">
        <v>67</v>
      </c>
      <c r="V7" s="52"/>
      <c r="W7" s="52"/>
      <c r="X7" s="52"/>
      <c r="Y7" s="52"/>
      <c r="Z7" s="52"/>
      <c r="AA7" s="52"/>
      <c r="AB7" s="52"/>
    </row>
    <row r="8" spans="1:29" ht="24" customHeight="1" x14ac:dyDescent="0.2">
      <c r="A8" s="53" t="s">
        <v>2</v>
      </c>
      <c r="B8" s="53"/>
      <c r="C8" s="53"/>
      <c r="D8" s="53"/>
      <c r="E8" s="53"/>
      <c r="F8" s="54"/>
      <c r="G8" s="55">
        <v>514059</v>
      </c>
      <c r="H8" s="55"/>
      <c r="I8" s="55"/>
      <c r="J8" s="55"/>
      <c r="K8" s="55"/>
      <c r="L8" s="55"/>
      <c r="M8" s="55"/>
      <c r="N8" s="51" t="s">
        <v>4</v>
      </c>
      <c r="O8" s="51"/>
      <c r="P8" s="51"/>
      <c r="Q8" s="51"/>
      <c r="R8" s="51"/>
      <c r="S8" s="51"/>
      <c r="T8" s="51"/>
      <c r="U8" s="56" t="s">
        <v>68</v>
      </c>
      <c r="V8" s="56"/>
      <c r="W8" s="56"/>
      <c r="X8" s="56"/>
      <c r="Y8" s="56"/>
      <c r="Z8" s="56"/>
      <c r="AA8" s="56"/>
      <c r="AB8" s="56"/>
    </row>
    <row r="9" spans="1:29" ht="24" customHeight="1" x14ac:dyDescent="0.2">
      <c r="A9" s="53" t="s">
        <v>6</v>
      </c>
      <c r="B9" s="53"/>
      <c r="C9" s="53"/>
      <c r="D9" s="53"/>
      <c r="E9" s="53"/>
      <c r="F9" s="54"/>
      <c r="G9" s="61" t="s">
        <v>75</v>
      </c>
      <c r="H9" s="61"/>
      <c r="I9" s="61"/>
      <c r="J9" s="61"/>
      <c r="K9" s="61"/>
      <c r="L9" s="61"/>
      <c r="M9" s="61"/>
      <c r="N9" s="51" t="s">
        <v>31</v>
      </c>
      <c r="O9" s="51"/>
      <c r="P9" s="51"/>
      <c r="Q9" s="51"/>
      <c r="R9" s="51"/>
      <c r="S9" s="51"/>
      <c r="T9" s="51"/>
      <c r="U9" s="52" t="s">
        <v>78</v>
      </c>
      <c r="V9" s="52"/>
      <c r="W9" s="52"/>
      <c r="X9" s="52"/>
      <c r="Y9" s="52"/>
      <c r="Z9" s="52"/>
      <c r="AA9" s="52"/>
      <c r="AB9" s="52"/>
    </row>
    <row r="10" spans="1:29" ht="6" customHeight="1" x14ac:dyDescent="0.2">
      <c r="U10" s="8"/>
      <c r="V10" s="8"/>
      <c r="W10" s="8"/>
    </row>
    <row r="11" spans="1:29" ht="23.25" customHeight="1" x14ac:dyDescent="0.2">
      <c r="A11" s="62" t="s">
        <v>8</v>
      </c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19"/>
      <c r="N11" s="51" t="s">
        <v>12</v>
      </c>
      <c r="O11" s="51"/>
      <c r="P11" s="51"/>
      <c r="Q11" s="51"/>
      <c r="R11" s="51"/>
      <c r="S11" s="50"/>
      <c r="T11" s="50"/>
      <c r="U11" s="51" t="s">
        <v>13</v>
      </c>
      <c r="V11" s="51"/>
      <c r="W11" s="51"/>
      <c r="X11" s="51"/>
      <c r="Y11" s="51"/>
      <c r="Z11" s="51"/>
      <c r="AA11" s="47"/>
      <c r="AB11" s="49"/>
    </row>
    <row r="12" spans="1:29" ht="6" customHeight="1" x14ac:dyDescent="0.2"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</row>
    <row r="13" spans="1:29" ht="36" customHeight="1" x14ac:dyDescent="0.2">
      <c r="A13" s="70" t="s">
        <v>60</v>
      </c>
      <c r="B13" s="64"/>
      <c r="C13" s="64"/>
      <c r="D13" s="64"/>
      <c r="E13" s="64"/>
      <c r="F13" s="26" t="s">
        <v>37</v>
      </c>
      <c r="G13" s="63" t="s">
        <v>14</v>
      </c>
      <c r="H13" s="63"/>
      <c r="I13" s="63"/>
      <c r="J13" s="71" t="s">
        <v>72</v>
      </c>
      <c r="K13" s="72"/>
      <c r="L13" s="63" t="s">
        <v>15</v>
      </c>
      <c r="M13" s="63"/>
      <c r="N13" s="63"/>
      <c r="O13" s="47">
        <v>0</v>
      </c>
      <c r="P13" s="48"/>
      <c r="Q13" s="49"/>
      <c r="R13" s="63" t="s">
        <v>16</v>
      </c>
      <c r="S13" s="63"/>
      <c r="T13" s="63"/>
      <c r="U13" s="50">
        <v>1</v>
      </c>
      <c r="V13" s="50"/>
      <c r="W13" s="63" t="s">
        <v>17</v>
      </c>
      <c r="X13" s="63"/>
      <c r="Y13" s="63"/>
      <c r="Z13" s="63"/>
      <c r="AA13" s="50">
        <v>2</v>
      </c>
      <c r="AB13" s="50"/>
    </row>
    <row r="14" spans="1:29" ht="27" customHeight="1" x14ac:dyDescent="0.2">
      <c r="A14" s="64" t="s">
        <v>3</v>
      </c>
      <c r="B14" s="64"/>
      <c r="C14" s="64"/>
      <c r="D14" s="64"/>
      <c r="E14" s="64"/>
      <c r="F14" s="26"/>
      <c r="G14" s="63" t="s">
        <v>18</v>
      </c>
      <c r="H14" s="63"/>
      <c r="I14" s="63"/>
      <c r="J14" s="63"/>
      <c r="K14" s="63"/>
      <c r="L14" s="63"/>
      <c r="M14" s="65"/>
      <c r="N14" s="66"/>
      <c r="O14" s="66"/>
      <c r="P14" s="66"/>
      <c r="Q14" s="67"/>
      <c r="R14" s="63" t="s">
        <v>19</v>
      </c>
      <c r="S14" s="63"/>
      <c r="T14" s="63"/>
      <c r="U14" s="63"/>
      <c r="V14" s="63"/>
      <c r="W14" s="68"/>
      <c r="X14" s="68"/>
      <c r="Y14" s="68"/>
      <c r="Z14" s="68"/>
      <c r="AA14" s="68"/>
      <c r="AB14" s="68"/>
    </row>
    <row r="15" spans="1:29" ht="3" customHeight="1" x14ac:dyDescent="0.2">
      <c r="A15" s="21"/>
      <c r="B15" s="21"/>
      <c r="C15" s="21"/>
      <c r="D15" s="21"/>
      <c r="E15" s="21"/>
      <c r="F15" s="22"/>
      <c r="G15" s="23"/>
      <c r="H15" s="23"/>
      <c r="I15" s="23"/>
      <c r="J15" s="23"/>
      <c r="K15" s="23"/>
      <c r="L15" s="23"/>
      <c r="M15" s="12"/>
      <c r="N15" s="12"/>
      <c r="O15" s="12"/>
      <c r="P15" s="12"/>
      <c r="Q15" s="12"/>
      <c r="R15" s="24"/>
      <c r="S15" s="24"/>
      <c r="T15" s="24"/>
      <c r="U15" s="24"/>
      <c r="V15" s="24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7" t="s">
        <v>20</v>
      </c>
      <c r="B17" s="78"/>
      <c r="C17" s="78"/>
      <c r="D17" s="78"/>
      <c r="E17" s="78"/>
      <c r="F17" s="79"/>
      <c r="G17" s="73" t="s">
        <v>21</v>
      </c>
      <c r="H17" s="73"/>
      <c r="I17" s="73"/>
      <c r="J17" s="73" t="s">
        <v>23</v>
      </c>
      <c r="K17" s="73"/>
      <c r="L17" s="73"/>
      <c r="M17" s="73" t="s">
        <v>24</v>
      </c>
      <c r="N17" s="73"/>
      <c r="O17" s="73"/>
      <c r="P17" s="73" t="s">
        <v>22</v>
      </c>
      <c r="Q17" s="73"/>
      <c r="R17" s="73"/>
      <c r="S17" s="73"/>
      <c r="T17" s="73" t="s">
        <v>25</v>
      </c>
      <c r="U17" s="73"/>
      <c r="V17" s="73"/>
      <c r="W17" s="73" t="s">
        <v>26</v>
      </c>
      <c r="X17" s="73"/>
      <c r="Y17" s="73"/>
      <c r="Z17" s="73" t="s">
        <v>27</v>
      </c>
      <c r="AA17" s="73"/>
      <c r="AB17" s="73"/>
    </row>
    <row r="18" spans="1:28" ht="15" customHeight="1" x14ac:dyDescent="0.2">
      <c r="A18" s="74" t="s">
        <v>76</v>
      </c>
      <c r="B18" s="74"/>
      <c r="C18" s="74"/>
      <c r="D18" s="74"/>
      <c r="E18" s="74"/>
      <c r="F18" s="74"/>
      <c r="G18" s="16"/>
      <c r="H18" s="16">
        <v>7</v>
      </c>
      <c r="I18" s="16"/>
      <c r="J18" s="75"/>
      <c r="K18" s="75"/>
      <c r="L18" s="75"/>
      <c r="M18" s="16"/>
      <c r="N18" s="16"/>
      <c r="O18" s="16"/>
      <c r="P18" s="76"/>
      <c r="Q18" s="76"/>
      <c r="R18" s="76"/>
      <c r="S18" s="76"/>
      <c r="T18" s="17"/>
      <c r="U18" s="16">
        <v>0</v>
      </c>
      <c r="V18" s="17"/>
      <c r="W18" s="76"/>
      <c r="X18" s="76"/>
      <c r="Y18" s="76"/>
      <c r="Z18" s="17"/>
      <c r="AA18" s="16">
        <v>0</v>
      </c>
      <c r="AB18" s="17"/>
    </row>
    <row r="19" spans="1:28" ht="15" customHeight="1" x14ac:dyDescent="0.2">
      <c r="A19" s="74" t="s">
        <v>79</v>
      </c>
      <c r="B19" s="74"/>
      <c r="C19" s="74"/>
      <c r="D19" s="74"/>
      <c r="E19" s="74"/>
      <c r="F19" s="74"/>
      <c r="G19" s="16"/>
      <c r="H19" s="16">
        <v>6</v>
      </c>
      <c r="I19" s="16"/>
      <c r="J19" s="75"/>
      <c r="K19" s="75"/>
      <c r="L19" s="75"/>
      <c r="M19" s="16"/>
      <c r="N19" s="16"/>
      <c r="O19" s="16"/>
      <c r="P19" s="76"/>
      <c r="Q19" s="76"/>
      <c r="R19" s="76"/>
      <c r="S19" s="76"/>
      <c r="T19" s="17"/>
      <c r="U19" s="16">
        <v>0</v>
      </c>
      <c r="V19" s="17"/>
      <c r="W19" s="76"/>
      <c r="X19" s="76"/>
      <c r="Y19" s="76"/>
      <c r="Z19" s="17"/>
      <c r="AA19" s="16">
        <v>0</v>
      </c>
      <c r="AB19" s="17"/>
    </row>
    <row r="20" spans="1:28" ht="15" customHeight="1" x14ac:dyDescent="0.2">
      <c r="A20" s="74" t="s">
        <v>73</v>
      </c>
      <c r="B20" s="74"/>
      <c r="C20" s="74"/>
      <c r="D20" s="74"/>
      <c r="E20" s="74"/>
      <c r="F20" s="74"/>
      <c r="G20" s="16"/>
      <c r="H20" s="16">
        <v>2</v>
      </c>
      <c r="I20" s="16"/>
      <c r="J20" s="75"/>
      <c r="K20" s="75"/>
      <c r="L20" s="75"/>
      <c r="M20" s="16"/>
      <c r="N20" s="16"/>
      <c r="O20" s="16"/>
      <c r="P20" s="76"/>
      <c r="Q20" s="76"/>
      <c r="R20" s="76"/>
      <c r="S20" s="76"/>
      <c r="T20" s="17"/>
      <c r="U20" s="16">
        <v>0</v>
      </c>
      <c r="V20" s="17"/>
      <c r="W20" s="76"/>
      <c r="X20" s="76"/>
      <c r="Y20" s="76"/>
      <c r="Z20" s="18"/>
      <c r="AA20" s="16">
        <v>0</v>
      </c>
      <c r="AB20" s="17"/>
    </row>
    <row r="21" spans="1:28" ht="15" customHeight="1" x14ac:dyDescent="0.2">
      <c r="A21" s="74" t="s">
        <v>71</v>
      </c>
      <c r="B21" s="74"/>
      <c r="C21" s="74"/>
      <c r="D21" s="74"/>
      <c r="E21" s="74"/>
      <c r="F21" s="74"/>
      <c r="G21" s="16"/>
      <c r="H21" s="16">
        <v>6</v>
      </c>
      <c r="I21" s="16"/>
      <c r="J21" s="75"/>
      <c r="K21" s="75"/>
      <c r="L21" s="75"/>
      <c r="M21" s="16"/>
      <c r="N21" s="16"/>
      <c r="O21" s="16"/>
      <c r="P21" s="76"/>
      <c r="Q21" s="76"/>
      <c r="R21" s="76"/>
      <c r="S21" s="76"/>
      <c r="T21" s="17"/>
      <c r="U21" s="16">
        <v>0</v>
      </c>
      <c r="V21" s="17"/>
      <c r="W21" s="80"/>
      <c r="X21" s="80"/>
      <c r="Y21" s="80"/>
      <c r="Z21" s="17"/>
      <c r="AA21" s="16">
        <v>0</v>
      </c>
      <c r="AB21" s="17"/>
    </row>
    <row r="22" spans="1:28" ht="15" customHeight="1" x14ac:dyDescent="0.2">
      <c r="A22" s="74" t="s">
        <v>70</v>
      </c>
      <c r="B22" s="74"/>
      <c r="C22" s="74"/>
      <c r="D22" s="74"/>
      <c r="E22" s="74"/>
      <c r="F22" s="74"/>
      <c r="G22" s="16"/>
      <c r="H22" s="16">
        <v>82</v>
      </c>
      <c r="I22" s="16"/>
      <c r="J22" s="75"/>
      <c r="K22" s="75"/>
      <c r="L22" s="75"/>
      <c r="M22" s="16"/>
      <c r="N22" s="16"/>
      <c r="O22" s="16"/>
      <c r="P22" s="76"/>
      <c r="Q22" s="76"/>
      <c r="R22" s="76"/>
      <c r="S22" s="76"/>
      <c r="T22" s="17"/>
      <c r="U22" s="16">
        <v>0</v>
      </c>
      <c r="V22" s="17"/>
      <c r="W22" s="80"/>
      <c r="X22" s="80"/>
      <c r="Y22" s="80"/>
      <c r="Z22" s="17"/>
      <c r="AA22" s="16">
        <v>0</v>
      </c>
      <c r="AB22" s="17"/>
    </row>
    <row r="23" spans="1:28" ht="15" customHeight="1" x14ac:dyDescent="0.2">
      <c r="A23" s="74" t="s">
        <v>80</v>
      </c>
      <c r="B23" s="74"/>
      <c r="C23" s="74"/>
      <c r="D23" s="74"/>
      <c r="E23" s="74"/>
      <c r="F23" s="74"/>
      <c r="G23" s="16"/>
      <c r="H23" s="16">
        <v>1</v>
      </c>
      <c r="I23" s="16"/>
      <c r="J23" s="75"/>
      <c r="K23" s="75"/>
      <c r="L23" s="75"/>
      <c r="M23" s="16"/>
      <c r="N23" s="16"/>
      <c r="O23" s="16"/>
      <c r="P23" s="76"/>
      <c r="Q23" s="76"/>
      <c r="R23" s="76"/>
      <c r="S23" s="76"/>
      <c r="T23" s="17"/>
      <c r="U23" s="16">
        <v>0</v>
      </c>
      <c r="V23" s="17"/>
      <c r="W23" s="80"/>
      <c r="X23" s="80"/>
      <c r="Y23" s="80"/>
      <c r="Z23" s="17"/>
      <c r="AA23" s="16">
        <v>0</v>
      </c>
      <c r="AB23" s="17"/>
    </row>
    <row r="24" spans="1:28" ht="15" customHeight="1" x14ac:dyDescent="0.2">
      <c r="A24" s="74" t="s">
        <v>81</v>
      </c>
      <c r="B24" s="74"/>
      <c r="C24" s="74"/>
      <c r="D24" s="74"/>
      <c r="E24" s="74"/>
      <c r="F24" s="74"/>
      <c r="G24" s="16"/>
      <c r="H24" s="16">
        <v>1</v>
      </c>
      <c r="I24" s="16"/>
      <c r="J24" s="75"/>
      <c r="K24" s="75"/>
      <c r="L24" s="75"/>
      <c r="M24" s="16"/>
      <c r="N24" s="16"/>
      <c r="O24" s="16"/>
      <c r="P24" s="76"/>
      <c r="Q24" s="76"/>
      <c r="R24" s="76"/>
      <c r="S24" s="76"/>
      <c r="T24" s="17"/>
      <c r="U24" s="16">
        <v>0</v>
      </c>
      <c r="V24" s="17"/>
      <c r="W24" s="80"/>
      <c r="X24" s="80"/>
      <c r="Y24" s="80"/>
      <c r="Z24" s="17"/>
      <c r="AA24" s="16">
        <v>0</v>
      </c>
      <c r="AB24" s="17"/>
    </row>
    <row r="25" spans="1:28" ht="15" customHeight="1" x14ac:dyDescent="0.2">
      <c r="A25" s="74" t="s">
        <v>82</v>
      </c>
      <c r="B25" s="74"/>
      <c r="C25" s="74"/>
      <c r="D25" s="74"/>
      <c r="E25" s="74"/>
      <c r="F25" s="74"/>
      <c r="G25" s="16"/>
      <c r="H25" s="16">
        <v>1</v>
      </c>
      <c r="I25" s="16"/>
      <c r="J25" s="75"/>
      <c r="K25" s="75"/>
      <c r="L25" s="75"/>
      <c r="M25" s="16"/>
      <c r="N25" s="16"/>
      <c r="O25" s="16"/>
      <c r="P25" s="76"/>
      <c r="Q25" s="76"/>
      <c r="R25" s="76"/>
      <c r="S25" s="76"/>
      <c r="T25" s="17"/>
      <c r="U25" s="16">
        <v>0</v>
      </c>
      <c r="V25" s="17"/>
      <c r="W25" s="80"/>
      <c r="X25" s="80"/>
      <c r="Y25" s="80"/>
      <c r="Z25" s="17"/>
      <c r="AA25" s="16">
        <v>0</v>
      </c>
      <c r="AB25" s="17"/>
    </row>
    <row r="26" spans="1:28" ht="15" customHeight="1" x14ac:dyDescent="0.2">
      <c r="A26" s="74" t="s">
        <v>83</v>
      </c>
      <c r="B26" s="74"/>
      <c r="C26" s="74"/>
      <c r="D26" s="74"/>
      <c r="E26" s="74"/>
      <c r="F26" s="74"/>
      <c r="G26" s="16"/>
      <c r="H26" s="16">
        <v>2</v>
      </c>
      <c r="I26" s="16"/>
      <c r="J26" s="75"/>
      <c r="K26" s="75"/>
      <c r="L26" s="75"/>
      <c r="M26" s="16"/>
      <c r="N26" s="16"/>
      <c r="O26" s="16"/>
      <c r="P26" s="76"/>
      <c r="Q26" s="76"/>
      <c r="R26" s="76"/>
      <c r="S26" s="76"/>
      <c r="T26" s="17"/>
      <c r="U26" s="16">
        <v>0</v>
      </c>
      <c r="V26" s="17"/>
      <c r="W26" s="80"/>
      <c r="X26" s="80"/>
      <c r="Y26" s="80"/>
      <c r="Z26" s="17"/>
      <c r="AA26" s="16">
        <v>0</v>
      </c>
      <c r="AB26" s="17"/>
    </row>
    <row r="27" spans="1:28" ht="15" customHeight="1" x14ac:dyDescent="0.2">
      <c r="A27" s="74" t="s">
        <v>84</v>
      </c>
      <c r="B27" s="74"/>
      <c r="C27" s="74"/>
      <c r="D27" s="74"/>
      <c r="E27" s="74"/>
      <c r="F27" s="74"/>
      <c r="G27" s="16"/>
      <c r="H27" s="16">
        <v>2</v>
      </c>
      <c r="I27" s="16"/>
      <c r="J27" s="75"/>
      <c r="K27" s="75"/>
      <c r="L27" s="75"/>
      <c r="M27" s="16"/>
      <c r="N27" s="16"/>
      <c r="O27" s="16"/>
      <c r="P27" s="76"/>
      <c r="Q27" s="76"/>
      <c r="R27" s="76"/>
      <c r="S27" s="76"/>
      <c r="T27" s="17"/>
      <c r="U27" s="16">
        <v>0</v>
      </c>
      <c r="V27" s="17"/>
      <c r="W27" s="80"/>
      <c r="X27" s="80"/>
      <c r="Y27" s="80"/>
      <c r="Z27" s="17"/>
      <c r="AA27" s="16">
        <v>0</v>
      </c>
      <c r="AB27" s="17"/>
    </row>
    <row r="28" spans="1:28" ht="15" customHeight="1" x14ac:dyDescent="0.2">
      <c r="A28" s="74" t="s">
        <v>65</v>
      </c>
      <c r="B28" s="74"/>
      <c r="C28" s="74"/>
      <c r="D28" s="74"/>
      <c r="E28" s="74"/>
      <c r="F28" s="74"/>
      <c r="G28" s="16"/>
      <c r="H28" s="16">
        <v>3</v>
      </c>
      <c r="I28" s="16"/>
      <c r="J28" s="75"/>
      <c r="K28" s="75"/>
      <c r="L28" s="75"/>
      <c r="M28" s="16"/>
      <c r="N28" s="16"/>
      <c r="O28" s="16"/>
      <c r="P28" s="76"/>
      <c r="Q28" s="76"/>
      <c r="R28" s="76"/>
      <c r="S28" s="76"/>
      <c r="T28" s="17"/>
      <c r="U28" s="16">
        <v>0</v>
      </c>
      <c r="V28" s="17"/>
      <c r="W28" s="80"/>
      <c r="X28" s="80"/>
      <c r="Y28" s="80"/>
      <c r="Z28" s="17"/>
      <c r="AA28" s="16">
        <v>0</v>
      </c>
      <c r="AB28" s="17"/>
    </row>
    <row r="29" spans="1:28" ht="15" customHeight="1" x14ac:dyDescent="0.2">
      <c r="A29" s="74" t="s">
        <v>69</v>
      </c>
      <c r="B29" s="74"/>
      <c r="C29" s="74"/>
      <c r="D29" s="74"/>
      <c r="E29" s="74"/>
      <c r="F29" s="74"/>
      <c r="G29" s="16"/>
      <c r="H29" s="16">
        <v>1</v>
      </c>
      <c r="I29" s="16"/>
      <c r="J29" s="75"/>
      <c r="K29" s="75"/>
      <c r="L29" s="75"/>
      <c r="M29" s="16"/>
      <c r="N29" s="16"/>
      <c r="O29" s="16"/>
      <c r="P29" s="76"/>
      <c r="Q29" s="76"/>
      <c r="R29" s="76"/>
      <c r="S29" s="76"/>
      <c r="T29" s="17"/>
      <c r="U29" s="16">
        <v>0</v>
      </c>
      <c r="V29" s="17"/>
      <c r="W29" s="80"/>
      <c r="X29" s="80"/>
      <c r="Y29" s="80"/>
      <c r="Z29" s="17"/>
      <c r="AA29" s="16">
        <v>0</v>
      </c>
      <c r="AB29" s="17"/>
    </row>
    <row r="30" spans="1:28" ht="15" customHeight="1" x14ac:dyDescent="0.2">
      <c r="A30" s="74" t="s">
        <v>85</v>
      </c>
      <c r="B30" s="74"/>
      <c r="C30" s="74"/>
      <c r="D30" s="74"/>
      <c r="E30" s="74"/>
      <c r="F30" s="74"/>
      <c r="G30" s="16"/>
      <c r="H30" s="16">
        <v>17</v>
      </c>
      <c r="I30" s="16"/>
      <c r="J30" s="75"/>
      <c r="K30" s="75"/>
      <c r="L30" s="75"/>
      <c r="M30" s="16"/>
      <c r="N30" s="16"/>
      <c r="O30" s="16"/>
      <c r="P30" s="76"/>
      <c r="Q30" s="76"/>
      <c r="R30" s="76"/>
      <c r="S30" s="76"/>
      <c r="T30" s="17"/>
      <c r="U30" s="16">
        <v>0</v>
      </c>
      <c r="V30" s="17"/>
      <c r="W30" s="80"/>
      <c r="X30" s="80"/>
      <c r="Y30" s="80"/>
      <c r="Z30" s="17"/>
      <c r="AA30" s="16">
        <v>0</v>
      </c>
      <c r="AB30" s="17"/>
    </row>
    <row r="31" spans="1:28" ht="15" customHeight="1" x14ac:dyDescent="0.2">
      <c r="A31" s="74" t="s">
        <v>74</v>
      </c>
      <c r="B31" s="74"/>
      <c r="C31" s="74"/>
      <c r="D31" s="74"/>
      <c r="E31" s="74"/>
      <c r="F31" s="74"/>
      <c r="G31" s="16"/>
      <c r="H31" s="16">
        <v>1</v>
      </c>
      <c r="I31" s="16"/>
      <c r="J31" s="75"/>
      <c r="K31" s="75"/>
      <c r="L31" s="75"/>
      <c r="M31" s="16"/>
      <c r="N31" s="16"/>
      <c r="O31" s="16"/>
      <c r="P31" s="76"/>
      <c r="Q31" s="76"/>
      <c r="R31" s="76"/>
      <c r="S31" s="76"/>
      <c r="T31" s="17"/>
      <c r="U31" s="16">
        <v>0</v>
      </c>
      <c r="V31" s="17"/>
      <c r="W31" s="80"/>
      <c r="X31" s="80"/>
      <c r="Y31" s="80"/>
      <c r="Z31" s="17"/>
      <c r="AA31" s="16">
        <v>0</v>
      </c>
      <c r="AB31" s="17"/>
    </row>
    <row r="32" spans="1:28" ht="15" customHeight="1" x14ac:dyDescent="0.2">
      <c r="A32" s="74" t="s">
        <v>86</v>
      </c>
      <c r="B32" s="74"/>
      <c r="C32" s="74"/>
      <c r="D32" s="74"/>
      <c r="E32" s="74"/>
      <c r="F32" s="74"/>
      <c r="G32" s="16"/>
      <c r="H32" s="16">
        <v>1</v>
      </c>
      <c r="I32" s="16"/>
      <c r="J32" s="75"/>
      <c r="K32" s="75"/>
      <c r="L32" s="75"/>
      <c r="M32" s="16"/>
      <c r="N32" s="16"/>
      <c r="O32" s="16"/>
      <c r="P32" s="76"/>
      <c r="Q32" s="76"/>
      <c r="R32" s="76"/>
      <c r="S32" s="76"/>
      <c r="T32" s="17"/>
      <c r="U32" s="16">
        <v>0</v>
      </c>
      <c r="V32" s="17"/>
      <c r="W32" s="80"/>
      <c r="X32" s="80"/>
      <c r="Y32" s="80"/>
      <c r="Z32" s="17"/>
      <c r="AA32" s="16">
        <v>0</v>
      </c>
      <c r="AB32" s="17"/>
    </row>
    <row r="33" spans="1:28" ht="15" customHeight="1" x14ac:dyDescent="0.2">
      <c r="A33" s="74" t="s">
        <v>77</v>
      </c>
      <c r="B33" s="74"/>
      <c r="C33" s="74"/>
      <c r="D33" s="74"/>
      <c r="E33" s="74"/>
      <c r="F33" s="74"/>
      <c r="G33" s="16"/>
      <c r="H33" s="16">
        <v>2</v>
      </c>
      <c r="I33" s="16"/>
      <c r="J33" s="81"/>
      <c r="K33" s="80"/>
      <c r="L33" s="80"/>
      <c r="M33" s="16"/>
      <c r="N33" s="16"/>
      <c r="O33" s="16"/>
      <c r="P33" s="76"/>
      <c r="Q33" s="76"/>
      <c r="R33" s="76"/>
      <c r="S33" s="76"/>
      <c r="T33" s="17"/>
      <c r="U33" s="16">
        <v>0</v>
      </c>
      <c r="V33" s="17"/>
      <c r="W33" s="80"/>
      <c r="X33" s="80"/>
      <c r="Y33" s="80"/>
      <c r="Z33" s="17"/>
      <c r="AA33" s="16">
        <v>0</v>
      </c>
      <c r="AB33" s="17"/>
    </row>
    <row r="34" spans="1:28" ht="15" customHeight="1" x14ac:dyDescent="0.2">
      <c r="A34" s="74" t="s">
        <v>87</v>
      </c>
      <c r="B34" s="74"/>
      <c r="C34" s="74"/>
      <c r="D34" s="74"/>
      <c r="E34" s="74"/>
      <c r="F34" s="74"/>
      <c r="G34" s="16"/>
      <c r="H34" s="16">
        <v>4</v>
      </c>
      <c r="I34" s="16"/>
      <c r="J34" s="75"/>
      <c r="K34" s="75"/>
      <c r="L34" s="75"/>
      <c r="M34" s="16"/>
      <c r="N34" s="16"/>
      <c r="O34" s="16"/>
      <c r="P34" s="76"/>
      <c r="Q34" s="76"/>
      <c r="R34" s="76"/>
      <c r="S34" s="76"/>
      <c r="T34" s="17"/>
      <c r="U34" s="16">
        <v>0</v>
      </c>
      <c r="V34" s="17"/>
      <c r="W34" s="80"/>
      <c r="X34" s="80"/>
      <c r="Y34" s="80"/>
      <c r="Z34" s="17"/>
      <c r="AA34" s="16">
        <v>0</v>
      </c>
      <c r="AB34" s="17"/>
    </row>
    <row r="35" spans="1:28" ht="15" customHeight="1" x14ac:dyDescent="0.2">
      <c r="A35" s="74"/>
      <c r="B35" s="74"/>
      <c r="C35" s="74"/>
      <c r="D35" s="74"/>
      <c r="E35" s="74"/>
      <c r="F35" s="74"/>
      <c r="G35" s="16"/>
      <c r="H35" s="16"/>
      <c r="I35" s="16"/>
      <c r="J35" s="75"/>
      <c r="K35" s="75"/>
      <c r="L35" s="75"/>
      <c r="M35" s="16"/>
      <c r="N35" s="16"/>
      <c r="O35" s="16"/>
      <c r="P35" s="76"/>
      <c r="Q35" s="76"/>
      <c r="R35" s="76"/>
      <c r="S35" s="76"/>
      <c r="T35" s="17"/>
      <c r="U35" s="16">
        <v>0</v>
      </c>
      <c r="V35" s="17"/>
      <c r="W35" s="80"/>
      <c r="X35" s="80"/>
      <c r="Y35" s="80"/>
      <c r="Z35" s="17"/>
      <c r="AA35" s="16">
        <v>0</v>
      </c>
      <c r="AB35" s="17"/>
    </row>
    <row r="36" spans="1:28" ht="15" customHeight="1" x14ac:dyDescent="0.2">
      <c r="A36" s="74"/>
      <c r="B36" s="74"/>
      <c r="C36" s="74"/>
      <c r="D36" s="74"/>
      <c r="E36" s="74"/>
      <c r="F36" s="74"/>
      <c r="G36" s="16"/>
      <c r="H36" s="16"/>
      <c r="I36" s="16"/>
      <c r="J36" s="81"/>
      <c r="K36" s="80"/>
      <c r="L36" s="80"/>
      <c r="M36" s="16"/>
      <c r="N36" s="16"/>
      <c r="O36" s="16"/>
      <c r="P36" s="76"/>
      <c r="Q36" s="76"/>
      <c r="R36" s="76"/>
      <c r="S36" s="76"/>
      <c r="T36" s="17"/>
      <c r="U36" s="16">
        <v>0</v>
      </c>
      <c r="V36" s="17"/>
      <c r="W36" s="80"/>
      <c r="X36" s="80"/>
      <c r="Y36" s="80"/>
      <c r="Z36" s="17"/>
      <c r="AA36" s="16">
        <v>0</v>
      </c>
      <c r="AB36" s="17"/>
    </row>
    <row r="37" spans="1:28" ht="15" customHeight="1" x14ac:dyDescent="0.2">
      <c r="A37" s="74"/>
      <c r="B37" s="74"/>
      <c r="C37" s="74"/>
      <c r="D37" s="74"/>
      <c r="E37" s="74"/>
      <c r="F37" s="74"/>
      <c r="G37" s="16"/>
      <c r="H37" s="16"/>
      <c r="I37" s="16"/>
      <c r="J37" s="80"/>
      <c r="K37" s="80"/>
      <c r="L37" s="80"/>
      <c r="M37" s="16"/>
      <c r="N37" s="16"/>
      <c r="O37" s="16"/>
      <c r="P37" s="76"/>
      <c r="Q37" s="76"/>
      <c r="R37" s="76"/>
      <c r="S37" s="76"/>
      <c r="T37" s="17"/>
      <c r="U37" s="16">
        <v>0</v>
      </c>
      <c r="V37" s="17"/>
      <c r="W37" s="80"/>
      <c r="X37" s="80"/>
      <c r="Y37" s="8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96" t="s">
        <v>28</v>
      </c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W39" s="70" t="s">
        <v>34</v>
      </c>
      <c r="X39" s="70"/>
      <c r="Y39" s="70"/>
      <c r="Z39" s="70"/>
      <c r="AA39" s="70"/>
      <c r="AB39" s="70"/>
    </row>
    <row r="40" spans="1:28" ht="22.5" customHeight="1" x14ac:dyDescent="0.2">
      <c r="A40" s="82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4"/>
      <c r="W40" s="88"/>
      <c r="X40" s="89"/>
      <c r="Y40" s="89"/>
      <c r="Z40" s="89"/>
      <c r="AA40" s="89"/>
      <c r="AB40" s="90"/>
    </row>
    <row r="41" spans="1:28" ht="26.25" customHeight="1" x14ac:dyDescent="0.2">
      <c r="A41" s="85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7"/>
      <c r="V41" s="91"/>
      <c r="W41" s="92" t="s">
        <v>29</v>
      </c>
      <c r="X41" s="70"/>
      <c r="Y41" s="70"/>
      <c r="Z41" s="70"/>
      <c r="AA41" s="70"/>
      <c r="AB41" s="70"/>
    </row>
    <row r="42" spans="1:28" ht="22.5" customHeight="1" x14ac:dyDescent="0.2">
      <c r="A42" s="85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7"/>
      <c r="V42" s="91"/>
      <c r="W42" s="93"/>
      <c r="X42" s="94"/>
      <c r="Y42" s="94"/>
      <c r="Z42" s="94"/>
      <c r="AA42" s="94"/>
      <c r="AB42" s="95"/>
    </row>
  </sheetData>
  <sheetProtection formatCells="0" insertRows="0" deleteRows="0" selectLockedCells="1" sort="0"/>
  <mergeCells count="144"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3:F33"/>
    <mergeCell ref="J33:L33"/>
    <mergeCell ref="P33:S33"/>
    <mergeCell ref="W33:Y33"/>
    <mergeCell ref="A26:F26"/>
    <mergeCell ref="J26:L26"/>
    <mergeCell ref="P26:S26"/>
    <mergeCell ref="W26:Y26"/>
    <mergeCell ref="A27:F27"/>
    <mergeCell ref="J27:L27"/>
    <mergeCell ref="P27:S27"/>
    <mergeCell ref="W27:Y27"/>
    <mergeCell ref="A28:F28"/>
    <mergeCell ref="J28:L28"/>
    <mergeCell ref="P28:S28"/>
    <mergeCell ref="W28:Y28"/>
    <mergeCell ref="A23:F23"/>
    <mergeCell ref="J23:L23"/>
    <mergeCell ref="P23:S23"/>
    <mergeCell ref="W23:Y23"/>
    <mergeCell ref="A24:F24"/>
    <mergeCell ref="J24:L24"/>
    <mergeCell ref="P24:S24"/>
    <mergeCell ref="W24:Y24"/>
    <mergeCell ref="A25:F25"/>
    <mergeCell ref="J25:L25"/>
    <mergeCell ref="P25:S25"/>
    <mergeCell ref="W25:Y25"/>
    <mergeCell ref="A20:F20"/>
    <mergeCell ref="J20:L20"/>
    <mergeCell ref="P20:S20"/>
    <mergeCell ref="W20:Y20"/>
    <mergeCell ref="A21:F21"/>
    <mergeCell ref="J21:L21"/>
    <mergeCell ref="P21:S21"/>
    <mergeCell ref="W21:Y21"/>
    <mergeCell ref="A22:F22"/>
    <mergeCell ref="J22:L22"/>
    <mergeCell ref="P22:S22"/>
    <mergeCell ref="W22:Y22"/>
    <mergeCell ref="A17:F17"/>
    <mergeCell ref="A13:E13"/>
    <mergeCell ref="G13:I13"/>
    <mergeCell ref="J13:K13"/>
    <mergeCell ref="A18:F18"/>
    <mergeCell ref="J18:L18"/>
    <mergeCell ref="P18:S18"/>
    <mergeCell ref="W18:Y18"/>
    <mergeCell ref="A19:F19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R14:V14"/>
    <mergeCell ref="W14:AB14"/>
    <mergeCell ref="M14:Q14"/>
    <mergeCell ref="A14:E14"/>
    <mergeCell ref="Z17:AB17"/>
    <mergeCell ref="G14:L14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8"/>
      <c r="B1" s="20"/>
      <c r="I1" s="39" t="s">
        <v>33</v>
      </c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3"/>
    </row>
    <row r="2" spans="1:29" ht="37.5" customHeight="1" x14ac:dyDescent="0.2">
      <c r="A2" s="38"/>
      <c r="B2" s="20"/>
      <c r="I2" s="41" t="s">
        <v>32</v>
      </c>
      <c r="J2" s="42"/>
      <c r="K2" s="42"/>
      <c r="L2" s="42"/>
      <c r="M2" s="42"/>
      <c r="N2" s="42"/>
      <c r="O2" s="4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3" t="s">
        <v>1</v>
      </c>
      <c r="B4" s="43"/>
      <c r="C4" s="43"/>
      <c r="D4" s="43"/>
      <c r="E4" s="43"/>
      <c r="F4" s="44"/>
      <c r="G4" s="45" t="s">
        <v>56</v>
      </c>
      <c r="H4" s="45"/>
      <c r="I4" s="45"/>
      <c r="J4" s="45"/>
      <c r="K4" s="45"/>
      <c r="L4" s="45"/>
      <c r="M4" s="45"/>
      <c r="N4" s="46" t="s">
        <v>11</v>
      </c>
      <c r="O4" s="46"/>
      <c r="P4" s="46"/>
      <c r="Q4" s="46"/>
      <c r="R4" s="46"/>
      <c r="S4" s="46"/>
      <c r="T4" s="46"/>
      <c r="U4" s="47" t="s">
        <v>39</v>
      </c>
      <c r="V4" s="48"/>
      <c r="W4" s="48"/>
      <c r="X4" s="48"/>
      <c r="Y4" s="48"/>
      <c r="Z4" s="48"/>
      <c r="AA4" s="48"/>
      <c r="AB4" s="49"/>
      <c r="AC4" s="3"/>
    </row>
    <row r="5" spans="1:29" ht="24" customHeight="1" x14ac:dyDescent="0.2">
      <c r="A5" s="43" t="s">
        <v>5</v>
      </c>
      <c r="B5" s="43"/>
      <c r="C5" s="43"/>
      <c r="D5" s="43"/>
      <c r="E5" s="43"/>
      <c r="F5" s="44"/>
      <c r="G5" s="50" t="s">
        <v>40</v>
      </c>
      <c r="H5" s="50"/>
      <c r="I5" s="50"/>
      <c r="J5" s="50"/>
      <c r="K5" s="50"/>
      <c r="L5" s="50"/>
      <c r="M5" s="50"/>
      <c r="N5" s="43" t="s">
        <v>9</v>
      </c>
      <c r="O5" s="43"/>
      <c r="P5" s="43"/>
      <c r="Q5" s="43"/>
      <c r="R5" s="43"/>
      <c r="S5" s="43"/>
      <c r="T5" s="43"/>
      <c r="U5" s="57">
        <v>44256</v>
      </c>
      <c r="V5" s="57"/>
      <c r="W5" s="57"/>
      <c r="X5" s="25" t="s">
        <v>30</v>
      </c>
      <c r="Y5" s="58">
        <v>0.58333333333333337</v>
      </c>
      <c r="Z5" s="59"/>
      <c r="AA5" s="59"/>
      <c r="AB5" s="59"/>
    </row>
    <row r="6" spans="1:29" ht="24" customHeight="1" x14ac:dyDescent="0.2">
      <c r="A6" s="53" t="s">
        <v>7</v>
      </c>
      <c r="B6" s="53"/>
      <c r="C6" s="53"/>
      <c r="D6" s="53"/>
      <c r="E6" s="53"/>
      <c r="F6" s="54"/>
      <c r="G6" s="50" t="s">
        <v>41</v>
      </c>
      <c r="H6" s="50"/>
      <c r="I6" s="50"/>
      <c r="J6" s="50"/>
      <c r="K6" s="50"/>
      <c r="L6" s="50"/>
      <c r="M6" s="50"/>
      <c r="N6" s="60" t="s">
        <v>0</v>
      </c>
      <c r="O6" s="60"/>
      <c r="P6" s="60"/>
      <c r="Q6" s="60"/>
      <c r="R6" s="60"/>
      <c r="S6" s="60"/>
      <c r="T6" s="60"/>
      <c r="U6" s="57">
        <v>44258</v>
      </c>
      <c r="V6" s="57"/>
      <c r="W6" s="57"/>
      <c r="X6" s="25" t="s">
        <v>30</v>
      </c>
      <c r="Y6" s="58">
        <v>0.66666666666666663</v>
      </c>
      <c r="Z6" s="59"/>
      <c r="AA6" s="59"/>
      <c r="AB6" s="59"/>
    </row>
    <row r="7" spans="1:29" ht="24" customHeight="1" x14ac:dyDescent="0.2">
      <c r="A7" s="43" t="s">
        <v>10</v>
      </c>
      <c r="B7" s="43"/>
      <c r="C7" s="43"/>
      <c r="D7" s="43"/>
      <c r="E7" s="43"/>
      <c r="F7" s="44"/>
      <c r="G7" s="50"/>
      <c r="H7" s="50"/>
      <c r="I7" s="50"/>
      <c r="J7" s="50"/>
      <c r="K7" s="50"/>
      <c r="L7" s="50"/>
      <c r="M7" s="50"/>
      <c r="N7" s="51" t="s">
        <v>35</v>
      </c>
      <c r="O7" s="51"/>
      <c r="P7" s="51"/>
      <c r="Q7" s="51"/>
      <c r="R7" s="51"/>
      <c r="S7" s="51"/>
      <c r="T7" s="51"/>
      <c r="U7" s="52" t="s">
        <v>43</v>
      </c>
      <c r="V7" s="52"/>
      <c r="W7" s="52"/>
      <c r="X7" s="52"/>
      <c r="Y7" s="52"/>
      <c r="Z7" s="52"/>
      <c r="AA7" s="52"/>
      <c r="AB7" s="52"/>
    </row>
    <row r="8" spans="1:29" ht="24" customHeight="1" x14ac:dyDescent="0.2">
      <c r="A8" s="53" t="s">
        <v>2</v>
      </c>
      <c r="B8" s="53"/>
      <c r="C8" s="53"/>
      <c r="D8" s="53"/>
      <c r="E8" s="53"/>
      <c r="F8" s="54"/>
      <c r="G8" s="98" t="s">
        <v>58</v>
      </c>
      <c r="H8" s="50"/>
      <c r="I8" s="50"/>
      <c r="J8" s="50"/>
      <c r="K8" s="50"/>
      <c r="L8" s="50"/>
      <c r="M8" s="50"/>
      <c r="N8" s="51" t="s">
        <v>4</v>
      </c>
      <c r="O8" s="51"/>
      <c r="P8" s="51"/>
      <c r="Q8" s="51"/>
      <c r="R8" s="51"/>
      <c r="S8" s="51"/>
      <c r="T8" s="51"/>
      <c r="U8" s="56" t="s">
        <v>42</v>
      </c>
      <c r="V8" s="56"/>
      <c r="W8" s="56"/>
      <c r="X8" s="56"/>
      <c r="Y8" s="56"/>
      <c r="Z8" s="56"/>
      <c r="AA8" s="56"/>
      <c r="AB8" s="56"/>
    </row>
    <row r="9" spans="1:29" ht="24" customHeight="1" x14ac:dyDescent="0.2">
      <c r="A9" s="53" t="s">
        <v>6</v>
      </c>
      <c r="B9" s="53"/>
      <c r="C9" s="53"/>
      <c r="D9" s="53"/>
      <c r="E9" s="53"/>
      <c r="F9" s="54"/>
      <c r="G9" s="97" t="s">
        <v>57</v>
      </c>
      <c r="H9" s="97"/>
      <c r="I9" s="97"/>
      <c r="J9" s="97"/>
      <c r="K9" s="97"/>
      <c r="L9" s="97"/>
      <c r="M9" s="97"/>
      <c r="N9" s="51" t="s">
        <v>31</v>
      </c>
      <c r="O9" s="51"/>
      <c r="P9" s="51"/>
      <c r="Q9" s="51"/>
      <c r="R9" s="51"/>
      <c r="S9" s="51"/>
      <c r="T9" s="51"/>
      <c r="U9" s="52" t="s">
        <v>44</v>
      </c>
      <c r="V9" s="52"/>
      <c r="W9" s="52"/>
      <c r="X9" s="52"/>
      <c r="Y9" s="52"/>
      <c r="Z9" s="52"/>
      <c r="AA9" s="52"/>
      <c r="AB9" s="52"/>
    </row>
    <row r="10" spans="1:29" ht="6" customHeight="1" x14ac:dyDescent="0.2">
      <c r="U10" s="8"/>
      <c r="V10" s="8"/>
      <c r="W10" s="8"/>
    </row>
    <row r="11" spans="1:29" ht="23.25" customHeight="1" x14ac:dyDescent="0.2">
      <c r="A11" s="62" t="s">
        <v>8</v>
      </c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19"/>
      <c r="N11" s="51" t="s">
        <v>12</v>
      </c>
      <c r="O11" s="51"/>
      <c r="P11" s="51"/>
      <c r="Q11" s="51"/>
      <c r="R11" s="51"/>
      <c r="S11" s="50"/>
      <c r="T11" s="50"/>
      <c r="U11" s="51" t="s">
        <v>13</v>
      </c>
      <c r="V11" s="51"/>
      <c r="W11" s="51"/>
      <c r="X11" s="51"/>
      <c r="Y11" s="51"/>
      <c r="Z11" s="51"/>
      <c r="AA11" s="47"/>
      <c r="AB11" s="49"/>
    </row>
    <row r="12" spans="1:29" ht="6" customHeight="1" x14ac:dyDescent="0.2"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</row>
    <row r="13" spans="1:29" ht="36" customHeight="1" x14ac:dyDescent="0.2">
      <c r="A13" s="70" t="s">
        <v>36</v>
      </c>
      <c r="B13" s="64"/>
      <c r="C13" s="64"/>
      <c r="D13" s="64"/>
      <c r="E13" s="64"/>
      <c r="F13" s="26" t="s">
        <v>37</v>
      </c>
      <c r="G13" s="63" t="s">
        <v>14</v>
      </c>
      <c r="H13" s="63"/>
      <c r="I13" s="63"/>
      <c r="J13" s="71">
        <v>82.99436462231462</v>
      </c>
      <c r="K13" s="72"/>
      <c r="L13" s="63" t="s">
        <v>15</v>
      </c>
      <c r="M13" s="63"/>
      <c r="N13" s="63"/>
      <c r="O13" s="47" t="s">
        <v>45</v>
      </c>
      <c r="P13" s="48"/>
      <c r="Q13" s="49"/>
      <c r="R13" s="63" t="s">
        <v>16</v>
      </c>
      <c r="S13" s="63"/>
      <c r="T13" s="63"/>
      <c r="U13" s="50" t="s">
        <v>45</v>
      </c>
      <c r="V13" s="50"/>
      <c r="W13" s="63" t="s">
        <v>17</v>
      </c>
      <c r="X13" s="63"/>
      <c r="Y13" s="63"/>
      <c r="Z13" s="63"/>
      <c r="AA13" s="50" t="s">
        <v>45</v>
      </c>
      <c r="AB13" s="50"/>
    </row>
    <row r="14" spans="1:29" ht="27" customHeight="1" x14ac:dyDescent="0.2">
      <c r="A14" s="64" t="s">
        <v>3</v>
      </c>
      <c r="B14" s="64"/>
      <c r="C14" s="64"/>
      <c r="D14" s="64"/>
      <c r="E14" s="64"/>
      <c r="F14" s="26"/>
      <c r="G14" s="63" t="s">
        <v>18</v>
      </c>
      <c r="H14" s="63"/>
      <c r="I14" s="63"/>
      <c r="J14" s="63"/>
      <c r="K14" s="63"/>
      <c r="L14" s="63"/>
      <c r="M14" s="65"/>
      <c r="N14" s="66"/>
      <c r="O14" s="66"/>
      <c r="P14" s="66"/>
      <c r="Q14" s="67"/>
      <c r="R14" s="63" t="s">
        <v>19</v>
      </c>
      <c r="S14" s="63"/>
      <c r="T14" s="63"/>
      <c r="U14" s="63"/>
      <c r="V14" s="63"/>
      <c r="W14" s="68"/>
      <c r="X14" s="68"/>
      <c r="Y14" s="68"/>
      <c r="Z14" s="68"/>
      <c r="AA14" s="68"/>
      <c r="AB14" s="68"/>
    </row>
    <row r="15" spans="1:29" ht="3" customHeight="1" x14ac:dyDescent="0.2">
      <c r="A15" s="21"/>
      <c r="B15" s="21"/>
      <c r="C15" s="21"/>
      <c r="D15" s="21"/>
      <c r="E15" s="21"/>
      <c r="F15" s="22"/>
      <c r="G15" s="23"/>
      <c r="H15" s="23"/>
      <c r="I15" s="23"/>
      <c r="J15" s="23"/>
      <c r="K15" s="23"/>
      <c r="L15" s="23"/>
      <c r="M15" s="12"/>
      <c r="N15" s="12"/>
      <c r="O15" s="12"/>
      <c r="P15" s="12"/>
      <c r="Q15" s="12"/>
      <c r="R15" s="24"/>
      <c r="S15" s="24"/>
      <c r="T15" s="24"/>
      <c r="U15" s="24"/>
      <c r="V15" s="24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7" t="s">
        <v>20</v>
      </c>
      <c r="B17" s="78"/>
      <c r="C17" s="78"/>
      <c r="D17" s="78"/>
      <c r="E17" s="78"/>
      <c r="F17" s="79"/>
      <c r="G17" s="73" t="s">
        <v>21</v>
      </c>
      <c r="H17" s="73"/>
      <c r="I17" s="73"/>
      <c r="J17" s="73" t="s">
        <v>23</v>
      </c>
      <c r="K17" s="73"/>
      <c r="L17" s="73"/>
      <c r="M17" s="73" t="s">
        <v>24</v>
      </c>
      <c r="N17" s="73"/>
      <c r="O17" s="73"/>
      <c r="P17" s="73" t="s">
        <v>22</v>
      </c>
      <c r="Q17" s="73"/>
      <c r="R17" s="73"/>
      <c r="S17" s="73"/>
      <c r="T17" s="73" t="s">
        <v>25</v>
      </c>
      <c r="U17" s="73"/>
      <c r="V17" s="73"/>
      <c r="W17" s="73" t="s">
        <v>26</v>
      </c>
      <c r="X17" s="73"/>
      <c r="Y17" s="73"/>
      <c r="Z17" s="73" t="s">
        <v>27</v>
      </c>
      <c r="AA17" s="73"/>
      <c r="AB17" s="73"/>
    </row>
    <row r="18" spans="1:28" ht="15" customHeight="1" x14ac:dyDescent="0.2">
      <c r="A18" s="74" t="s">
        <v>38</v>
      </c>
      <c r="B18" s="74"/>
      <c r="C18" s="74"/>
      <c r="D18" s="74"/>
      <c r="E18" s="74"/>
      <c r="F18" s="74"/>
      <c r="G18" s="16">
        <v>-5</v>
      </c>
      <c r="H18" s="16">
        <v>18</v>
      </c>
      <c r="I18" s="16"/>
      <c r="J18" s="80"/>
      <c r="K18" s="80"/>
      <c r="L18" s="80"/>
      <c r="M18" s="16"/>
      <c r="N18" s="16">
        <v>0</v>
      </c>
      <c r="O18" s="16"/>
      <c r="P18" s="76"/>
      <c r="Q18" s="76"/>
      <c r="R18" s="76"/>
      <c r="S18" s="76"/>
      <c r="T18" s="17"/>
      <c r="U18" s="16">
        <v>0</v>
      </c>
      <c r="V18" s="17"/>
      <c r="W18" s="76"/>
      <c r="X18" s="76"/>
      <c r="Y18" s="76"/>
      <c r="Z18" s="17"/>
      <c r="AA18" s="16">
        <v>0</v>
      </c>
      <c r="AB18" s="17"/>
    </row>
    <row r="19" spans="1:28" ht="15" customHeight="1" x14ac:dyDescent="0.2">
      <c r="A19" s="74"/>
      <c r="B19" s="74"/>
      <c r="C19" s="74"/>
      <c r="D19" s="74"/>
      <c r="E19" s="74"/>
      <c r="F19" s="74"/>
      <c r="G19" s="16"/>
      <c r="H19" s="16"/>
      <c r="I19" s="16"/>
      <c r="J19" s="80"/>
      <c r="K19" s="80"/>
      <c r="L19" s="80"/>
      <c r="M19" s="16"/>
      <c r="N19" s="16">
        <v>0</v>
      </c>
      <c r="O19" s="16"/>
      <c r="P19" s="76"/>
      <c r="Q19" s="76"/>
      <c r="R19" s="76"/>
      <c r="S19" s="76"/>
      <c r="T19" s="17"/>
      <c r="U19" s="16">
        <v>0</v>
      </c>
      <c r="V19" s="17"/>
      <c r="W19" s="76"/>
      <c r="X19" s="76"/>
      <c r="Y19" s="76"/>
      <c r="Z19" s="17"/>
      <c r="AA19" s="16">
        <v>0</v>
      </c>
      <c r="AB19" s="17"/>
    </row>
    <row r="20" spans="1:28" ht="15" customHeight="1" x14ac:dyDescent="0.2">
      <c r="A20" s="74"/>
      <c r="B20" s="74"/>
      <c r="C20" s="74"/>
      <c r="D20" s="74"/>
      <c r="E20" s="74"/>
      <c r="F20" s="74"/>
      <c r="G20" s="16"/>
      <c r="H20" s="16"/>
      <c r="I20" s="16"/>
      <c r="J20" s="80"/>
      <c r="K20" s="80"/>
      <c r="L20" s="80"/>
      <c r="M20" s="16"/>
      <c r="N20" s="16">
        <v>0</v>
      </c>
      <c r="O20" s="16"/>
      <c r="P20" s="76"/>
      <c r="Q20" s="76"/>
      <c r="R20" s="76"/>
      <c r="S20" s="76"/>
      <c r="T20" s="17"/>
      <c r="U20" s="16">
        <v>0</v>
      </c>
      <c r="V20" s="17"/>
      <c r="W20" s="76"/>
      <c r="X20" s="76"/>
      <c r="Y20" s="76"/>
      <c r="Z20" s="18"/>
      <c r="AA20" s="16">
        <v>0</v>
      </c>
      <c r="AB20" s="17"/>
    </row>
    <row r="21" spans="1:28" ht="15" customHeight="1" x14ac:dyDescent="0.2">
      <c r="A21" s="74"/>
      <c r="B21" s="74"/>
      <c r="C21" s="74"/>
      <c r="D21" s="74"/>
      <c r="E21" s="74"/>
      <c r="F21" s="74"/>
      <c r="G21" s="16"/>
      <c r="H21" s="16"/>
      <c r="I21" s="16"/>
      <c r="J21" s="80"/>
      <c r="K21" s="80"/>
      <c r="L21" s="80"/>
      <c r="M21" s="16"/>
      <c r="N21" s="16">
        <v>0</v>
      </c>
      <c r="O21" s="16"/>
      <c r="P21" s="76"/>
      <c r="Q21" s="76"/>
      <c r="R21" s="76"/>
      <c r="S21" s="76"/>
      <c r="T21" s="17"/>
      <c r="U21" s="16">
        <v>0</v>
      </c>
      <c r="V21" s="17"/>
      <c r="W21" s="80"/>
      <c r="X21" s="80"/>
      <c r="Y21" s="80"/>
      <c r="Z21" s="17"/>
      <c r="AA21" s="16">
        <v>0</v>
      </c>
      <c r="AB21" s="17"/>
    </row>
    <row r="22" spans="1:28" ht="15" customHeight="1" x14ac:dyDescent="0.2">
      <c r="A22" s="74"/>
      <c r="B22" s="74"/>
      <c r="C22" s="74"/>
      <c r="D22" s="74"/>
      <c r="E22" s="74"/>
      <c r="F22" s="74"/>
      <c r="G22" s="16"/>
      <c r="H22" s="16"/>
      <c r="I22" s="16"/>
      <c r="J22" s="80"/>
      <c r="K22" s="80"/>
      <c r="L22" s="80"/>
      <c r="M22" s="16"/>
      <c r="N22" s="16">
        <v>0</v>
      </c>
      <c r="O22" s="16"/>
      <c r="P22" s="76"/>
      <c r="Q22" s="76"/>
      <c r="R22" s="76"/>
      <c r="S22" s="76"/>
      <c r="T22" s="17"/>
      <c r="U22" s="16">
        <v>0</v>
      </c>
      <c r="V22" s="17"/>
      <c r="W22" s="80"/>
      <c r="X22" s="80"/>
      <c r="Y22" s="80"/>
      <c r="Z22" s="17"/>
      <c r="AA22" s="16">
        <v>0</v>
      </c>
      <c r="AB22" s="17"/>
    </row>
    <row r="23" spans="1:28" ht="15" customHeight="1" x14ac:dyDescent="0.2">
      <c r="A23" s="74"/>
      <c r="B23" s="74"/>
      <c r="C23" s="74"/>
      <c r="D23" s="74"/>
      <c r="E23" s="74"/>
      <c r="F23" s="74"/>
      <c r="G23" s="16"/>
      <c r="H23" s="16"/>
      <c r="I23" s="16"/>
      <c r="J23" s="80"/>
      <c r="K23" s="80"/>
      <c r="L23" s="80"/>
      <c r="M23" s="16"/>
      <c r="N23" s="16">
        <v>0</v>
      </c>
      <c r="O23" s="16"/>
      <c r="P23" s="76"/>
      <c r="Q23" s="76"/>
      <c r="R23" s="76"/>
      <c r="S23" s="76"/>
      <c r="T23" s="17"/>
      <c r="U23" s="16">
        <v>0</v>
      </c>
      <c r="V23" s="17"/>
      <c r="W23" s="80"/>
      <c r="X23" s="80"/>
      <c r="Y23" s="80"/>
      <c r="Z23" s="17"/>
      <c r="AA23" s="16">
        <v>0</v>
      </c>
      <c r="AB23" s="17"/>
    </row>
    <row r="24" spans="1:28" ht="15" customHeight="1" x14ac:dyDescent="0.2">
      <c r="A24" s="74"/>
      <c r="B24" s="74"/>
      <c r="C24" s="74"/>
      <c r="D24" s="74"/>
      <c r="E24" s="74"/>
      <c r="F24" s="74"/>
      <c r="G24" s="16"/>
      <c r="H24" s="16"/>
      <c r="I24" s="16"/>
      <c r="J24" s="80"/>
      <c r="K24" s="80"/>
      <c r="L24" s="80"/>
      <c r="M24" s="16"/>
      <c r="N24" s="16">
        <v>0</v>
      </c>
      <c r="O24" s="16"/>
      <c r="P24" s="76"/>
      <c r="Q24" s="76"/>
      <c r="R24" s="76"/>
      <c r="S24" s="76"/>
      <c r="T24" s="17"/>
      <c r="U24" s="16">
        <v>0</v>
      </c>
      <c r="V24" s="17"/>
      <c r="W24" s="80"/>
      <c r="X24" s="80"/>
      <c r="Y24" s="80"/>
      <c r="Z24" s="17"/>
      <c r="AA24" s="16">
        <v>0</v>
      </c>
      <c r="AB24" s="17"/>
    </row>
    <row r="25" spans="1:28" ht="15" customHeight="1" x14ac:dyDescent="0.2">
      <c r="A25" s="74"/>
      <c r="B25" s="74"/>
      <c r="C25" s="74"/>
      <c r="D25" s="74"/>
      <c r="E25" s="74"/>
      <c r="F25" s="74"/>
      <c r="G25" s="16"/>
      <c r="H25" s="16"/>
      <c r="I25" s="16"/>
      <c r="J25" s="80"/>
      <c r="K25" s="80"/>
      <c r="L25" s="80"/>
      <c r="M25" s="16"/>
      <c r="N25" s="16">
        <v>0</v>
      </c>
      <c r="O25" s="16"/>
      <c r="P25" s="76"/>
      <c r="Q25" s="76"/>
      <c r="R25" s="76"/>
      <c r="S25" s="76"/>
      <c r="T25" s="17"/>
      <c r="U25" s="16">
        <v>0</v>
      </c>
      <c r="V25" s="17"/>
      <c r="W25" s="80"/>
      <c r="X25" s="80"/>
      <c r="Y25" s="80"/>
      <c r="Z25" s="17"/>
      <c r="AA25" s="16">
        <v>0</v>
      </c>
      <c r="AB25" s="17"/>
    </row>
    <row r="26" spans="1:28" ht="15" customHeight="1" x14ac:dyDescent="0.2">
      <c r="A26" s="74"/>
      <c r="B26" s="74"/>
      <c r="C26" s="74"/>
      <c r="D26" s="74"/>
      <c r="E26" s="74"/>
      <c r="F26" s="74"/>
      <c r="G26" s="16"/>
      <c r="H26" s="16"/>
      <c r="I26" s="16"/>
      <c r="J26" s="80"/>
      <c r="K26" s="80"/>
      <c r="L26" s="80"/>
      <c r="M26" s="16"/>
      <c r="N26" s="16">
        <v>0</v>
      </c>
      <c r="O26" s="16"/>
      <c r="P26" s="76"/>
      <c r="Q26" s="76"/>
      <c r="R26" s="76"/>
      <c r="S26" s="76"/>
      <c r="T26" s="17"/>
      <c r="U26" s="16">
        <v>0</v>
      </c>
      <c r="V26" s="17"/>
      <c r="W26" s="80"/>
      <c r="X26" s="80"/>
      <c r="Y26" s="80"/>
      <c r="Z26" s="17"/>
      <c r="AA26" s="16">
        <v>0</v>
      </c>
      <c r="AB26" s="17"/>
    </row>
    <row r="27" spans="1:28" ht="15" customHeight="1" x14ac:dyDescent="0.2">
      <c r="A27" s="74"/>
      <c r="B27" s="74"/>
      <c r="C27" s="74"/>
      <c r="D27" s="74"/>
      <c r="E27" s="74"/>
      <c r="F27" s="74"/>
      <c r="G27" s="16"/>
      <c r="H27" s="16">
        <v>0</v>
      </c>
      <c r="I27" s="16"/>
      <c r="J27" s="80"/>
      <c r="K27" s="80"/>
      <c r="L27" s="80"/>
      <c r="M27" s="16"/>
      <c r="N27" s="16">
        <v>0</v>
      </c>
      <c r="O27" s="16"/>
      <c r="P27" s="76"/>
      <c r="Q27" s="76"/>
      <c r="R27" s="76"/>
      <c r="S27" s="76"/>
      <c r="T27" s="17"/>
      <c r="U27" s="16">
        <v>0</v>
      </c>
      <c r="V27" s="17"/>
      <c r="W27" s="80"/>
      <c r="X27" s="80"/>
      <c r="Y27" s="80"/>
      <c r="Z27" s="17"/>
      <c r="AA27" s="16">
        <v>0</v>
      </c>
      <c r="AB27" s="17"/>
    </row>
    <row r="28" spans="1:28" ht="15" customHeight="1" x14ac:dyDescent="0.2">
      <c r="A28" s="74"/>
      <c r="B28" s="74"/>
      <c r="C28" s="74"/>
      <c r="D28" s="74"/>
      <c r="E28" s="74"/>
      <c r="F28" s="74"/>
      <c r="G28" s="16"/>
      <c r="H28" s="16">
        <v>0</v>
      </c>
      <c r="I28" s="16"/>
      <c r="J28" s="80"/>
      <c r="K28" s="80"/>
      <c r="L28" s="80"/>
      <c r="M28" s="16"/>
      <c r="N28" s="16">
        <v>0</v>
      </c>
      <c r="O28" s="16"/>
      <c r="P28" s="76"/>
      <c r="Q28" s="76"/>
      <c r="R28" s="76"/>
      <c r="S28" s="76"/>
      <c r="T28" s="17"/>
      <c r="U28" s="16">
        <v>0</v>
      </c>
      <c r="V28" s="17"/>
      <c r="W28" s="80"/>
      <c r="X28" s="80"/>
      <c r="Y28" s="80"/>
      <c r="Z28" s="17"/>
      <c r="AA28" s="16">
        <v>0</v>
      </c>
      <c r="AB28" s="17"/>
    </row>
    <row r="29" spans="1:28" ht="15" customHeight="1" x14ac:dyDescent="0.2">
      <c r="A29" s="74"/>
      <c r="B29" s="74"/>
      <c r="C29" s="74"/>
      <c r="D29" s="74"/>
      <c r="E29" s="74"/>
      <c r="F29" s="74"/>
      <c r="G29" s="16"/>
      <c r="H29" s="16">
        <v>0</v>
      </c>
      <c r="I29" s="16"/>
      <c r="J29" s="80"/>
      <c r="K29" s="80"/>
      <c r="L29" s="80"/>
      <c r="M29" s="16"/>
      <c r="N29" s="16">
        <v>0</v>
      </c>
      <c r="O29" s="16"/>
      <c r="P29" s="76"/>
      <c r="Q29" s="76"/>
      <c r="R29" s="76"/>
      <c r="S29" s="76"/>
      <c r="T29" s="17"/>
      <c r="U29" s="16">
        <v>0</v>
      </c>
      <c r="V29" s="17"/>
      <c r="W29" s="80"/>
      <c r="X29" s="80"/>
      <c r="Y29" s="80"/>
      <c r="Z29" s="17"/>
      <c r="AA29" s="16">
        <v>0</v>
      </c>
      <c r="AB29" s="17"/>
    </row>
    <row r="30" spans="1:28" ht="15" customHeight="1" x14ac:dyDescent="0.2">
      <c r="A30" s="74"/>
      <c r="B30" s="74"/>
      <c r="C30" s="74"/>
      <c r="D30" s="74"/>
      <c r="E30" s="74"/>
      <c r="F30" s="74"/>
      <c r="G30" s="16"/>
      <c r="H30" s="16">
        <v>0</v>
      </c>
      <c r="I30" s="16"/>
      <c r="J30" s="80"/>
      <c r="K30" s="80"/>
      <c r="L30" s="80"/>
      <c r="M30" s="16"/>
      <c r="N30" s="16">
        <v>0</v>
      </c>
      <c r="O30" s="16"/>
      <c r="P30" s="76"/>
      <c r="Q30" s="76"/>
      <c r="R30" s="76"/>
      <c r="S30" s="76"/>
      <c r="T30" s="17"/>
      <c r="U30" s="16">
        <v>0</v>
      </c>
      <c r="V30" s="17"/>
      <c r="W30" s="80"/>
      <c r="X30" s="80"/>
      <c r="Y30" s="80"/>
      <c r="Z30" s="17"/>
      <c r="AA30" s="16">
        <v>0</v>
      </c>
      <c r="AB30" s="17"/>
    </row>
    <row r="31" spans="1:28" ht="15" customHeight="1" x14ac:dyDescent="0.2">
      <c r="A31" s="74"/>
      <c r="B31" s="74"/>
      <c r="C31" s="74"/>
      <c r="D31" s="74"/>
      <c r="E31" s="74"/>
      <c r="F31" s="74"/>
      <c r="G31" s="16"/>
      <c r="H31" s="16">
        <v>0</v>
      </c>
      <c r="I31" s="16"/>
      <c r="J31" s="80"/>
      <c r="K31" s="80"/>
      <c r="L31" s="80"/>
      <c r="M31" s="16"/>
      <c r="N31" s="16">
        <v>0</v>
      </c>
      <c r="O31" s="16"/>
      <c r="P31" s="76"/>
      <c r="Q31" s="76"/>
      <c r="R31" s="76"/>
      <c r="S31" s="76"/>
      <c r="T31" s="17"/>
      <c r="U31" s="16">
        <v>0</v>
      </c>
      <c r="V31" s="17"/>
      <c r="W31" s="80"/>
      <c r="X31" s="80"/>
      <c r="Y31" s="80"/>
      <c r="Z31" s="17"/>
      <c r="AA31" s="16">
        <v>0</v>
      </c>
      <c r="AB31" s="17"/>
    </row>
    <row r="32" spans="1:28" ht="15" customHeight="1" x14ac:dyDescent="0.2">
      <c r="A32" s="74"/>
      <c r="B32" s="74"/>
      <c r="C32" s="74"/>
      <c r="D32" s="74"/>
      <c r="E32" s="74"/>
      <c r="F32" s="74"/>
      <c r="G32" s="16"/>
      <c r="H32" s="16">
        <v>0</v>
      </c>
      <c r="I32" s="16"/>
      <c r="J32" s="80"/>
      <c r="K32" s="80"/>
      <c r="L32" s="80"/>
      <c r="M32" s="16"/>
      <c r="N32" s="16">
        <v>0</v>
      </c>
      <c r="O32" s="16"/>
      <c r="P32" s="76"/>
      <c r="Q32" s="76"/>
      <c r="R32" s="76"/>
      <c r="S32" s="76"/>
      <c r="T32" s="17"/>
      <c r="U32" s="16">
        <v>0</v>
      </c>
      <c r="V32" s="17"/>
      <c r="W32" s="80"/>
      <c r="X32" s="80"/>
      <c r="Y32" s="80"/>
      <c r="Z32" s="17"/>
      <c r="AA32" s="16">
        <v>0</v>
      </c>
      <c r="AB32" s="17"/>
    </row>
    <row r="33" spans="1:28" ht="15" customHeight="1" x14ac:dyDescent="0.2">
      <c r="A33" s="74"/>
      <c r="B33" s="74"/>
      <c r="C33" s="74"/>
      <c r="D33" s="74"/>
      <c r="E33" s="74"/>
      <c r="F33" s="74"/>
      <c r="G33" s="16"/>
      <c r="H33" s="16">
        <v>0</v>
      </c>
      <c r="I33" s="16"/>
      <c r="J33" s="80"/>
      <c r="K33" s="80"/>
      <c r="L33" s="80"/>
      <c r="M33" s="16"/>
      <c r="N33" s="16">
        <v>0</v>
      </c>
      <c r="O33" s="16"/>
      <c r="P33" s="76"/>
      <c r="Q33" s="76"/>
      <c r="R33" s="76"/>
      <c r="S33" s="76"/>
      <c r="T33" s="17"/>
      <c r="U33" s="16">
        <v>0</v>
      </c>
      <c r="V33" s="17"/>
      <c r="W33" s="80"/>
      <c r="X33" s="80"/>
      <c r="Y33" s="80"/>
      <c r="Z33" s="17"/>
      <c r="AA33" s="16">
        <v>0</v>
      </c>
      <c r="AB33" s="17"/>
    </row>
    <row r="34" spans="1:28" ht="15" customHeight="1" x14ac:dyDescent="0.2">
      <c r="A34" s="74"/>
      <c r="B34" s="74"/>
      <c r="C34" s="74"/>
      <c r="D34" s="74"/>
      <c r="E34" s="74"/>
      <c r="F34" s="74"/>
      <c r="G34" s="16"/>
      <c r="H34" s="16">
        <v>0</v>
      </c>
      <c r="I34" s="16"/>
      <c r="J34" s="80"/>
      <c r="K34" s="80"/>
      <c r="L34" s="80"/>
      <c r="M34" s="16"/>
      <c r="N34" s="16">
        <v>0</v>
      </c>
      <c r="O34" s="16"/>
      <c r="P34" s="76"/>
      <c r="Q34" s="76"/>
      <c r="R34" s="76"/>
      <c r="S34" s="76"/>
      <c r="T34" s="17"/>
      <c r="U34" s="16">
        <v>0</v>
      </c>
      <c r="V34" s="17"/>
      <c r="W34" s="80"/>
      <c r="X34" s="80"/>
      <c r="Y34" s="80"/>
      <c r="Z34" s="17"/>
      <c r="AA34" s="16">
        <v>0</v>
      </c>
      <c r="AB34" s="17"/>
    </row>
    <row r="35" spans="1:28" ht="15" customHeight="1" x14ac:dyDescent="0.2">
      <c r="A35" s="74"/>
      <c r="B35" s="74"/>
      <c r="C35" s="74"/>
      <c r="D35" s="74"/>
      <c r="E35" s="74"/>
      <c r="F35" s="74"/>
      <c r="G35" s="16"/>
      <c r="H35" s="16">
        <v>0</v>
      </c>
      <c r="I35" s="16"/>
      <c r="J35" s="80"/>
      <c r="K35" s="80"/>
      <c r="L35" s="80"/>
      <c r="M35" s="16"/>
      <c r="N35" s="16">
        <v>0</v>
      </c>
      <c r="O35" s="16"/>
      <c r="P35" s="76"/>
      <c r="Q35" s="76"/>
      <c r="R35" s="76"/>
      <c r="S35" s="76"/>
      <c r="T35" s="17"/>
      <c r="U35" s="16">
        <v>0</v>
      </c>
      <c r="V35" s="17"/>
      <c r="W35" s="80"/>
      <c r="X35" s="80"/>
      <c r="Y35" s="80"/>
      <c r="Z35" s="17"/>
      <c r="AA35" s="16">
        <v>0</v>
      </c>
      <c r="AB35" s="17"/>
    </row>
    <row r="36" spans="1:28" ht="15" customHeight="1" x14ac:dyDescent="0.2">
      <c r="A36" s="74"/>
      <c r="B36" s="74"/>
      <c r="C36" s="74"/>
      <c r="D36" s="74"/>
      <c r="E36" s="74"/>
      <c r="F36" s="74"/>
      <c r="G36" s="16"/>
      <c r="H36" s="16">
        <v>0</v>
      </c>
      <c r="I36" s="16"/>
      <c r="J36" s="80"/>
      <c r="K36" s="80"/>
      <c r="L36" s="80"/>
      <c r="M36" s="16"/>
      <c r="N36" s="16">
        <v>0</v>
      </c>
      <c r="O36" s="16"/>
      <c r="P36" s="76"/>
      <c r="Q36" s="76"/>
      <c r="R36" s="76"/>
      <c r="S36" s="76"/>
      <c r="T36" s="17"/>
      <c r="U36" s="16">
        <v>0</v>
      </c>
      <c r="V36" s="17"/>
      <c r="W36" s="80"/>
      <c r="X36" s="80"/>
      <c r="Y36" s="80"/>
      <c r="Z36" s="17"/>
      <c r="AA36" s="16">
        <v>0</v>
      </c>
      <c r="AB36" s="17"/>
    </row>
    <row r="37" spans="1:28" ht="15" customHeight="1" x14ac:dyDescent="0.2">
      <c r="A37" s="74"/>
      <c r="B37" s="74"/>
      <c r="C37" s="74"/>
      <c r="D37" s="74"/>
      <c r="E37" s="74"/>
      <c r="F37" s="74"/>
      <c r="G37" s="16"/>
      <c r="H37" s="16">
        <v>0</v>
      </c>
      <c r="I37" s="16"/>
      <c r="J37" s="80"/>
      <c r="K37" s="80"/>
      <c r="L37" s="80"/>
      <c r="M37" s="16"/>
      <c r="N37" s="16">
        <v>0</v>
      </c>
      <c r="O37" s="16"/>
      <c r="P37" s="76"/>
      <c r="Q37" s="76"/>
      <c r="R37" s="76"/>
      <c r="S37" s="76"/>
      <c r="T37" s="17"/>
      <c r="U37" s="16">
        <v>0</v>
      </c>
      <c r="V37" s="17"/>
      <c r="W37" s="80"/>
      <c r="X37" s="80"/>
      <c r="Y37" s="8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96" t="s">
        <v>28</v>
      </c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W39" s="70" t="s">
        <v>34</v>
      </c>
      <c r="X39" s="70"/>
      <c r="Y39" s="70"/>
      <c r="Z39" s="70"/>
      <c r="AA39" s="70"/>
      <c r="AB39" s="70"/>
    </row>
    <row r="40" spans="1:28" ht="22.5" customHeight="1" x14ac:dyDescent="0.2">
      <c r="A40" s="82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4"/>
      <c r="W40" s="88"/>
      <c r="X40" s="89"/>
      <c r="Y40" s="89"/>
      <c r="Z40" s="89"/>
      <c r="AA40" s="89"/>
      <c r="AB40" s="90"/>
    </row>
    <row r="41" spans="1:28" ht="26.25" customHeight="1" x14ac:dyDescent="0.2">
      <c r="A41" s="85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7"/>
      <c r="V41" s="91"/>
      <c r="W41" s="92" t="s">
        <v>29</v>
      </c>
      <c r="X41" s="70"/>
      <c r="Y41" s="70"/>
      <c r="Z41" s="70"/>
      <c r="AA41" s="70"/>
      <c r="AB41" s="70"/>
    </row>
    <row r="42" spans="1:28" ht="22.5" customHeight="1" x14ac:dyDescent="0.2">
      <c r="A42" s="85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7"/>
      <c r="V42" s="91"/>
      <c r="W42" s="93"/>
      <c r="X42" s="94"/>
      <c r="Y42" s="94"/>
      <c r="Z42" s="94"/>
      <c r="AA42" s="94"/>
      <c r="AB42" s="95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7" bestFit="1" customWidth="1"/>
    <col min="2" max="2" width="15.5703125" style="27" bestFit="1" customWidth="1"/>
    <col min="3" max="3" width="21.5703125" style="27" bestFit="1" customWidth="1"/>
    <col min="4" max="4" width="22.42578125" style="27" bestFit="1" customWidth="1"/>
    <col min="5" max="5" width="19.85546875" style="27" bestFit="1" customWidth="1"/>
    <col min="6" max="6" width="22.7109375" style="27" bestFit="1" customWidth="1"/>
    <col min="7" max="7" width="14.85546875" style="27" bestFit="1" customWidth="1"/>
    <col min="8" max="8" width="21.7109375" style="27" bestFit="1" customWidth="1"/>
    <col min="9" max="9" width="8.5703125" style="27" bestFit="1" customWidth="1"/>
    <col min="10" max="10" width="11.140625" style="27" bestFit="1" customWidth="1"/>
    <col min="11" max="16384" width="11.42578125" style="27"/>
  </cols>
  <sheetData>
    <row r="1" spans="1:10" s="31" customFormat="1" x14ac:dyDescent="0.2">
      <c r="A1" s="31" t="s">
        <v>46</v>
      </c>
      <c r="B1" s="31" t="s">
        <v>47</v>
      </c>
      <c r="C1" s="31" t="s">
        <v>48</v>
      </c>
      <c r="D1" s="31" t="s">
        <v>49</v>
      </c>
      <c r="E1" s="31" t="s">
        <v>50</v>
      </c>
      <c r="F1" s="31" t="s">
        <v>51</v>
      </c>
      <c r="G1" s="31" t="s">
        <v>52</v>
      </c>
      <c r="H1" s="31" t="s">
        <v>53</v>
      </c>
      <c r="I1" s="31" t="s">
        <v>54</v>
      </c>
      <c r="J1" s="31" t="s">
        <v>55</v>
      </c>
    </row>
    <row r="2" spans="1:10" x14ac:dyDescent="0.2">
      <c r="A2" s="28" t="str">
        <f>'Densidad de grupos (1)'!U9</f>
        <v>Expedición-pacifico A 02</v>
      </c>
      <c r="B2" s="29" t="str">
        <f>'Densidad de grupos (1)'!J13</f>
        <v>20 L</v>
      </c>
      <c r="C2" s="29">
        <f>'Densidad de grupos (1)'!O13</f>
        <v>0</v>
      </c>
      <c r="D2" s="29">
        <f>'Densidad de grupos (1)'!U13</f>
        <v>1</v>
      </c>
      <c r="E2" s="29">
        <f>'Densidad de grupos (1)'!AA13</f>
        <v>2</v>
      </c>
      <c r="F2" s="29">
        <f>E2*D2</f>
        <v>2</v>
      </c>
      <c r="G2" s="27" t="str">
        <f>'Densidad de grupos (1)'!A18</f>
        <v xml:space="preserve">Chaetoceros curvisetus </v>
      </c>
      <c r="H2" s="27">
        <f>'Densidad de grupos (1)'!H18</f>
        <v>7</v>
      </c>
      <c r="I2" s="30" t="e">
        <f>((H2*C2)/(F2*B2))*2</f>
        <v>#VALUE!</v>
      </c>
      <c r="J2" s="30" t="e">
        <f>I2*1000</f>
        <v>#VALUE!</v>
      </c>
    </row>
    <row r="3" spans="1:10" x14ac:dyDescent="0.2">
      <c r="A3" s="28" t="str">
        <f>$A$2</f>
        <v>Expedición-pacifico A 02</v>
      </c>
      <c r="B3" s="29" t="str">
        <f>$B$2</f>
        <v>20 L</v>
      </c>
      <c r="C3" s="29">
        <f>$C$2</f>
        <v>0</v>
      </c>
      <c r="D3" s="29">
        <f>$D$2</f>
        <v>1</v>
      </c>
      <c r="E3" s="29">
        <f>$E$2</f>
        <v>2</v>
      </c>
      <c r="F3" s="29">
        <f>$F$2</f>
        <v>2</v>
      </c>
      <c r="G3" s="27" t="str">
        <f>'Densidad de grupos (1)'!A19</f>
        <v>Dinophysis cuadata</v>
      </c>
      <c r="H3" s="27">
        <f>'Densidad de grupos (1)'!H19</f>
        <v>6</v>
      </c>
      <c r="I3" s="30" t="e">
        <f t="shared" ref="I3:I66" si="0">((H3*C3)/(F3*B3))*2</f>
        <v>#VALUE!</v>
      </c>
      <c r="J3" s="30" t="e">
        <f t="shared" ref="J3:J66" si="1">I3*1000</f>
        <v>#VALUE!</v>
      </c>
    </row>
    <row r="4" spans="1:10" x14ac:dyDescent="0.2">
      <c r="A4" s="28" t="str">
        <f t="shared" ref="A4:A67" si="2">$A$2</f>
        <v>Expedición-pacifico A 02</v>
      </c>
      <c r="B4" s="29" t="str">
        <f t="shared" ref="B4:B67" si="3">$B$2</f>
        <v>20 L</v>
      </c>
      <c r="C4" s="29">
        <f t="shared" ref="C4:C67" si="4">$C$2</f>
        <v>0</v>
      </c>
      <c r="D4" s="29">
        <f t="shared" ref="D4:D67" si="5">$D$2</f>
        <v>1</v>
      </c>
      <c r="E4" s="29">
        <f t="shared" ref="E4:E67" si="6">$E$2</f>
        <v>2</v>
      </c>
      <c r="F4" s="29">
        <f t="shared" ref="F4:F67" si="7">$F$2</f>
        <v>2</v>
      </c>
      <c r="G4" s="27" t="str">
        <f>'Densidad de grupos (1)'!A20</f>
        <v>Cerataulina pelagica</v>
      </c>
      <c r="H4" s="27">
        <f>'Densidad de grupos (1)'!H20</f>
        <v>2</v>
      </c>
      <c r="I4" s="30" t="e">
        <f t="shared" si="0"/>
        <v>#VALUE!</v>
      </c>
      <c r="J4" s="30" t="e">
        <f t="shared" si="1"/>
        <v>#VALUE!</v>
      </c>
    </row>
    <row r="5" spans="1:10" x14ac:dyDescent="0.2">
      <c r="A5" s="28" t="str">
        <f t="shared" si="2"/>
        <v>Expedición-pacifico A 02</v>
      </c>
      <c r="B5" s="29" t="str">
        <f t="shared" si="3"/>
        <v>20 L</v>
      </c>
      <c r="C5" s="29">
        <f t="shared" si="4"/>
        <v>0</v>
      </c>
      <c r="D5" s="29">
        <f t="shared" si="5"/>
        <v>1</v>
      </c>
      <c r="E5" s="29">
        <f t="shared" si="6"/>
        <v>2</v>
      </c>
      <c r="F5" s="29">
        <f t="shared" si="7"/>
        <v>2</v>
      </c>
      <c r="G5" s="27" t="str">
        <f>'Densidad de grupos (1)'!A21</f>
        <v>Chaetoceros lorenzianus</v>
      </c>
      <c r="H5" s="27">
        <f>'Densidad de grupos (1)'!H21</f>
        <v>6</v>
      </c>
      <c r="I5" s="30" t="e">
        <f t="shared" si="0"/>
        <v>#VALUE!</v>
      </c>
      <c r="J5" s="30" t="e">
        <f t="shared" si="1"/>
        <v>#VALUE!</v>
      </c>
    </row>
    <row r="6" spans="1:10" x14ac:dyDescent="0.2">
      <c r="A6" s="28" t="str">
        <f t="shared" si="2"/>
        <v>Expedición-pacifico A 02</v>
      </c>
      <c r="B6" s="29" t="str">
        <f t="shared" si="3"/>
        <v>20 L</v>
      </c>
      <c r="C6" s="29">
        <f t="shared" si="4"/>
        <v>0</v>
      </c>
      <c r="D6" s="29">
        <f t="shared" si="5"/>
        <v>1</v>
      </c>
      <c r="E6" s="29">
        <f t="shared" si="6"/>
        <v>2</v>
      </c>
      <c r="F6" s="29">
        <f t="shared" si="7"/>
        <v>2</v>
      </c>
      <c r="G6" s="27" t="str">
        <f>'Densidad de grupos (1)'!A22</f>
        <v>Skeletonema constatum</v>
      </c>
      <c r="H6" s="27">
        <f>'Densidad de grupos (1)'!H22</f>
        <v>82</v>
      </c>
      <c r="I6" s="30" t="e">
        <f t="shared" si="0"/>
        <v>#VALUE!</v>
      </c>
      <c r="J6" s="30" t="e">
        <f t="shared" si="1"/>
        <v>#VALUE!</v>
      </c>
    </row>
    <row r="7" spans="1:10" x14ac:dyDescent="0.2">
      <c r="A7" s="28" t="str">
        <f t="shared" si="2"/>
        <v>Expedición-pacifico A 02</v>
      </c>
      <c r="B7" s="29" t="str">
        <f t="shared" si="3"/>
        <v>20 L</v>
      </c>
      <c r="C7" s="29">
        <f t="shared" si="4"/>
        <v>0</v>
      </c>
      <c r="D7" s="29">
        <f t="shared" si="5"/>
        <v>1</v>
      </c>
      <c r="E7" s="29">
        <f t="shared" si="6"/>
        <v>2</v>
      </c>
      <c r="F7" s="29">
        <f t="shared" si="7"/>
        <v>2</v>
      </c>
      <c r="G7" s="27" t="str">
        <f>'Densidad de grupos (1)'!A23</f>
        <v>Protoperidinium sp</v>
      </c>
      <c r="H7" s="27">
        <f>'Densidad de grupos (1)'!H23</f>
        <v>1</v>
      </c>
      <c r="I7" s="30" t="e">
        <f t="shared" si="0"/>
        <v>#VALUE!</v>
      </c>
      <c r="J7" s="30" t="e">
        <f t="shared" si="1"/>
        <v>#VALUE!</v>
      </c>
    </row>
    <row r="8" spans="1:10" x14ac:dyDescent="0.2">
      <c r="A8" s="28" t="str">
        <f t="shared" si="2"/>
        <v>Expedición-pacifico A 02</v>
      </c>
      <c r="B8" s="29" t="str">
        <f t="shared" si="3"/>
        <v>20 L</v>
      </c>
      <c r="C8" s="29">
        <f t="shared" si="4"/>
        <v>0</v>
      </c>
      <c r="D8" s="29">
        <f t="shared" si="5"/>
        <v>1</v>
      </c>
      <c r="E8" s="29">
        <f t="shared" si="6"/>
        <v>2</v>
      </c>
      <c r="F8" s="29">
        <f t="shared" si="7"/>
        <v>2</v>
      </c>
      <c r="G8" s="27" t="str">
        <f>'Densidad de grupos (1)'!A24</f>
        <v>Coscinodiscopsis jonesiana</v>
      </c>
      <c r="H8" s="27">
        <f>'Densidad de grupos (1)'!H24</f>
        <v>1</v>
      </c>
      <c r="I8" s="30" t="e">
        <f t="shared" si="0"/>
        <v>#VALUE!</v>
      </c>
      <c r="J8" s="30" t="e">
        <f t="shared" si="1"/>
        <v>#VALUE!</v>
      </c>
    </row>
    <row r="9" spans="1:10" x14ac:dyDescent="0.2">
      <c r="A9" s="28" t="str">
        <f t="shared" si="2"/>
        <v>Expedición-pacifico A 02</v>
      </c>
      <c r="B9" s="29" t="str">
        <f t="shared" si="3"/>
        <v>20 L</v>
      </c>
      <c r="C9" s="29">
        <f t="shared" si="4"/>
        <v>0</v>
      </c>
      <c r="D9" s="29">
        <f t="shared" si="5"/>
        <v>1</v>
      </c>
      <c r="E9" s="29">
        <f t="shared" si="6"/>
        <v>2</v>
      </c>
      <c r="F9" s="29">
        <f t="shared" si="7"/>
        <v>2</v>
      </c>
      <c r="G9" s="27" t="str">
        <f>'Densidad de grupos (1)'!A25</f>
        <v>Listodesmiun undulatum</v>
      </c>
      <c r="H9" s="27">
        <f>'Densidad de grupos (1)'!H25</f>
        <v>1</v>
      </c>
      <c r="I9" s="30" t="e">
        <f t="shared" si="0"/>
        <v>#VALUE!</v>
      </c>
      <c r="J9" s="30" t="e">
        <f t="shared" si="1"/>
        <v>#VALUE!</v>
      </c>
    </row>
    <row r="10" spans="1:10" x14ac:dyDescent="0.2">
      <c r="A10" s="28" t="str">
        <f t="shared" si="2"/>
        <v>Expedición-pacifico A 02</v>
      </c>
      <c r="B10" s="29" t="str">
        <f t="shared" si="3"/>
        <v>20 L</v>
      </c>
      <c r="C10" s="29">
        <f t="shared" si="4"/>
        <v>0</v>
      </c>
      <c r="D10" s="29">
        <f t="shared" si="5"/>
        <v>1</v>
      </c>
      <c r="E10" s="29">
        <f t="shared" si="6"/>
        <v>2</v>
      </c>
      <c r="F10" s="29">
        <f t="shared" si="7"/>
        <v>2</v>
      </c>
      <c r="G10" s="27" t="str">
        <f>'Densidad de grupos (1)'!A26</f>
        <v>Ditylumbrithwellii</v>
      </c>
      <c r="H10" s="27">
        <f>'Densidad de grupos (1)'!H26</f>
        <v>2</v>
      </c>
      <c r="I10" s="30" t="e">
        <f t="shared" si="0"/>
        <v>#VALUE!</v>
      </c>
      <c r="J10" s="30" t="e">
        <f t="shared" si="1"/>
        <v>#VALUE!</v>
      </c>
    </row>
    <row r="11" spans="1:10" x14ac:dyDescent="0.2">
      <c r="A11" s="28" t="str">
        <f t="shared" si="2"/>
        <v>Expedición-pacifico A 02</v>
      </c>
      <c r="B11" s="29" t="str">
        <f t="shared" si="3"/>
        <v>20 L</v>
      </c>
      <c r="C11" s="29">
        <f t="shared" si="4"/>
        <v>0</v>
      </c>
      <c r="D11" s="29">
        <f t="shared" si="5"/>
        <v>1</v>
      </c>
      <c r="E11" s="29">
        <f t="shared" si="6"/>
        <v>2</v>
      </c>
      <c r="F11" s="29">
        <f t="shared" si="7"/>
        <v>2</v>
      </c>
      <c r="G11" s="27" t="str">
        <f>'Densidad de grupos (1)'!A27</f>
        <v>Gonyaulax sp</v>
      </c>
      <c r="H11" s="27">
        <f>'Densidad de grupos (1)'!H27</f>
        <v>2</v>
      </c>
      <c r="I11" s="30" t="e">
        <f t="shared" si="0"/>
        <v>#VALUE!</v>
      </c>
      <c r="J11" s="30" t="e">
        <f t="shared" si="1"/>
        <v>#VALUE!</v>
      </c>
    </row>
    <row r="12" spans="1:10" x14ac:dyDescent="0.2">
      <c r="A12" s="28" t="str">
        <f t="shared" si="2"/>
        <v>Expedición-pacifico A 02</v>
      </c>
      <c r="B12" s="29" t="str">
        <f t="shared" si="3"/>
        <v>20 L</v>
      </c>
      <c r="C12" s="29">
        <f t="shared" si="4"/>
        <v>0</v>
      </c>
      <c r="D12" s="29">
        <f t="shared" si="5"/>
        <v>1</v>
      </c>
      <c r="E12" s="29">
        <f t="shared" si="6"/>
        <v>2</v>
      </c>
      <c r="F12" s="29">
        <f t="shared" si="7"/>
        <v>2</v>
      </c>
      <c r="G12" s="27" t="str">
        <f>'Densidad de grupos (1)'!A28</f>
        <v>Trieres chinensis</v>
      </c>
      <c r="H12" s="27">
        <f>'Densidad de grupos (1)'!H28</f>
        <v>3</v>
      </c>
      <c r="I12" s="30" t="e">
        <f t="shared" si="0"/>
        <v>#VALUE!</v>
      </c>
      <c r="J12" s="30" t="e">
        <f t="shared" si="1"/>
        <v>#VALUE!</v>
      </c>
    </row>
    <row r="13" spans="1:10" x14ac:dyDescent="0.2">
      <c r="A13" s="28" t="str">
        <f t="shared" si="2"/>
        <v>Expedición-pacifico A 02</v>
      </c>
      <c r="B13" s="29" t="str">
        <f t="shared" si="3"/>
        <v>20 L</v>
      </c>
      <c r="C13" s="29">
        <f t="shared" si="4"/>
        <v>0</v>
      </c>
      <c r="D13" s="29">
        <f t="shared" si="5"/>
        <v>1</v>
      </c>
      <c r="E13" s="29">
        <f t="shared" si="6"/>
        <v>2</v>
      </c>
      <c r="F13" s="29">
        <f t="shared" si="7"/>
        <v>2</v>
      </c>
      <c r="G13" s="27" t="str">
        <f>'Densidad de grupos (1)'!A29</f>
        <v>Trieres mobiliensis</v>
      </c>
      <c r="H13" s="27">
        <f>'Densidad de grupos (1)'!H29</f>
        <v>1</v>
      </c>
      <c r="I13" s="30" t="e">
        <f t="shared" si="0"/>
        <v>#VALUE!</v>
      </c>
      <c r="J13" s="30" t="e">
        <f t="shared" si="1"/>
        <v>#VALUE!</v>
      </c>
    </row>
    <row r="14" spans="1:10" x14ac:dyDescent="0.2">
      <c r="A14" s="28" t="str">
        <f t="shared" si="2"/>
        <v>Expedición-pacifico A 02</v>
      </c>
      <c r="B14" s="29" t="str">
        <f t="shared" si="3"/>
        <v>20 L</v>
      </c>
      <c r="C14" s="29">
        <f t="shared" si="4"/>
        <v>0</v>
      </c>
      <c r="D14" s="29">
        <f t="shared" si="5"/>
        <v>1</v>
      </c>
      <c r="E14" s="29">
        <f t="shared" si="6"/>
        <v>2</v>
      </c>
      <c r="F14" s="29">
        <f t="shared" si="7"/>
        <v>2</v>
      </c>
      <c r="G14" s="27" t="str">
        <f>'Densidad de grupos (1)'!A30</f>
        <v>Skeletonema tropicum</v>
      </c>
      <c r="H14" s="27">
        <f>'Densidad de grupos (1)'!H30</f>
        <v>17</v>
      </c>
      <c r="I14" s="30" t="e">
        <f t="shared" si="0"/>
        <v>#VALUE!</v>
      </c>
      <c r="J14" s="30" t="e">
        <f t="shared" si="1"/>
        <v>#VALUE!</v>
      </c>
    </row>
    <row r="15" spans="1:10" x14ac:dyDescent="0.2">
      <c r="A15" s="28" t="str">
        <f t="shared" si="2"/>
        <v>Expedición-pacifico A 02</v>
      </c>
      <c r="B15" s="29" t="str">
        <f t="shared" si="3"/>
        <v>20 L</v>
      </c>
      <c r="C15" s="29">
        <f t="shared" si="4"/>
        <v>0</v>
      </c>
      <c r="D15" s="29">
        <f t="shared" si="5"/>
        <v>1</v>
      </c>
      <c r="E15" s="29">
        <f t="shared" si="6"/>
        <v>2</v>
      </c>
      <c r="F15" s="29">
        <f t="shared" si="7"/>
        <v>2</v>
      </c>
      <c r="G15" s="27" t="str">
        <f>'Densidad de grupos (1)'!A31</f>
        <v>Rhizosolenia imbrincata</v>
      </c>
      <c r="H15" s="27">
        <f>'Densidad de grupos (1)'!H31</f>
        <v>1</v>
      </c>
      <c r="I15" s="30" t="e">
        <f t="shared" si="0"/>
        <v>#VALUE!</v>
      </c>
      <c r="J15" s="30" t="e">
        <f t="shared" si="1"/>
        <v>#VALUE!</v>
      </c>
    </row>
    <row r="16" spans="1:10" x14ac:dyDescent="0.2">
      <c r="A16" s="28" t="str">
        <f t="shared" si="2"/>
        <v>Expedición-pacifico A 02</v>
      </c>
      <c r="B16" s="29" t="str">
        <f t="shared" si="3"/>
        <v>20 L</v>
      </c>
      <c r="C16" s="29">
        <f t="shared" si="4"/>
        <v>0</v>
      </c>
      <c r="D16" s="29">
        <f t="shared" si="5"/>
        <v>1</v>
      </c>
      <c r="E16" s="29">
        <f t="shared" si="6"/>
        <v>2</v>
      </c>
      <c r="F16" s="29">
        <f t="shared" si="7"/>
        <v>2</v>
      </c>
      <c r="G16" s="27" t="str">
        <f>'Densidad de grupos (1)'!A32</f>
        <v>Coscinodiscus granii</v>
      </c>
      <c r="H16" s="27">
        <f>'Densidad de grupos (1)'!H32</f>
        <v>1</v>
      </c>
      <c r="I16" s="30" t="e">
        <f t="shared" si="0"/>
        <v>#VALUE!</v>
      </c>
      <c r="J16" s="30" t="e">
        <f t="shared" si="1"/>
        <v>#VALUE!</v>
      </c>
    </row>
    <row r="17" spans="1:10" x14ac:dyDescent="0.2">
      <c r="A17" s="28" t="str">
        <f t="shared" si="2"/>
        <v>Expedición-pacifico A 02</v>
      </c>
      <c r="B17" s="29" t="str">
        <f t="shared" si="3"/>
        <v>20 L</v>
      </c>
      <c r="C17" s="29">
        <f t="shared" si="4"/>
        <v>0</v>
      </c>
      <c r="D17" s="29">
        <f t="shared" si="5"/>
        <v>1</v>
      </c>
      <c r="E17" s="29">
        <f t="shared" si="6"/>
        <v>2</v>
      </c>
      <c r="F17" s="29">
        <f t="shared" si="7"/>
        <v>2</v>
      </c>
      <c r="G17" s="27" t="str">
        <f>'Densidad de grupos (1)'!A33</f>
        <v>Thalassionema nitzschioides</v>
      </c>
      <c r="H17" s="27">
        <f>'Densidad de grupos (1)'!H33</f>
        <v>2</v>
      </c>
      <c r="I17" s="30" t="e">
        <f t="shared" si="0"/>
        <v>#VALUE!</v>
      </c>
      <c r="J17" s="30" t="e">
        <f t="shared" si="1"/>
        <v>#VALUE!</v>
      </c>
    </row>
    <row r="18" spans="1:10" x14ac:dyDescent="0.2">
      <c r="A18" s="28" t="str">
        <f t="shared" si="2"/>
        <v>Expedición-pacifico A 02</v>
      </c>
      <c r="B18" s="29" t="str">
        <f t="shared" si="3"/>
        <v>20 L</v>
      </c>
      <c r="C18" s="29">
        <f t="shared" si="4"/>
        <v>0</v>
      </c>
      <c r="D18" s="29">
        <f t="shared" si="5"/>
        <v>1</v>
      </c>
      <c r="E18" s="29">
        <f t="shared" si="6"/>
        <v>2</v>
      </c>
      <c r="F18" s="29">
        <f t="shared" si="7"/>
        <v>2</v>
      </c>
      <c r="G18" s="27" t="str">
        <f>'Densidad de grupos (1)'!A34</f>
        <v>Pseudonizschia sp</v>
      </c>
      <c r="H18" s="27">
        <f>'Densidad de grupos (1)'!H34</f>
        <v>4</v>
      </c>
      <c r="I18" s="30" t="e">
        <f t="shared" si="0"/>
        <v>#VALUE!</v>
      </c>
      <c r="J18" s="30" t="e">
        <f t="shared" si="1"/>
        <v>#VALUE!</v>
      </c>
    </row>
    <row r="19" spans="1:10" x14ac:dyDescent="0.2">
      <c r="A19" s="28" t="str">
        <f t="shared" si="2"/>
        <v>Expedición-pacifico A 02</v>
      </c>
      <c r="B19" s="29" t="str">
        <f t="shared" si="3"/>
        <v>20 L</v>
      </c>
      <c r="C19" s="29">
        <f t="shared" si="4"/>
        <v>0</v>
      </c>
      <c r="D19" s="29">
        <f t="shared" si="5"/>
        <v>1</v>
      </c>
      <c r="E19" s="29">
        <f t="shared" si="6"/>
        <v>2</v>
      </c>
      <c r="F19" s="29">
        <f t="shared" si="7"/>
        <v>2</v>
      </c>
      <c r="G19" s="27">
        <f>'[1]Densidad de Grupos'!A35</f>
        <v>0</v>
      </c>
      <c r="H19" s="27">
        <f>'Densidad de grupos (1)'!H35</f>
        <v>0</v>
      </c>
      <c r="I19" s="30" t="e">
        <f t="shared" si="0"/>
        <v>#VALUE!</v>
      </c>
      <c r="J19" s="30" t="e">
        <f t="shared" si="1"/>
        <v>#VALUE!</v>
      </c>
    </row>
    <row r="20" spans="1:10" x14ac:dyDescent="0.2">
      <c r="A20" s="28" t="str">
        <f t="shared" si="2"/>
        <v>Expedición-pacifico A 02</v>
      </c>
      <c r="B20" s="29" t="str">
        <f t="shared" si="3"/>
        <v>20 L</v>
      </c>
      <c r="C20" s="29">
        <f t="shared" si="4"/>
        <v>0</v>
      </c>
      <c r="D20" s="29">
        <f t="shared" si="5"/>
        <v>1</v>
      </c>
      <c r="E20" s="29">
        <f t="shared" si="6"/>
        <v>2</v>
      </c>
      <c r="F20" s="29">
        <f t="shared" si="7"/>
        <v>2</v>
      </c>
      <c r="G20" s="27">
        <f>'[2]Densidad de Grupos'!A36</f>
        <v>0</v>
      </c>
      <c r="H20" s="27">
        <f>'Densidad de grupos (1)'!H36</f>
        <v>0</v>
      </c>
      <c r="I20" s="30" t="e">
        <f t="shared" si="0"/>
        <v>#VALUE!</v>
      </c>
      <c r="J20" s="30" t="e">
        <f t="shared" si="1"/>
        <v>#VALUE!</v>
      </c>
    </row>
    <row r="21" spans="1:10" x14ac:dyDescent="0.2">
      <c r="A21" s="28" t="str">
        <f t="shared" si="2"/>
        <v>Expedición-pacifico A 02</v>
      </c>
      <c r="B21" s="29" t="str">
        <f t="shared" si="3"/>
        <v>20 L</v>
      </c>
      <c r="C21" s="29">
        <f t="shared" si="4"/>
        <v>0</v>
      </c>
      <c r="D21" s="29">
        <f t="shared" si="5"/>
        <v>1</v>
      </c>
      <c r="E21" s="29">
        <f t="shared" si="6"/>
        <v>2</v>
      </c>
      <c r="F21" s="29">
        <f t="shared" si="7"/>
        <v>2</v>
      </c>
      <c r="G21" s="27">
        <f>'[2]Densidad de Grupos'!A37</f>
        <v>0</v>
      </c>
      <c r="H21" s="27">
        <f>'Densidad de grupos (1)'!H37</f>
        <v>0</v>
      </c>
      <c r="I21" s="30" t="e">
        <f t="shared" si="0"/>
        <v>#VALUE!</v>
      </c>
      <c r="J21" s="30" t="e">
        <f t="shared" si="1"/>
        <v>#VALUE!</v>
      </c>
    </row>
    <row r="22" spans="1:10" x14ac:dyDescent="0.2">
      <c r="A22" s="28" t="str">
        <f t="shared" si="2"/>
        <v>Expedición-pacifico A 02</v>
      </c>
      <c r="B22" s="29" t="str">
        <f t="shared" si="3"/>
        <v>20 L</v>
      </c>
      <c r="C22" s="29">
        <f t="shared" si="4"/>
        <v>0</v>
      </c>
      <c r="D22" s="29">
        <f t="shared" si="5"/>
        <v>1</v>
      </c>
      <c r="E22" s="29">
        <f t="shared" si="6"/>
        <v>2</v>
      </c>
      <c r="F22" s="29">
        <f t="shared" si="7"/>
        <v>2</v>
      </c>
      <c r="G22" s="27">
        <f>'[2]Densidad de Grupos'!J18</f>
        <v>0</v>
      </c>
      <c r="H22" s="27">
        <f>'Densidad de grupos (1)'!H38</f>
        <v>0</v>
      </c>
      <c r="I22" s="30" t="e">
        <f t="shared" si="0"/>
        <v>#VALUE!</v>
      </c>
      <c r="J22" s="30" t="e">
        <f t="shared" si="1"/>
        <v>#VALUE!</v>
      </c>
    </row>
    <row r="23" spans="1:10" x14ac:dyDescent="0.2">
      <c r="A23" s="28" t="str">
        <f t="shared" si="2"/>
        <v>Expedición-pacifico A 02</v>
      </c>
      <c r="B23" s="29" t="str">
        <f t="shared" si="3"/>
        <v>20 L</v>
      </c>
      <c r="C23" s="29">
        <f t="shared" si="4"/>
        <v>0</v>
      </c>
      <c r="D23" s="29">
        <f t="shared" si="5"/>
        <v>1</v>
      </c>
      <c r="E23" s="29">
        <f t="shared" si="6"/>
        <v>2</v>
      </c>
      <c r="F23" s="29">
        <f t="shared" si="7"/>
        <v>2</v>
      </c>
      <c r="G23" s="27">
        <f>'[2]Densidad de Grupos'!J19</f>
        <v>0</v>
      </c>
      <c r="H23" s="27">
        <f>'Densidad de grupos (1)'!H39</f>
        <v>0</v>
      </c>
      <c r="I23" s="30" t="e">
        <f t="shared" si="0"/>
        <v>#VALUE!</v>
      </c>
      <c r="J23" s="30" t="e">
        <f t="shared" si="1"/>
        <v>#VALUE!</v>
      </c>
    </row>
    <row r="24" spans="1:10" x14ac:dyDescent="0.2">
      <c r="A24" s="28" t="str">
        <f t="shared" si="2"/>
        <v>Expedición-pacifico A 02</v>
      </c>
      <c r="B24" s="29" t="str">
        <f t="shared" si="3"/>
        <v>20 L</v>
      </c>
      <c r="C24" s="29">
        <f t="shared" si="4"/>
        <v>0</v>
      </c>
      <c r="D24" s="29">
        <f t="shared" si="5"/>
        <v>1</v>
      </c>
      <c r="E24" s="29">
        <f t="shared" si="6"/>
        <v>2</v>
      </c>
      <c r="F24" s="29">
        <f t="shared" si="7"/>
        <v>2</v>
      </c>
      <c r="G24" s="27">
        <f>'[2]Densidad de Grupos'!J20</f>
        <v>0</v>
      </c>
      <c r="H24" s="27">
        <f>'Densidad de grupos (1)'!H40</f>
        <v>0</v>
      </c>
      <c r="I24" s="30" t="e">
        <f t="shared" si="0"/>
        <v>#VALUE!</v>
      </c>
      <c r="J24" s="30" t="e">
        <f t="shared" si="1"/>
        <v>#VALUE!</v>
      </c>
    </row>
    <row r="25" spans="1:10" x14ac:dyDescent="0.2">
      <c r="A25" s="28" t="str">
        <f t="shared" si="2"/>
        <v>Expedición-pacifico A 02</v>
      </c>
      <c r="B25" s="29" t="str">
        <f t="shared" si="3"/>
        <v>20 L</v>
      </c>
      <c r="C25" s="29">
        <f t="shared" si="4"/>
        <v>0</v>
      </c>
      <c r="D25" s="29">
        <f t="shared" si="5"/>
        <v>1</v>
      </c>
      <c r="E25" s="29">
        <f t="shared" si="6"/>
        <v>2</v>
      </c>
      <c r="F25" s="29">
        <f t="shared" si="7"/>
        <v>2</v>
      </c>
      <c r="G25" s="27">
        <f>'[2]Densidad de Grupos'!J21</f>
        <v>0</v>
      </c>
      <c r="H25" s="27">
        <f>'Densidad de grupos (1)'!H41</f>
        <v>0</v>
      </c>
      <c r="I25" s="30" t="e">
        <f t="shared" si="0"/>
        <v>#VALUE!</v>
      </c>
      <c r="J25" s="30" t="e">
        <f t="shared" si="1"/>
        <v>#VALUE!</v>
      </c>
    </row>
    <row r="26" spans="1:10" x14ac:dyDescent="0.2">
      <c r="A26" s="28" t="str">
        <f t="shared" si="2"/>
        <v>Expedición-pacifico A 02</v>
      </c>
      <c r="B26" s="29" t="str">
        <f t="shared" si="3"/>
        <v>20 L</v>
      </c>
      <c r="C26" s="29">
        <f t="shared" si="4"/>
        <v>0</v>
      </c>
      <c r="D26" s="29">
        <f t="shared" si="5"/>
        <v>1</v>
      </c>
      <c r="E26" s="29">
        <f t="shared" si="6"/>
        <v>2</v>
      </c>
      <c r="F26" s="29">
        <f t="shared" si="7"/>
        <v>2</v>
      </c>
      <c r="G26" s="27">
        <f>'[1]Densidad de Grupos'!J22</f>
        <v>0</v>
      </c>
      <c r="H26" s="27">
        <f>'Densidad de grupos (1)'!H42</f>
        <v>0</v>
      </c>
      <c r="I26" s="30" t="e">
        <f t="shared" si="0"/>
        <v>#VALUE!</v>
      </c>
      <c r="J26" s="30" t="e">
        <f t="shared" si="1"/>
        <v>#VALUE!</v>
      </c>
    </row>
    <row r="27" spans="1:10" x14ac:dyDescent="0.2">
      <c r="A27" s="28" t="str">
        <f t="shared" si="2"/>
        <v>Expedición-pacifico A 02</v>
      </c>
      <c r="B27" s="29" t="str">
        <f t="shared" si="3"/>
        <v>20 L</v>
      </c>
      <c r="C27" s="29">
        <f t="shared" si="4"/>
        <v>0</v>
      </c>
      <c r="D27" s="29">
        <f t="shared" si="5"/>
        <v>1</v>
      </c>
      <c r="E27" s="29">
        <f t="shared" si="6"/>
        <v>2</v>
      </c>
      <c r="F27" s="29">
        <f t="shared" si="7"/>
        <v>2</v>
      </c>
      <c r="G27" s="27">
        <f>'[2]Densidad de Grupos'!J23</f>
        <v>0</v>
      </c>
      <c r="H27" s="27">
        <f>'Densidad de grupos (1)'!H43</f>
        <v>0</v>
      </c>
      <c r="I27" s="30" t="e">
        <f t="shared" si="0"/>
        <v>#VALUE!</v>
      </c>
      <c r="J27" s="30" t="e">
        <f t="shared" si="1"/>
        <v>#VALUE!</v>
      </c>
    </row>
    <row r="28" spans="1:10" x14ac:dyDescent="0.2">
      <c r="A28" s="28" t="str">
        <f t="shared" si="2"/>
        <v>Expedición-pacifico A 02</v>
      </c>
      <c r="B28" s="29" t="str">
        <f t="shared" si="3"/>
        <v>20 L</v>
      </c>
      <c r="C28" s="29">
        <f t="shared" si="4"/>
        <v>0</v>
      </c>
      <c r="D28" s="29">
        <f t="shared" si="5"/>
        <v>1</v>
      </c>
      <c r="E28" s="29">
        <f t="shared" si="6"/>
        <v>2</v>
      </c>
      <c r="F28" s="29">
        <f t="shared" si="7"/>
        <v>2</v>
      </c>
      <c r="G28" s="27">
        <f>'[2]Densidad de Grupos'!J24</f>
        <v>0</v>
      </c>
      <c r="H28" s="27">
        <f>'Densidad de grupos (1)'!H44</f>
        <v>0</v>
      </c>
      <c r="I28" s="30" t="e">
        <f t="shared" si="0"/>
        <v>#VALUE!</v>
      </c>
      <c r="J28" s="30" t="e">
        <f t="shared" si="1"/>
        <v>#VALUE!</v>
      </c>
    </row>
    <row r="29" spans="1:10" x14ac:dyDescent="0.2">
      <c r="A29" s="28" t="str">
        <f t="shared" si="2"/>
        <v>Expedición-pacifico A 02</v>
      </c>
      <c r="B29" s="29" t="str">
        <f t="shared" si="3"/>
        <v>20 L</v>
      </c>
      <c r="C29" s="29">
        <f t="shared" si="4"/>
        <v>0</v>
      </c>
      <c r="D29" s="29">
        <f t="shared" si="5"/>
        <v>1</v>
      </c>
      <c r="E29" s="29">
        <f t="shared" si="6"/>
        <v>2</v>
      </c>
      <c r="F29" s="29">
        <f t="shared" si="7"/>
        <v>2</v>
      </c>
      <c r="G29" s="27">
        <f>'[2]Densidad de Grupos'!J25</f>
        <v>0</v>
      </c>
      <c r="H29" s="27">
        <f>'Densidad de grupos (1)'!H45</f>
        <v>0</v>
      </c>
      <c r="I29" s="30" t="e">
        <f t="shared" si="0"/>
        <v>#VALUE!</v>
      </c>
      <c r="J29" s="30" t="e">
        <f t="shared" si="1"/>
        <v>#VALUE!</v>
      </c>
    </row>
    <row r="30" spans="1:10" x14ac:dyDescent="0.2">
      <c r="A30" s="28" t="str">
        <f t="shared" si="2"/>
        <v>Expedición-pacifico A 02</v>
      </c>
      <c r="B30" s="29" t="str">
        <f t="shared" si="3"/>
        <v>20 L</v>
      </c>
      <c r="C30" s="29">
        <f t="shared" si="4"/>
        <v>0</v>
      </c>
      <c r="D30" s="29">
        <f t="shared" si="5"/>
        <v>1</v>
      </c>
      <c r="E30" s="29">
        <f t="shared" si="6"/>
        <v>2</v>
      </c>
      <c r="F30" s="29">
        <f t="shared" si="7"/>
        <v>2</v>
      </c>
      <c r="G30" s="27">
        <f>'[2]Densidad de Grupos'!J26</f>
        <v>0</v>
      </c>
      <c r="H30" s="27">
        <f>'Densidad de grupos (1)'!H46</f>
        <v>0</v>
      </c>
      <c r="I30" s="30" t="e">
        <f t="shared" si="0"/>
        <v>#VALUE!</v>
      </c>
      <c r="J30" s="30" t="e">
        <f t="shared" si="1"/>
        <v>#VALUE!</v>
      </c>
    </row>
    <row r="31" spans="1:10" x14ac:dyDescent="0.2">
      <c r="A31" s="28" t="str">
        <f t="shared" si="2"/>
        <v>Expedición-pacifico A 02</v>
      </c>
      <c r="B31" s="29" t="str">
        <f t="shared" si="3"/>
        <v>20 L</v>
      </c>
      <c r="C31" s="29">
        <f t="shared" si="4"/>
        <v>0</v>
      </c>
      <c r="D31" s="29">
        <f t="shared" si="5"/>
        <v>1</v>
      </c>
      <c r="E31" s="29">
        <f t="shared" si="6"/>
        <v>2</v>
      </c>
      <c r="F31" s="29">
        <f t="shared" si="7"/>
        <v>2</v>
      </c>
      <c r="G31" s="27">
        <f>'[2]Densidad de Grupos'!J27</f>
        <v>0</v>
      </c>
      <c r="H31" s="27">
        <f>'Densidad de grupos (1)'!H47</f>
        <v>0</v>
      </c>
      <c r="I31" s="30" t="e">
        <f t="shared" si="0"/>
        <v>#VALUE!</v>
      </c>
      <c r="J31" s="30" t="e">
        <f t="shared" si="1"/>
        <v>#VALUE!</v>
      </c>
    </row>
    <row r="32" spans="1:10" x14ac:dyDescent="0.2">
      <c r="A32" s="28" t="str">
        <f t="shared" si="2"/>
        <v>Expedición-pacifico A 02</v>
      </c>
      <c r="B32" s="29" t="str">
        <f t="shared" si="3"/>
        <v>20 L</v>
      </c>
      <c r="C32" s="29">
        <f t="shared" si="4"/>
        <v>0</v>
      </c>
      <c r="D32" s="29">
        <f t="shared" si="5"/>
        <v>1</v>
      </c>
      <c r="E32" s="29">
        <f t="shared" si="6"/>
        <v>2</v>
      </c>
      <c r="F32" s="29">
        <f t="shared" si="7"/>
        <v>2</v>
      </c>
      <c r="G32" s="27">
        <f>'[2]Densidad de Grupos'!J28</f>
        <v>0</v>
      </c>
      <c r="H32" s="27">
        <f>'Densidad de grupos (1)'!H48</f>
        <v>0</v>
      </c>
      <c r="I32" s="30" t="e">
        <f t="shared" si="0"/>
        <v>#VALUE!</v>
      </c>
      <c r="J32" s="30" t="e">
        <f t="shared" si="1"/>
        <v>#VALUE!</v>
      </c>
    </row>
    <row r="33" spans="1:10" x14ac:dyDescent="0.2">
      <c r="A33" s="28" t="str">
        <f t="shared" si="2"/>
        <v>Expedición-pacifico A 02</v>
      </c>
      <c r="B33" s="29" t="str">
        <f t="shared" si="3"/>
        <v>20 L</v>
      </c>
      <c r="C33" s="29">
        <f t="shared" si="4"/>
        <v>0</v>
      </c>
      <c r="D33" s="29">
        <f t="shared" si="5"/>
        <v>1</v>
      </c>
      <c r="E33" s="29">
        <f t="shared" si="6"/>
        <v>2</v>
      </c>
      <c r="F33" s="29">
        <f t="shared" si="7"/>
        <v>2</v>
      </c>
      <c r="G33" s="27">
        <f>'[2]Densidad de Grupos'!J29</f>
        <v>0</v>
      </c>
      <c r="H33" s="27">
        <f>'Densidad de grupos (1)'!H49</f>
        <v>0</v>
      </c>
      <c r="I33" s="30" t="e">
        <f t="shared" si="0"/>
        <v>#VALUE!</v>
      </c>
      <c r="J33" s="30" t="e">
        <f t="shared" si="1"/>
        <v>#VALUE!</v>
      </c>
    </row>
    <row r="34" spans="1:10" x14ac:dyDescent="0.2">
      <c r="A34" s="28" t="str">
        <f t="shared" si="2"/>
        <v>Expedición-pacifico A 02</v>
      </c>
      <c r="B34" s="29" t="str">
        <f t="shared" si="3"/>
        <v>20 L</v>
      </c>
      <c r="C34" s="29">
        <f t="shared" si="4"/>
        <v>0</v>
      </c>
      <c r="D34" s="29">
        <f t="shared" si="5"/>
        <v>1</v>
      </c>
      <c r="E34" s="29">
        <f t="shared" si="6"/>
        <v>2</v>
      </c>
      <c r="F34" s="29">
        <f t="shared" si="7"/>
        <v>2</v>
      </c>
      <c r="G34" s="27">
        <f>'[2]Densidad de Grupos'!J30</f>
        <v>0</v>
      </c>
      <c r="H34" s="27">
        <f>'Densidad de grupos (1)'!H50</f>
        <v>0</v>
      </c>
      <c r="I34" s="30" t="e">
        <f t="shared" si="0"/>
        <v>#VALUE!</v>
      </c>
      <c r="J34" s="30" t="e">
        <f t="shared" si="1"/>
        <v>#VALUE!</v>
      </c>
    </row>
    <row r="35" spans="1:10" x14ac:dyDescent="0.2">
      <c r="A35" s="28" t="str">
        <f t="shared" si="2"/>
        <v>Expedición-pacifico A 02</v>
      </c>
      <c r="B35" s="29" t="str">
        <f t="shared" si="3"/>
        <v>20 L</v>
      </c>
      <c r="C35" s="29">
        <f t="shared" si="4"/>
        <v>0</v>
      </c>
      <c r="D35" s="29">
        <f t="shared" si="5"/>
        <v>1</v>
      </c>
      <c r="E35" s="29">
        <f t="shared" si="6"/>
        <v>2</v>
      </c>
      <c r="F35" s="29">
        <f t="shared" si="7"/>
        <v>2</v>
      </c>
      <c r="G35" s="27">
        <f>'[2]Densidad de Grupos'!J31</f>
        <v>0</v>
      </c>
      <c r="H35" s="27">
        <f>'Densidad de grupos (1)'!H51</f>
        <v>0</v>
      </c>
      <c r="I35" s="30" t="e">
        <f t="shared" si="0"/>
        <v>#VALUE!</v>
      </c>
      <c r="J35" s="30" t="e">
        <f t="shared" si="1"/>
        <v>#VALUE!</v>
      </c>
    </row>
    <row r="36" spans="1:10" x14ac:dyDescent="0.2">
      <c r="A36" s="28" t="str">
        <f t="shared" si="2"/>
        <v>Expedición-pacifico A 02</v>
      </c>
      <c r="B36" s="29" t="str">
        <f t="shared" si="3"/>
        <v>20 L</v>
      </c>
      <c r="C36" s="29">
        <f t="shared" si="4"/>
        <v>0</v>
      </c>
      <c r="D36" s="29">
        <f t="shared" si="5"/>
        <v>1</v>
      </c>
      <c r="E36" s="29">
        <f t="shared" si="6"/>
        <v>2</v>
      </c>
      <c r="F36" s="29">
        <f t="shared" si="7"/>
        <v>2</v>
      </c>
      <c r="G36" s="27">
        <f>'[2]Densidad de Grupos'!J32</f>
        <v>0</v>
      </c>
      <c r="H36" s="27">
        <f>'Densidad de grupos (1)'!H52</f>
        <v>0</v>
      </c>
      <c r="I36" s="30" t="e">
        <f t="shared" si="0"/>
        <v>#VALUE!</v>
      </c>
      <c r="J36" s="30" t="e">
        <f t="shared" si="1"/>
        <v>#VALUE!</v>
      </c>
    </row>
    <row r="37" spans="1:10" x14ac:dyDescent="0.2">
      <c r="A37" s="28" t="str">
        <f t="shared" si="2"/>
        <v>Expedición-pacifico A 02</v>
      </c>
      <c r="B37" s="29" t="str">
        <f t="shared" si="3"/>
        <v>20 L</v>
      </c>
      <c r="C37" s="29">
        <f t="shared" si="4"/>
        <v>0</v>
      </c>
      <c r="D37" s="29">
        <f t="shared" si="5"/>
        <v>1</v>
      </c>
      <c r="E37" s="29">
        <f t="shared" si="6"/>
        <v>2</v>
      </c>
      <c r="F37" s="29">
        <f t="shared" si="7"/>
        <v>2</v>
      </c>
      <c r="G37" s="27">
        <f>'[2]Densidad de Grupos'!J33</f>
        <v>0</v>
      </c>
      <c r="H37" s="27">
        <f>'Densidad de grupos (1)'!H53</f>
        <v>0</v>
      </c>
      <c r="I37" s="30" t="e">
        <f t="shared" si="0"/>
        <v>#VALUE!</v>
      </c>
      <c r="J37" s="30" t="e">
        <f t="shared" si="1"/>
        <v>#VALUE!</v>
      </c>
    </row>
    <row r="38" spans="1:10" x14ac:dyDescent="0.2">
      <c r="A38" s="28" t="str">
        <f t="shared" si="2"/>
        <v>Expedición-pacifico A 02</v>
      </c>
      <c r="B38" s="29" t="str">
        <f t="shared" si="3"/>
        <v>20 L</v>
      </c>
      <c r="C38" s="29">
        <f t="shared" si="4"/>
        <v>0</v>
      </c>
      <c r="D38" s="29">
        <f t="shared" si="5"/>
        <v>1</v>
      </c>
      <c r="E38" s="29">
        <f t="shared" si="6"/>
        <v>2</v>
      </c>
      <c r="F38" s="29">
        <f t="shared" si="7"/>
        <v>2</v>
      </c>
      <c r="G38" s="27">
        <f>'[2]Densidad de Grupos'!J34</f>
        <v>0</v>
      </c>
      <c r="H38" s="27">
        <f>'Densidad de grupos (1)'!H54</f>
        <v>0</v>
      </c>
      <c r="I38" s="30" t="e">
        <f t="shared" si="0"/>
        <v>#VALUE!</v>
      </c>
      <c r="J38" s="30" t="e">
        <f t="shared" si="1"/>
        <v>#VALUE!</v>
      </c>
    </row>
    <row r="39" spans="1:10" x14ac:dyDescent="0.2">
      <c r="A39" s="28" t="str">
        <f t="shared" si="2"/>
        <v>Expedición-pacifico A 02</v>
      </c>
      <c r="B39" s="29" t="str">
        <f t="shared" si="3"/>
        <v>20 L</v>
      </c>
      <c r="C39" s="29">
        <f t="shared" si="4"/>
        <v>0</v>
      </c>
      <c r="D39" s="29">
        <f t="shared" si="5"/>
        <v>1</v>
      </c>
      <c r="E39" s="29">
        <f t="shared" si="6"/>
        <v>2</v>
      </c>
      <c r="F39" s="29">
        <f t="shared" si="7"/>
        <v>2</v>
      </c>
      <c r="G39" s="27">
        <f>'[2]Densidad de Grupos'!J35</f>
        <v>0</v>
      </c>
      <c r="H39" s="27">
        <f>'Densidad de grupos (1)'!H55</f>
        <v>0</v>
      </c>
      <c r="I39" s="30" t="e">
        <f t="shared" si="0"/>
        <v>#VALUE!</v>
      </c>
      <c r="J39" s="30" t="e">
        <f t="shared" si="1"/>
        <v>#VALUE!</v>
      </c>
    </row>
    <row r="40" spans="1:10" x14ac:dyDescent="0.2">
      <c r="A40" s="28" t="str">
        <f t="shared" si="2"/>
        <v>Expedición-pacifico A 02</v>
      </c>
      <c r="B40" s="29" t="str">
        <f t="shared" si="3"/>
        <v>20 L</v>
      </c>
      <c r="C40" s="29">
        <f t="shared" si="4"/>
        <v>0</v>
      </c>
      <c r="D40" s="29">
        <f t="shared" si="5"/>
        <v>1</v>
      </c>
      <c r="E40" s="29">
        <f t="shared" si="6"/>
        <v>2</v>
      </c>
      <c r="F40" s="29">
        <f t="shared" si="7"/>
        <v>2</v>
      </c>
      <c r="G40" s="27">
        <f>'[2]Densidad de Grupos'!J36</f>
        <v>0</v>
      </c>
      <c r="H40" s="27">
        <f>'Densidad de grupos (1)'!H56</f>
        <v>0</v>
      </c>
      <c r="I40" s="30" t="e">
        <f t="shared" si="0"/>
        <v>#VALUE!</v>
      </c>
      <c r="J40" s="30" t="e">
        <f t="shared" si="1"/>
        <v>#VALUE!</v>
      </c>
    </row>
    <row r="41" spans="1:10" x14ac:dyDescent="0.2">
      <c r="A41" s="28" t="str">
        <f t="shared" si="2"/>
        <v>Expedición-pacifico A 02</v>
      </c>
      <c r="B41" s="29" t="str">
        <f t="shared" si="3"/>
        <v>20 L</v>
      </c>
      <c r="C41" s="29">
        <f t="shared" si="4"/>
        <v>0</v>
      </c>
      <c r="D41" s="29">
        <f t="shared" si="5"/>
        <v>1</v>
      </c>
      <c r="E41" s="29">
        <f t="shared" si="6"/>
        <v>2</v>
      </c>
      <c r="F41" s="29">
        <f t="shared" si="7"/>
        <v>2</v>
      </c>
      <c r="G41" s="27">
        <f>'[2]Densidad de Grupos'!J37</f>
        <v>0</v>
      </c>
      <c r="H41" s="27">
        <f>'Densidad de grupos (1)'!H57</f>
        <v>0</v>
      </c>
      <c r="I41" s="30" t="e">
        <f t="shared" si="0"/>
        <v>#VALUE!</v>
      </c>
      <c r="J41" s="30" t="e">
        <f t="shared" si="1"/>
        <v>#VALUE!</v>
      </c>
    </row>
    <row r="42" spans="1:10" x14ac:dyDescent="0.2">
      <c r="A42" s="28" t="str">
        <f t="shared" si="2"/>
        <v>Expedición-pacifico A 02</v>
      </c>
      <c r="B42" s="29" t="str">
        <f t="shared" si="3"/>
        <v>20 L</v>
      </c>
      <c r="C42" s="29">
        <f t="shared" si="4"/>
        <v>0</v>
      </c>
      <c r="D42" s="29">
        <f t="shared" si="5"/>
        <v>1</v>
      </c>
      <c r="E42" s="29">
        <f t="shared" si="6"/>
        <v>2</v>
      </c>
      <c r="F42" s="29">
        <f t="shared" si="7"/>
        <v>2</v>
      </c>
      <c r="G42" s="27">
        <f>'[2]Densidad de Grupos'!P18</f>
        <v>0</v>
      </c>
      <c r="H42" s="27">
        <f>'Densidad de grupos (1)'!H58</f>
        <v>0</v>
      </c>
      <c r="I42" s="30" t="e">
        <f t="shared" si="0"/>
        <v>#VALUE!</v>
      </c>
      <c r="J42" s="30" t="e">
        <f t="shared" si="1"/>
        <v>#VALUE!</v>
      </c>
    </row>
    <row r="43" spans="1:10" x14ac:dyDescent="0.2">
      <c r="A43" s="28" t="str">
        <f t="shared" si="2"/>
        <v>Expedición-pacifico A 02</v>
      </c>
      <c r="B43" s="29" t="str">
        <f t="shared" si="3"/>
        <v>20 L</v>
      </c>
      <c r="C43" s="29">
        <f t="shared" si="4"/>
        <v>0</v>
      </c>
      <c r="D43" s="29">
        <f t="shared" si="5"/>
        <v>1</v>
      </c>
      <c r="E43" s="29">
        <f t="shared" si="6"/>
        <v>2</v>
      </c>
      <c r="F43" s="29">
        <f t="shared" si="7"/>
        <v>2</v>
      </c>
      <c r="G43" s="27">
        <f>'[2]Densidad de Grupos'!P19</f>
        <v>0</v>
      </c>
      <c r="H43" s="27">
        <f>'Densidad de grupos (1)'!H59</f>
        <v>0</v>
      </c>
      <c r="I43" s="30" t="e">
        <f t="shared" si="0"/>
        <v>#VALUE!</v>
      </c>
      <c r="J43" s="30" t="e">
        <f t="shared" si="1"/>
        <v>#VALUE!</v>
      </c>
    </row>
    <row r="44" spans="1:10" x14ac:dyDescent="0.2">
      <c r="A44" s="28" t="str">
        <f t="shared" si="2"/>
        <v>Expedición-pacifico A 02</v>
      </c>
      <c r="B44" s="29" t="str">
        <f t="shared" si="3"/>
        <v>20 L</v>
      </c>
      <c r="C44" s="29">
        <f t="shared" si="4"/>
        <v>0</v>
      </c>
      <c r="D44" s="29">
        <f t="shared" si="5"/>
        <v>1</v>
      </c>
      <c r="E44" s="29">
        <f t="shared" si="6"/>
        <v>2</v>
      </c>
      <c r="F44" s="29">
        <f t="shared" si="7"/>
        <v>2</v>
      </c>
      <c r="G44" s="27">
        <f>'[2]Densidad de Grupos'!P20</f>
        <v>0</v>
      </c>
      <c r="H44" s="27">
        <f>'Densidad de grupos (1)'!H60</f>
        <v>0</v>
      </c>
      <c r="I44" s="30" t="e">
        <f t="shared" si="0"/>
        <v>#VALUE!</v>
      </c>
      <c r="J44" s="30" t="e">
        <f t="shared" si="1"/>
        <v>#VALUE!</v>
      </c>
    </row>
    <row r="45" spans="1:10" x14ac:dyDescent="0.2">
      <c r="A45" s="28" t="str">
        <f t="shared" si="2"/>
        <v>Expedición-pacifico A 02</v>
      </c>
      <c r="B45" s="29" t="str">
        <f t="shared" si="3"/>
        <v>20 L</v>
      </c>
      <c r="C45" s="29">
        <f t="shared" si="4"/>
        <v>0</v>
      </c>
      <c r="D45" s="29">
        <f t="shared" si="5"/>
        <v>1</v>
      </c>
      <c r="E45" s="29">
        <f t="shared" si="6"/>
        <v>2</v>
      </c>
      <c r="F45" s="29">
        <f t="shared" si="7"/>
        <v>2</v>
      </c>
      <c r="G45" s="27">
        <f>'[2]Densidad de Grupos'!P21</f>
        <v>0</v>
      </c>
      <c r="H45" s="27">
        <f>'Densidad de grupos (1)'!H61</f>
        <v>0</v>
      </c>
      <c r="I45" s="30" t="e">
        <f t="shared" si="0"/>
        <v>#VALUE!</v>
      </c>
      <c r="J45" s="30" t="e">
        <f t="shared" si="1"/>
        <v>#VALUE!</v>
      </c>
    </row>
    <row r="46" spans="1:10" x14ac:dyDescent="0.2">
      <c r="A46" s="28" t="str">
        <f t="shared" si="2"/>
        <v>Expedición-pacifico A 02</v>
      </c>
      <c r="B46" s="29" t="str">
        <f t="shared" si="3"/>
        <v>20 L</v>
      </c>
      <c r="C46" s="29">
        <f t="shared" si="4"/>
        <v>0</v>
      </c>
      <c r="D46" s="29">
        <f t="shared" si="5"/>
        <v>1</v>
      </c>
      <c r="E46" s="29">
        <f t="shared" si="6"/>
        <v>2</v>
      </c>
      <c r="F46" s="29">
        <f t="shared" si="7"/>
        <v>2</v>
      </c>
      <c r="G46" s="27">
        <f>'[2]Densidad de Grupos'!P22</f>
        <v>0</v>
      </c>
      <c r="H46" s="27">
        <f>'Densidad de grupos (1)'!H62</f>
        <v>0</v>
      </c>
      <c r="I46" s="30" t="e">
        <f t="shared" si="0"/>
        <v>#VALUE!</v>
      </c>
      <c r="J46" s="30" t="e">
        <f t="shared" si="1"/>
        <v>#VALUE!</v>
      </c>
    </row>
    <row r="47" spans="1:10" x14ac:dyDescent="0.2">
      <c r="A47" s="28" t="str">
        <f t="shared" si="2"/>
        <v>Expedición-pacifico A 02</v>
      </c>
      <c r="B47" s="29" t="str">
        <f t="shared" si="3"/>
        <v>20 L</v>
      </c>
      <c r="C47" s="29">
        <f t="shared" si="4"/>
        <v>0</v>
      </c>
      <c r="D47" s="29">
        <f t="shared" si="5"/>
        <v>1</v>
      </c>
      <c r="E47" s="29">
        <f t="shared" si="6"/>
        <v>2</v>
      </c>
      <c r="F47" s="29">
        <f t="shared" si="7"/>
        <v>2</v>
      </c>
      <c r="G47" s="27">
        <f>'[2]Densidad de Grupos'!P23</f>
        <v>0</v>
      </c>
      <c r="H47" s="27">
        <f>'Densidad de grupos (1)'!H63</f>
        <v>0</v>
      </c>
      <c r="I47" s="30" t="e">
        <f t="shared" si="0"/>
        <v>#VALUE!</v>
      </c>
      <c r="J47" s="30" t="e">
        <f t="shared" si="1"/>
        <v>#VALUE!</v>
      </c>
    </row>
    <row r="48" spans="1:10" x14ac:dyDescent="0.2">
      <c r="A48" s="28" t="str">
        <f t="shared" si="2"/>
        <v>Expedición-pacifico A 02</v>
      </c>
      <c r="B48" s="29" t="str">
        <f t="shared" si="3"/>
        <v>20 L</v>
      </c>
      <c r="C48" s="29">
        <f t="shared" si="4"/>
        <v>0</v>
      </c>
      <c r="D48" s="29">
        <f t="shared" si="5"/>
        <v>1</v>
      </c>
      <c r="E48" s="29">
        <f t="shared" si="6"/>
        <v>2</v>
      </c>
      <c r="F48" s="29">
        <f t="shared" si="7"/>
        <v>2</v>
      </c>
      <c r="G48" s="27">
        <f>'[2]Densidad de Grupos'!P24</f>
        <v>0</v>
      </c>
      <c r="H48" s="27">
        <f>'Densidad de grupos (1)'!H64</f>
        <v>0</v>
      </c>
      <c r="I48" s="30" t="e">
        <f t="shared" si="0"/>
        <v>#VALUE!</v>
      </c>
      <c r="J48" s="30" t="e">
        <f t="shared" si="1"/>
        <v>#VALUE!</v>
      </c>
    </row>
    <row r="49" spans="1:10" x14ac:dyDescent="0.2">
      <c r="A49" s="28" t="str">
        <f t="shared" si="2"/>
        <v>Expedición-pacifico A 02</v>
      </c>
      <c r="B49" s="29" t="str">
        <f t="shared" si="3"/>
        <v>20 L</v>
      </c>
      <c r="C49" s="29">
        <f t="shared" si="4"/>
        <v>0</v>
      </c>
      <c r="D49" s="29">
        <f t="shared" si="5"/>
        <v>1</v>
      </c>
      <c r="E49" s="29">
        <f t="shared" si="6"/>
        <v>2</v>
      </c>
      <c r="F49" s="29">
        <f t="shared" si="7"/>
        <v>2</v>
      </c>
      <c r="G49" s="27">
        <f>'[2]Densidad de Grupos'!P25</f>
        <v>0</v>
      </c>
      <c r="H49" s="27">
        <f>'Densidad de grupos (1)'!H65</f>
        <v>0</v>
      </c>
      <c r="I49" s="30" t="e">
        <f t="shared" si="0"/>
        <v>#VALUE!</v>
      </c>
      <c r="J49" s="30" t="e">
        <f t="shared" si="1"/>
        <v>#VALUE!</v>
      </c>
    </row>
    <row r="50" spans="1:10" x14ac:dyDescent="0.2">
      <c r="A50" s="28" t="str">
        <f t="shared" si="2"/>
        <v>Expedición-pacifico A 02</v>
      </c>
      <c r="B50" s="29" t="str">
        <f t="shared" si="3"/>
        <v>20 L</v>
      </c>
      <c r="C50" s="29">
        <f t="shared" si="4"/>
        <v>0</v>
      </c>
      <c r="D50" s="29">
        <f t="shared" si="5"/>
        <v>1</v>
      </c>
      <c r="E50" s="29">
        <f t="shared" si="6"/>
        <v>2</v>
      </c>
      <c r="F50" s="29">
        <f t="shared" si="7"/>
        <v>2</v>
      </c>
      <c r="G50" s="27">
        <f>'[2]Densidad de Grupos'!P26</f>
        <v>0</v>
      </c>
      <c r="H50" s="27">
        <f>'Densidad de grupos (1)'!H66</f>
        <v>0</v>
      </c>
      <c r="I50" s="30" t="e">
        <f t="shared" si="0"/>
        <v>#VALUE!</v>
      </c>
      <c r="J50" s="30" t="e">
        <f t="shared" si="1"/>
        <v>#VALUE!</v>
      </c>
    </row>
    <row r="51" spans="1:10" x14ac:dyDescent="0.2">
      <c r="A51" s="28" t="str">
        <f t="shared" si="2"/>
        <v>Expedición-pacifico A 02</v>
      </c>
      <c r="B51" s="29" t="str">
        <f t="shared" si="3"/>
        <v>20 L</v>
      </c>
      <c r="C51" s="29">
        <f t="shared" si="4"/>
        <v>0</v>
      </c>
      <c r="D51" s="29">
        <f t="shared" si="5"/>
        <v>1</v>
      </c>
      <c r="E51" s="29">
        <f t="shared" si="6"/>
        <v>2</v>
      </c>
      <c r="F51" s="29">
        <f t="shared" si="7"/>
        <v>2</v>
      </c>
      <c r="G51" s="27">
        <f>'[2]Densidad de Grupos'!P27</f>
        <v>0</v>
      </c>
      <c r="H51" s="27">
        <f>'Densidad de grupos (1)'!H67</f>
        <v>0</v>
      </c>
      <c r="I51" s="30" t="e">
        <f t="shared" si="0"/>
        <v>#VALUE!</v>
      </c>
      <c r="J51" s="30" t="e">
        <f t="shared" si="1"/>
        <v>#VALUE!</v>
      </c>
    </row>
    <row r="52" spans="1:10" x14ac:dyDescent="0.2">
      <c r="A52" s="28" t="str">
        <f t="shared" si="2"/>
        <v>Expedición-pacifico A 02</v>
      </c>
      <c r="B52" s="29" t="str">
        <f t="shared" si="3"/>
        <v>20 L</v>
      </c>
      <c r="C52" s="29">
        <f t="shared" si="4"/>
        <v>0</v>
      </c>
      <c r="D52" s="29">
        <f t="shared" si="5"/>
        <v>1</v>
      </c>
      <c r="E52" s="29">
        <f t="shared" si="6"/>
        <v>2</v>
      </c>
      <c r="F52" s="29">
        <f t="shared" si="7"/>
        <v>2</v>
      </c>
      <c r="G52" s="27">
        <f>'[2]Densidad de Grupos'!P28</f>
        <v>0</v>
      </c>
      <c r="H52" s="27">
        <f>'Densidad de grupos (1)'!H68</f>
        <v>0</v>
      </c>
      <c r="I52" s="30" t="e">
        <f t="shared" si="0"/>
        <v>#VALUE!</v>
      </c>
      <c r="J52" s="30" t="e">
        <f t="shared" si="1"/>
        <v>#VALUE!</v>
      </c>
    </row>
    <row r="53" spans="1:10" x14ac:dyDescent="0.2">
      <c r="A53" s="28" t="str">
        <f t="shared" si="2"/>
        <v>Expedición-pacifico A 02</v>
      </c>
      <c r="B53" s="29" t="str">
        <f t="shared" si="3"/>
        <v>20 L</v>
      </c>
      <c r="C53" s="29">
        <f t="shared" si="4"/>
        <v>0</v>
      </c>
      <c r="D53" s="29">
        <f t="shared" si="5"/>
        <v>1</v>
      </c>
      <c r="E53" s="29">
        <f t="shared" si="6"/>
        <v>2</v>
      </c>
      <c r="F53" s="29">
        <f t="shared" si="7"/>
        <v>2</v>
      </c>
      <c r="G53" s="27">
        <f>'[2]Densidad de Grupos'!P29</f>
        <v>0</v>
      </c>
      <c r="H53" s="27">
        <f>'Densidad de grupos (1)'!H69</f>
        <v>0</v>
      </c>
      <c r="I53" s="30" t="e">
        <f t="shared" si="0"/>
        <v>#VALUE!</v>
      </c>
      <c r="J53" s="30" t="e">
        <f t="shared" si="1"/>
        <v>#VALUE!</v>
      </c>
    </row>
    <row r="54" spans="1:10" x14ac:dyDescent="0.2">
      <c r="A54" s="28" t="str">
        <f t="shared" si="2"/>
        <v>Expedición-pacifico A 02</v>
      </c>
      <c r="B54" s="29" t="str">
        <f t="shared" si="3"/>
        <v>20 L</v>
      </c>
      <c r="C54" s="29">
        <f t="shared" si="4"/>
        <v>0</v>
      </c>
      <c r="D54" s="29">
        <f t="shared" si="5"/>
        <v>1</v>
      </c>
      <c r="E54" s="29">
        <f t="shared" si="6"/>
        <v>2</v>
      </c>
      <c r="F54" s="29">
        <f t="shared" si="7"/>
        <v>2</v>
      </c>
      <c r="G54" s="27">
        <f>'[2]Densidad de Grupos'!P30</f>
        <v>0</v>
      </c>
      <c r="H54" s="27">
        <f>'Densidad de grupos (1)'!H70</f>
        <v>0</v>
      </c>
      <c r="I54" s="30" t="e">
        <f t="shared" si="0"/>
        <v>#VALUE!</v>
      </c>
      <c r="J54" s="30" t="e">
        <f t="shared" si="1"/>
        <v>#VALUE!</v>
      </c>
    </row>
    <row r="55" spans="1:10" x14ac:dyDescent="0.2">
      <c r="A55" s="28" t="str">
        <f t="shared" si="2"/>
        <v>Expedición-pacifico A 02</v>
      </c>
      <c r="B55" s="29" t="str">
        <f t="shared" si="3"/>
        <v>20 L</v>
      </c>
      <c r="C55" s="29">
        <f t="shared" si="4"/>
        <v>0</v>
      </c>
      <c r="D55" s="29">
        <f t="shared" si="5"/>
        <v>1</v>
      </c>
      <c r="E55" s="29">
        <f t="shared" si="6"/>
        <v>2</v>
      </c>
      <c r="F55" s="29">
        <f t="shared" si="7"/>
        <v>2</v>
      </c>
      <c r="G55" s="27">
        <f>'[2]Densidad de Grupos'!P31</f>
        <v>0</v>
      </c>
      <c r="H55" s="27">
        <f>'Densidad de grupos (1)'!H71</f>
        <v>0</v>
      </c>
      <c r="I55" s="30" t="e">
        <f t="shared" si="0"/>
        <v>#VALUE!</v>
      </c>
      <c r="J55" s="30" t="e">
        <f t="shared" si="1"/>
        <v>#VALUE!</v>
      </c>
    </row>
    <row r="56" spans="1:10" x14ac:dyDescent="0.2">
      <c r="A56" s="28" t="str">
        <f t="shared" si="2"/>
        <v>Expedición-pacifico A 02</v>
      </c>
      <c r="B56" s="29" t="str">
        <f t="shared" si="3"/>
        <v>20 L</v>
      </c>
      <c r="C56" s="29">
        <f t="shared" si="4"/>
        <v>0</v>
      </c>
      <c r="D56" s="29">
        <f t="shared" si="5"/>
        <v>1</v>
      </c>
      <c r="E56" s="29">
        <f t="shared" si="6"/>
        <v>2</v>
      </c>
      <c r="F56" s="29">
        <f t="shared" si="7"/>
        <v>2</v>
      </c>
      <c r="G56" s="27">
        <f>'[2]Densidad de Grupos'!P32</f>
        <v>0</v>
      </c>
      <c r="H56" s="27">
        <f>'Densidad de grupos (1)'!H72</f>
        <v>0</v>
      </c>
      <c r="I56" s="30" t="e">
        <f t="shared" si="0"/>
        <v>#VALUE!</v>
      </c>
      <c r="J56" s="30" t="e">
        <f t="shared" si="1"/>
        <v>#VALUE!</v>
      </c>
    </row>
    <row r="57" spans="1:10" x14ac:dyDescent="0.2">
      <c r="A57" s="28" t="str">
        <f t="shared" si="2"/>
        <v>Expedición-pacifico A 02</v>
      </c>
      <c r="B57" s="29" t="str">
        <f t="shared" si="3"/>
        <v>20 L</v>
      </c>
      <c r="C57" s="29">
        <f t="shared" si="4"/>
        <v>0</v>
      </c>
      <c r="D57" s="29">
        <f t="shared" si="5"/>
        <v>1</v>
      </c>
      <c r="E57" s="29">
        <f t="shared" si="6"/>
        <v>2</v>
      </c>
      <c r="F57" s="29">
        <f t="shared" si="7"/>
        <v>2</v>
      </c>
      <c r="G57" s="27">
        <f>'[2]Densidad de Grupos'!P33</f>
        <v>0</v>
      </c>
      <c r="H57" s="27">
        <f>'Densidad de grupos (1)'!H73</f>
        <v>0</v>
      </c>
      <c r="I57" s="30" t="e">
        <f t="shared" si="0"/>
        <v>#VALUE!</v>
      </c>
      <c r="J57" s="30" t="e">
        <f t="shared" si="1"/>
        <v>#VALUE!</v>
      </c>
    </row>
    <row r="58" spans="1:10" x14ac:dyDescent="0.2">
      <c r="A58" s="28" t="str">
        <f t="shared" si="2"/>
        <v>Expedición-pacifico A 02</v>
      </c>
      <c r="B58" s="29" t="str">
        <f t="shared" si="3"/>
        <v>20 L</v>
      </c>
      <c r="C58" s="29">
        <f t="shared" si="4"/>
        <v>0</v>
      </c>
      <c r="D58" s="29">
        <f t="shared" si="5"/>
        <v>1</v>
      </c>
      <c r="E58" s="29">
        <f t="shared" si="6"/>
        <v>2</v>
      </c>
      <c r="F58" s="29">
        <f t="shared" si="7"/>
        <v>2</v>
      </c>
      <c r="G58" s="27">
        <f>'[2]Densidad de Grupos'!P34</f>
        <v>0</v>
      </c>
      <c r="H58" s="27">
        <f>'Densidad de grupos (1)'!H74</f>
        <v>0</v>
      </c>
      <c r="I58" s="30" t="e">
        <f t="shared" si="0"/>
        <v>#VALUE!</v>
      </c>
      <c r="J58" s="30" t="e">
        <f t="shared" si="1"/>
        <v>#VALUE!</v>
      </c>
    </row>
    <row r="59" spans="1:10" x14ac:dyDescent="0.2">
      <c r="A59" s="28" t="str">
        <f t="shared" si="2"/>
        <v>Expedición-pacifico A 02</v>
      </c>
      <c r="B59" s="29" t="str">
        <f t="shared" si="3"/>
        <v>20 L</v>
      </c>
      <c r="C59" s="29">
        <f t="shared" si="4"/>
        <v>0</v>
      </c>
      <c r="D59" s="29">
        <f t="shared" si="5"/>
        <v>1</v>
      </c>
      <c r="E59" s="29">
        <f t="shared" si="6"/>
        <v>2</v>
      </c>
      <c r="F59" s="29">
        <f t="shared" si="7"/>
        <v>2</v>
      </c>
      <c r="G59" s="27">
        <f>'[2]Densidad de Grupos'!P35</f>
        <v>0</v>
      </c>
      <c r="H59" s="27">
        <f>'Densidad de grupos (1)'!H75</f>
        <v>0</v>
      </c>
      <c r="I59" s="30" t="e">
        <f t="shared" si="0"/>
        <v>#VALUE!</v>
      </c>
      <c r="J59" s="30" t="e">
        <f t="shared" si="1"/>
        <v>#VALUE!</v>
      </c>
    </row>
    <row r="60" spans="1:10" x14ac:dyDescent="0.2">
      <c r="A60" s="28" t="str">
        <f t="shared" si="2"/>
        <v>Expedición-pacifico A 02</v>
      </c>
      <c r="B60" s="29" t="str">
        <f t="shared" si="3"/>
        <v>20 L</v>
      </c>
      <c r="C60" s="29">
        <f t="shared" si="4"/>
        <v>0</v>
      </c>
      <c r="D60" s="29">
        <f t="shared" si="5"/>
        <v>1</v>
      </c>
      <c r="E60" s="29">
        <f t="shared" si="6"/>
        <v>2</v>
      </c>
      <c r="F60" s="29">
        <f t="shared" si="7"/>
        <v>2</v>
      </c>
      <c r="G60" s="27">
        <f>'[2]Densidad de Grupos'!P36</f>
        <v>0</v>
      </c>
      <c r="H60" s="27">
        <f>'Densidad de grupos (1)'!H76</f>
        <v>0</v>
      </c>
      <c r="I60" s="30" t="e">
        <f t="shared" si="0"/>
        <v>#VALUE!</v>
      </c>
      <c r="J60" s="30" t="e">
        <f t="shared" si="1"/>
        <v>#VALUE!</v>
      </c>
    </row>
    <row r="61" spans="1:10" x14ac:dyDescent="0.2">
      <c r="A61" s="28" t="str">
        <f t="shared" si="2"/>
        <v>Expedición-pacifico A 02</v>
      </c>
      <c r="B61" s="29" t="str">
        <f t="shared" si="3"/>
        <v>20 L</v>
      </c>
      <c r="C61" s="29">
        <f t="shared" si="4"/>
        <v>0</v>
      </c>
      <c r="D61" s="29">
        <f t="shared" si="5"/>
        <v>1</v>
      </c>
      <c r="E61" s="29">
        <f t="shared" si="6"/>
        <v>2</v>
      </c>
      <c r="F61" s="29">
        <f t="shared" si="7"/>
        <v>2</v>
      </c>
      <c r="G61" s="27">
        <f>'[2]Densidad de Grupos'!P37</f>
        <v>0</v>
      </c>
      <c r="H61" s="27">
        <f>'Densidad de grupos (1)'!H77</f>
        <v>0</v>
      </c>
      <c r="I61" s="30" t="e">
        <f t="shared" si="0"/>
        <v>#VALUE!</v>
      </c>
      <c r="J61" s="30" t="e">
        <f t="shared" si="1"/>
        <v>#VALUE!</v>
      </c>
    </row>
    <row r="62" spans="1:10" x14ac:dyDescent="0.2">
      <c r="A62" s="28" t="str">
        <f t="shared" si="2"/>
        <v>Expedición-pacifico A 02</v>
      </c>
      <c r="B62" s="29" t="str">
        <f t="shared" si="3"/>
        <v>20 L</v>
      </c>
      <c r="C62" s="29">
        <f t="shared" si="4"/>
        <v>0</v>
      </c>
      <c r="D62" s="29">
        <f t="shared" si="5"/>
        <v>1</v>
      </c>
      <c r="E62" s="29">
        <f t="shared" si="6"/>
        <v>2</v>
      </c>
      <c r="F62" s="29">
        <f t="shared" si="7"/>
        <v>2</v>
      </c>
      <c r="G62" s="27">
        <f>'[2]Densidad de Grupos'!W18</f>
        <v>0</v>
      </c>
      <c r="H62" s="27">
        <f>'Densidad de grupos (1)'!H78</f>
        <v>0</v>
      </c>
      <c r="I62" s="30" t="e">
        <f t="shared" si="0"/>
        <v>#VALUE!</v>
      </c>
      <c r="J62" s="30" t="e">
        <f t="shared" si="1"/>
        <v>#VALUE!</v>
      </c>
    </row>
    <row r="63" spans="1:10" x14ac:dyDescent="0.2">
      <c r="A63" s="28" t="str">
        <f t="shared" si="2"/>
        <v>Expedición-pacifico A 02</v>
      </c>
      <c r="B63" s="29" t="str">
        <f t="shared" si="3"/>
        <v>20 L</v>
      </c>
      <c r="C63" s="29">
        <f t="shared" si="4"/>
        <v>0</v>
      </c>
      <c r="D63" s="29">
        <f t="shared" si="5"/>
        <v>1</v>
      </c>
      <c r="E63" s="29">
        <f t="shared" si="6"/>
        <v>2</v>
      </c>
      <c r="F63" s="29">
        <f t="shared" si="7"/>
        <v>2</v>
      </c>
      <c r="G63" s="27">
        <f>'[2]Densidad de Grupos'!W19</f>
        <v>0</v>
      </c>
      <c r="H63" s="27">
        <f>'Densidad de grupos (1)'!H79</f>
        <v>0</v>
      </c>
      <c r="I63" s="30" t="e">
        <f t="shared" si="0"/>
        <v>#VALUE!</v>
      </c>
      <c r="J63" s="30" t="e">
        <f t="shared" si="1"/>
        <v>#VALUE!</v>
      </c>
    </row>
    <row r="64" spans="1:10" x14ac:dyDescent="0.2">
      <c r="A64" s="28" t="str">
        <f t="shared" si="2"/>
        <v>Expedición-pacifico A 02</v>
      </c>
      <c r="B64" s="29" t="str">
        <f t="shared" si="3"/>
        <v>20 L</v>
      </c>
      <c r="C64" s="29">
        <f t="shared" si="4"/>
        <v>0</v>
      </c>
      <c r="D64" s="29">
        <f t="shared" si="5"/>
        <v>1</v>
      </c>
      <c r="E64" s="29">
        <f t="shared" si="6"/>
        <v>2</v>
      </c>
      <c r="F64" s="29">
        <f t="shared" si="7"/>
        <v>2</v>
      </c>
      <c r="G64" s="27">
        <f>'[2]Densidad de Grupos'!W20</f>
        <v>0</v>
      </c>
      <c r="H64" s="27">
        <f>'Densidad de grupos (1)'!H80</f>
        <v>0</v>
      </c>
      <c r="I64" s="30" t="e">
        <f t="shared" si="0"/>
        <v>#VALUE!</v>
      </c>
      <c r="J64" s="30" t="e">
        <f t="shared" si="1"/>
        <v>#VALUE!</v>
      </c>
    </row>
    <row r="65" spans="1:10" x14ac:dyDescent="0.2">
      <c r="A65" s="28" t="str">
        <f t="shared" si="2"/>
        <v>Expedición-pacifico A 02</v>
      </c>
      <c r="B65" s="29" t="str">
        <f t="shared" si="3"/>
        <v>20 L</v>
      </c>
      <c r="C65" s="29">
        <f t="shared" si="4"/>
        <v>0</v>
      </c>
      <c r="D65" s="29">
        <f t="shared" si="5"/>
        <v>1</v>
      </c>
      <c r="E65" s="29">
        <f t="shared" si="6"/>
        <v>2</v>
      </c>
      <c r="F65" s="29">
        <f t="shared" si="7"/>
        <v>2</v>
      </c>
      <c r="G65" s="27">
        <f>'[2]Densidad de Grupos'!W21</f>
        <v>0</v>
      </c>
      <c r="H65" s="27">
        <f>'Densidad de grupos (1)'!H81</f>
        <v>0</v>
      </c>
      <c r="I65" s="30" t="e">
        <f t="shared" si="0"/>
        <v>#VALUE!</v>
      </c>
      <c r="J65" s="30" t="e">
        <f t="shared" si="1"/>
        <v>#VALUE!</v>
      </c>
    </row>
    <row r="66" spans="1:10" x14ac:dyDescent="0.2">
      <c r="A66" s="28" t="str">
        <f t="shared" si="2"/>
        <v>Expedición-pacifico A 02</v>
      </c>
      <c r="B66" s="29" t="str">
        <f t="shared" si="3"/>
        <v>20 L</v>
      </c>
      <c r="C66" s="29">
        <f t="shared" si="4"/>
        <v>0</v>
      </c>
      <c r="D66" s="29">
        <f t="shared" si="5"/>
        <v>1</v>
      </c>
      <c r="E66" s="29">
        <f t="shared" si="6"/>
        <v>2</v>
      </c>
      <c r="F66" s="29">
        <f t="shared" si="7"/>
        <v>2</v>
      </c>
      <c r="G66" s="27">
        <f>'[2]Densidad de Grupos'!W22</f>
        <v>0</v>
      </c>
      <c r="H66" s="27">
        <f>'Densidad de grupos (1)'!H82</f>
        <v>0</v>
      </c>
      <c r="I66" s="30" t="e">
        <f t="shared" si="0"/>
        <v>#VALUE!</v>
      </c>
      <c r="J66" s="30" t="e">
        <f t="shared" si="1"/>
        <v>#VALUE!</v>
      </c>
    </row>
    <row r="67" spans="1:10" x14ac:dyDescent="0.2">
      <c r="A67" s="28" t="str">
        <f t="shared" si="2"/>
        <v>Expedición-pacifico A 02</v>
      </c>
      <c r="B67" s="29" t="str">
        <f t="shared" si="3"/>
        <v>20 L</v>
      </c>
      <c r="C67" s="29">
        <f t="shared" si="4"/>
        <v>0</v>
      </c>
      <c r="D67" s="29">
        <f t="shared" si="5"/>
        <v>1</v>
      </c>
      <c r="E67" s="29">
        <f t="shared" si="6"/>
        <v>2</v>
      </c>
      <c r="F67" s="29">
        <f t="shared" si="7"/>
        <v>2</v>
      </c>
      <c r="G67" s="27">
        <f>'[2]Densidad de Grupos'!W23</f>
        <v>0</v>
      </c>
      <c r="H67" s="27">
        <f>'Densidad de grupos (1)'!H83</f>
        <v>0</v>
      </c>
      <c r="I67" s="30" t="e">
        <f t="shared" ref="I67:I81" si="8">((H67*C67)/(F67*B67))*2</f>
        <v>#VALUE!</v>
      </c>
      <c r="J67" s="30" t="e">
        <f t="shared" ref="J67:J81" si="9">I67*1000</f>
        <v>#VALUE!</v>
      </c>
    </row>
    <row r="68" spans="1:10" x14ac:dyDescent="0.2">
      <c r="A68" s="28" t="str">
        <f t="shared" ref="A68:A81" si="10">$A$2</f>
        <v>Expedición-pacifico A 02</v>
      </c>
      <c r="B68" s="29" t="str">
        <f t="shared" ref="B68:B81" si="11">$B$2</f>
        <v>20 L</v>
      </c>
      <c r="C68" s="29">
        <f t="shared" ref="C68:C81" si="12">$C$2</f>
        <v>0</v>
      </c>
      <c r="D68" s="29">
        <f t="shared" ref="D68:D81" si="13">$D$2</f>
        <v>1</v>
      </c>
      <c r="E68" s="29">
        <f t="shared" ref="E68:E81" si="14">$E$2</f>
        <v>2</v>
      </c>
      <c r="F68" s="29">
        <f t="shared" ref="F68:F81" si="15">$F$2</f>
        <v>2</v>
      </c>
      <c r="G68" s="27">
        <f>'[2]Densidad de Grupos'!W24</f>
        <v>0</v>
      </c>
      <c r="H68" s="27">
        <f>'Densidad de grupos (1)'!H84</f>
        <v>0</v>
      </c>
      <c r="I68" s="30" t="e">
        <f t="shared" si="8"/>
        <v>#VALUE!</v>
      </c>
      <c r="J68" s="30" t="e">
        <f t="shared" si="9"/>
        <v>#VALUE!</v>
      </c>
    </row>
    <row r="69" spans="1:10" x14ac:dyDescent="0.2">
      <c r="A69" s="28" t="str">
        <f t="shared" si="10"/>
        <v>Expedición-pacifico A 02</v>
      </c>
      <c r="B69" s="29" t="str">
        <f t="shared" si="11"/>
        <v>20 L</v>
      </c>
      <c r="C69" s="29">
        <f t="shared" si="12"/>
        <v>0</v>
      </c>
      <c r="D69" s="29">
        <f t="shared" si="13"/>
        <v>1</v>
      </c>
      <c r="E69" s="29">
        <f t="shared" si="14"/>
        <v>2</v>
      </c>
      <c r="F69" s="29">
        <f t="shared" si="15"/>
        <v>2</v>
      </c>
      <c r="G69" s="27">
        <f>'[2]Densidad de Grupos'!W25</f>
        <v>0</v>
      </c>
      <c r="H69" s="27">
        <f>'Densidad de grupos (1)'!H85</f>
        <v>0</v>
      </c>
      <c r="I69" s="30" t="e">
        <f t="shared" si="8"/>
        <v>#VALUE!</v>
      </c>
      <c r="J69" s="30" t="e">
        <f t="shared" si="9"/>
        <v>#VALUE!</v>
      </c>
    </row>
    <row r="70" spans="1:10" x14ac:dyDescent="0.2">
      <c r="A70" s="28" t="str">
        <f t="shared" si="10"/>
        <v>Expedición-pacifico A 02</v>
      </c>
      <c r="B70" s="29" t="str">
        <f t="shared" si="11"/>
        <v>20 L</v>
      </c>
      <c r="C70" s="29">
        <f t="shared" si="12"/>
        <v>0</v>
      </c>
      <c r="D70" s="29">
        <f t="shared" si="13"/>
        <v>1</v>
      </c>
      <c r="E70" s="29">
        <f t="shared" si="14"/>
        <v>2</v>
      </c>
      <c r="F70" s="29">
        <f t="shared" si="15"/>
        <v>2</v>
      </c>
      <c r="G70" s="27">
        <f>'[2]Densidad de Grupos'!W26</f>
        <v>0</v>
      </c>
      <c r="H70" s="27">
        <f>'Densidad de grupos (1)'!H86</f>
        <v>0</v>
      </c>
      <c r="I70" s="30" t="e">
        <f t="shared" si="8"/>
        <v>#VALUE!</v>
      </c>
      <c r="J70" s="30" t="e">
        <f t="shared" si="9"/>
        <v>#VALUE!</v>
      </c>
    </row>
    <row r="71" spans="1:10" x14ac:dyDescent="0.2">
      <c r="A71" s="28" t="str">
        <f t="shared" si="10"/>
        <v>Expedición-pacifico A 02</v>
      </c>
      <c r="B71" s="29" t="str">
        <f t="shared" si="11"/>
        <v>20 L</v>
      </c>
      <c r="C71" s="29">
        <f t="shared" si="12"/>
        <v>0</v>
      </c>
      <c r="D71" s="29">
        <f t="shared" si="13"/>
        <v>1</v>
      </c>
      <c r="E71" s="29">
        <f t="shared" si="14"/>
        <v>2</v>
      </c>
      <c r="F71" s="29">
        <f t="shared" si="15"/>
        <v>2</v>
      </c>
      <c r="G71" s="27">
        <f>'[2]Densidad de Grupos'!W27</f>
        <v>0</v>
      </c>
      <c r="H71" s="27">
        <f>'Densidad de grupos (1)'!H87</f>
        <v>0</v>
      </c>
      <c r="I71" s="30" t="e">
        <f t="shared" si="8"/>
        <v>#VALUE!</v>
      </c>
      <c r="J71" s="30" t="e">
        <f t="shared" si="9"/>
        <v>#VALUE!</v>
      </c>
    </row>
    <row r="72" spans="1:10" x14ac:dyDescent="0.2">
      <c r="A72" s="28" t="str">
        <f t="shared" si="10"/>
        <v>Expedición-pacifico A 02</v>
      </c>
      <c r="B72" s="29" t="str">
        <f t="shared" si="11"/>
        <v>20 L</v>
      </c>
      <c r="C72" s="29">
        <f t="shared" si="12"/>
        <v>0</v>
      </c>
      <c r="D72" s="29">
        <f t="shared" si="13"/>
        <v>1</v>
      </c>
      <c r="E72" s="29">
        <f t="shared" si="14"/>
        <v>2</v>
      </c>
      <c r="F72" s="29">
        <f t="shared" si="15"/>
        <v>2</v>
      </c>
      <c r="G72" s="27">
        <f>'[2]Densidad de Grupos'!W28</f>
        <v>0</v>
      </c>
      <c r="H72" s="27">
        <f>'Densidad de grupos (1)'!H88</f>
        <v>0</v>
      </c>
      <c r="I72" s="30" t="e">
        <f t="shared" si="8"/>
        <v>#VALUE!</v>
      </c>
      <c r="J72" s="30" t="e">
        <f t="shared" si="9"/>
        <v>#VALUE!</v>
      </c>
    </row>
    <row r="73" spans="1:10" x14ac:dyDescent="0.2">
      <c r="A73" s="28" t="str">
        <f t="shared" si="10"/>
        <v>Expedición-pacifico A 02</v>
      </c>
      <c r="B73" s="29" t="str">
        <f t="shared" si="11"/>
        <v>20 L</v>
      </c>
      <c r="C73" s="29">
        <f t="shared" si="12"/>
        <v>0</v>
      </c>
      <c r="D73" s="29">
        <f t="shared" si="13"/>
        <v>1</v>
      </c>
      <c r="E73" s="29">
        <f t="shared" si="14"/>
        <v>2</v>
      </c>
      <c r="F73" s="29">
        <f t="shared" si="15"/>
        <v>2</v>
      </c>
      <c r="G73" s="27">
        <f>'[2]Densidad de Grupos'!W29</f>
        <v>0</v>
      </c>
      <c r="H73" s="27">
        <f>'Densidad de grupos (1)'!H89</f>
        <v>0</v>
      </c>
      <c r="I73" s="30" t="e">
        <f t="shared" si="8"/>
        <v>#VALUE!</v>
      </c>
      <c r="J73" s="30" t="e">
        <f t="shared" si="9"/>
        <v>#VALUE!</v>
      </c>
    </row>
    <row r="74" spans="1:10" x14ac:dyDescent="0.2">
      <c r="A74" s="28" t="str">
        <f t="shared" si="10"/>
        <v>Expedición-pacifico A 02</v>
      </c>
      <c r="B74" s="29" t="str">
        <f t="shared" si="11"/>
        <v>20 L</v>
      </c>
      <c r="C74" s="29">
        <f t="shared" si="12"/>
        <v>0</v>
      </c>
      <c r="D74" s="29">
        <f t="shared" si="13"/>
        <v>1</v>
      </c>
      <c r="E74" s="29">
        <f t="shared" si="14"/>
        <v>2</v>
      </c>
      <c r="F74" s="29">
        <f t="shared" si="15"/>
        <v>2</v>
      </c>
      <c r="G74" s="27">
        <f>'[2]Densidad de Grupos'!W30</f>
        <v>0</v>
      </c>
      <c r="H74" s="27">
        <f>'Densidad de grupos (1)'!H90</f>
        <v>0</v>
      </c>
      <c r="I74" s="30" t="e">
        <f t="shared" si="8"/>
        <v>#VALUE!</v>
      </c>
      <c r="J74" s="30" t="e">
        <f t="shared" si="9"/>
        <v>#VALUE!</v>
      </c>
    </row>
    <row r="75" spans="1:10" x14ac:dyDescent="0.2">
      <c r="A75" s="28" t="str">
        <f t="shared" si="10"/>
        <v>Expedición-pacifico A 02</v>
      </c>
      <c r="B75" s="29" t="str">
        <f t="shared" si="11"/>
        <v>20 L</v>
      </c>
      <c r="C75" s="29">
        <f t="shared" si="12"/>
        <v>0</v>
      </c>
      <c r="D75" s="29">
        <f t="shared" si="13"/>
        <v>1</v>
      </c>
      <c r="E75" s="29">
        <f t="shared" si="14"/>
        <v>2</v>
      </c>
      <c r="F75" s="29">
        <f t="shared" si="15"/>
        <v>2</v>
      </c>
      <c r="G75" s="27">
        <f>'[2]Densidad de Grupos'!W31</f>
        <v>0</v>
      </c>
      <c r="H75" s="27">
        <f>'Densidad de grupos (1)'!H91</f>
        <v>0</v>
      </c>
      <c r="I75" s="30" t="e">
        <f t="shared" si="8"/>
        <v>#VALUE!</v>
      </c>
      <c r="J75" s="30" t="e">
        <f t="shared" si="9"/>
        <v>#VALUE!</v>
      </c>
    </row>
    <row r="76" spans="1:10" x14ac:dyDescent="0.2">
      <c r="A76" s="28" t="str">
        <f t="shared" si="10"/>
        <v>Expedición-pacifico A 02</v>
      </c>
      <c r="B76" s="29" t="str">
        <f t="shared" si="11"/>
        <v>20 L</v>
      </c>
      <c r="C76" s="29">
        <f t="shared" si="12"/>
        <v>0</v>
      </c>
      <c r="D76" s="29">
        <f t="shared" si="13"/>
        <v>1</v>
      </c>
      <c r="E76" s="29">
        <f t="shared" si="14"/>
        <v>2</v>
      </c>
      <c r="F76" s="29">
        <f t="shared" si="15"/>
        <v>2</v>
      </c>
      <c r="G76" s="27">
        <f>'[2]Densidad de Grupos'!W32</f>
        <v>0</v>
      </c>
      <c r="H76" s="27">
        <f>'Densidad de grupos (1)'!H92</f>
        <v>0</v>
      </c>
      <c r="I76" s="30" t="e">
        <f t="shared" si="8"/>
        <v>#VALUE!</v>
      </c>
      <c r="J76" s="30" t="e">
        <f t="shared" si="9"/>
        <v>#VALUE!</v>
      </c>
    </row>
    <row r="77" spans="1:10" x14ac:dyDescent="0.2">
      <c r="A77" s="28" t="str">
        <f t="shared" si="10"/>
        <v>Expedición-pacifico A 02</v>
      </c>
      <c r="B77" s="29" t="str">
        <f t="shared" si="11"/>
        <v>20 L</v>
      </c>
      <c r="C77" s="29">
        <f t="shared" si="12"/>
        <v>0</v>
      </c>
      <c r="D77" s="29">
        <f t="shared" si="13"/>
        <v>1</v>
      </c>
      <c r="E77" s="29">
        <f t="shared" si="14"/>
        <v>2</v>
      </c>
      <c r="F77" s="29">
        <f t="shared" si="15"/>
        <v>2</v>
      </c>
      <c r="G77" s="27">
        <f>'[2]Densidad de Grupos'!W33</f>
        <v>0</v>
      </c>
      <c r="H77" s="27">
        <f>'Densidad de grupos (1)'!H93</f>
        <v>0</v>
      </c>
      <c r="I77" s="30" t="e">
        <f t="shared" si="8"/>
        <v>#VALUE!</v>
      </c>
      <c r="J77" s="30" t="e">
        <f t="shared" si="9"/>
        <v>#VALUE!</v>
      </c>
    </row>
    <row r="78" spans="1:10" x14ac:dyDescent="0.2">
      <c r="A78" s="28" t="str">
        <f t="shared" si="10"/>
        <v>Expedición-pacifico A 02</v>
      </c>
      <c r="B78" s="29" t="str">
        <f t="shared" si="11"/>
        <v>20 L</v>
      </c>
      <c r="C78" s="29">
        <f t="shared" si="12"/>
        <v>0</v>
      </c>
      <c r="D78" s="29">
        <f t="shared" si="13"/>
        <v>1</v>
      </c>
      <c r="E78" s="29">
        <f t="shared" si="14"/>
        <v>2</v>
      </c>
      <c r="F78" s="29">
        <f t="shared" si="15"/>
        <v>2</v>
      </c>
      <c r="G78" s="27">
        <f>'[2]Densidad de Grupos'!W34</f>
        <v>0</v>
      </c>
      <c r="H78" s="27">
        <f>'Densidad de grupos (1)'!H94</f>
        <v>0</v>
      </c>
      <c r="I78" s="30" t="e">
        <f t="shared" si="8"/>
        <v>#VALUE!</v>
      </c>
      <c r="J78" s="30" t="e">
        <f t="shared" si="9"/>
        <v>#VALUE!</v>
      </c>
    </row>
    <row r="79" spans="1:10" x14ac:dyDescent="0.2">
      <c r="A79" s="28" t="str">
        <f t="shared" si="10"/>
        <v>Expedición-pacifico A 02</v>
      </c>
      <c r="B79" s="29" t="str">
        <f t="shared" si="11"/>
        <v>20 L</v>
      </c>
      <c r="C79" s="29">
        <f t="shared" si="12"/>
        <v>0</v>
      </c>
      <c r="D79" s="29">
        <f t="shared" si="13"/>
        <v>1</v>
      </c>
      <c r="E79" s="29">
        <f t="shared" si="14"/>
        <v>2</v>
      </c>
      <c r="F79" s="29">
        <f t="shared" si="15"/>
        <v>2</v>
      </c>
      <c r="G79" s="27">
        <f>'[2]Densidad de Grupos'!W35</f>
        <v>0</v>
      </c>
      <c r="H79" s="27">
        <f>'Densidad de grupos (1)'!H95</f>
        <v>0</v>
      </c>
      <c r="I79" s="30" t="e">
        <f t="shared" si="8"/>
        <v>#VALUE!</v>
      </c>
      <c r="J79" s="30" t="e">
        <f t="shared" si="9"/>
        <v>#VALUE!</v>
      </c>
    </row>
    <row r="80" spans="1:10" x14ac:dyDescent="0.2">
      <c r="A80" s="28" t="str">
        <f t="shared" si="10"/>
        <v>Expedición-pacifico A 02</v>
      </c>
      <c r="B80" s="29" t="str">
        <f t="shared" si="11"/>
        <v>20 L</v>
      </c>
      <c r="C80" s="29">
        <f t="shared" si="12"/>
        <v>0</v>
      </c>
      <c r="D80" s="29">
        <f t="shared" si="13"/>
        <v>1</v>
      </c>
      <c r="E80" s="29">
        <f t="shared" si="14"/>
        <v>2</v>
      </c>
      <c r="F80" s="29">
        <f t="shared" si="15"/>
        <v>2</v>
      </c>
      <c r="G80" s="27">
        <f>'[2]Densidad de Grupos'!W36</f>
        <v>0</v>
      </c>
      <c r="H80" s="27">
        <f>'Densidad de grupos (1)'!H96</f>
        <v>0</v>
      </c>
      <c r="I80" s="30" t="e">
        <f t="shared" si="8"/>
        <v>#VALUE!</v>
      </c>
      <c r="J80" s="30" t="e">
        <f t="shared" si="9"/>
        <v>#VALUE!</v>
      </c>
    </row>
    <row r="81" spans="1:10" x14ac:dyDescent="0.2">
      <c r="A81" s="28" t="str">
        <f t="shared" si="10"/>
        <v>Expedición-pacifico A 02</v>
      </c>
      <c r="B81" s="29" t="str">
        <f t="shared" si="11"/>
        <v>20 L</v>
      </c>
      <c r="C81" s="29">
        <f t="shared" si="12"/>
        <v>0</v>
      </c>
      <c r="D81" s="29">
        <f t="shared" si="13"/>
        <v>1</v>
      </c>
      <c r="E81" s="29">
        <f t="shared" si="14"/>
        <v>2</v>
      </c>
      <c r="F81" s="29">
        <f t="shared" si="15"/>
        <v>2</v>
      </c>
      <c r="G81" s="27">
        <f>'[2]Densidad de Grupos'!W37</f>
        <v>0</v>
      </c>
      <c r="H81" s="27">
        <f>'Densidad de grupos (1)'!H97</f>
        <v>0</v>
      </c>
      <c r="I81" s="30" t="e">
        <f t="shared" si="8"/>
        <v>#VALUE!</v>
      </c>
      <c r="J81" s="30" t="e">
        <f t="shared" si="9"/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7" bestFit="1" customWidth="1"/>
    <col min="2" max="2" width="16.85546875" style="27" bestFit="1" customWidth="1"/>
    <col min="3" max="3" width="21.5703125" style="27" bestFit="1" customWidth="1"/>
    <col min="4" max="4" width="22.42578125" style="27" bestFit="1" customWidth="1"/>
    <col min="5" max="5" width="19.85546875" style="27" bestFit="1" customWidth="1"/>
    <col min="6" max="6" width="22.7109375" style="27" bestFit="1" customWidth="1"/>
    <col min="7" max="7" width="14.42578125" style="27" bestFit="1" customWidth="1"/>
    <col min="8" max="8" width="21.7109375" style="27" bestFit="1" customWidth="1"/>
    <col min="9" max="9" width="7.140625" style="27" bestFit="1" customWidth="1"/>
    <col min="10" max="10" width="11.140625" style="27" bestFit="1" customWidth="1"/>
    <col min="11" max="16384" width="11.42578125" style="27"/>
  </cols>
  <sheetData>
    <row r="1" spans="1:10" s="31" customFormat="1" x14ac:dyDescent="0.2">
      <c r="A1" s="31" t="s">
        <v>46</v>
      </c>
      <c r="B1" s="31" t="s">
        <v>59</v>
      </c>
      <c r="C1" s="31" t="s">
        <v>48</v>
      </c>
      <c r="D1" s="31" t="s">
        <v>49</v>
      </c>
      <c r="E1" s="31" t="s">
        <v>50</v>
      </c>
      <c r="F1" s="31" t="s">
        <v>51</v>
      </c>
      <c r="G1" s="31" t="s">
        <v>52</v>
      </c>
      <c r="H1" s="31" t="s">
        <v>53</v>
      </c>
      <c r="I1" s="31" t="s">
        <v>54</v>
      </c>
      <c r="J1" s="31" t="s">
        <v>55</v>
      </c>
    </row>
    <row r="2" spans="1:10" x14ac:dyDescent="0.2">
      <c r="A2" s="32" t="str">
        <f>'Larvas de Peces'!U9</f>
        <v>SP-20-0719</v>
      </c>
      <c r="B2" s="33">
        <f>'Larvas de Peces'!J13</f>
        <v>82.99436462231462</v>
      </c>
      <c r="C2" s="33" t="str">
        <f>'Larvas de Peces'!O13</f>
        <v>-</v>
      </c>
      <c r="D2" s="33" t="str">
        <f>'Larvas de Peces'!U13</f>
        <v>-</v>
      </c>
      <c r="E2" s="33" t="str">
        <f>'Larvas de Peces'!AA13</f>
        <v>-</v>
      </c>
      <c r="F2" s="33" t="e">
        <f>E2*D2</f>
        <v>#VALUE!</v>
      </c>
      <c r="G2" s="33" t="str">
        <f>'Larvas de Peces'!A18</f>
        <v>Larvas de peces</v>
      </c>
      <c r="H2" s="33">
        <f>'Larvas de Peces'!H18</f>
        <v>18</v>
      </c>
      <c r="I2" s="34">
        <f>((H2/B2)*2)</f>
        <v>0.43376439067672207</v>
      </c>
      <c r="J2" s="35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2022-09-28T03:32:17Z</dcterms:modified>
</cp:coreProperties>
</file>