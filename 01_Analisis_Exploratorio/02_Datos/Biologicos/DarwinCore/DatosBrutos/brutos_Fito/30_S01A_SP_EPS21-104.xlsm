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2"/>
  </bookViews>
  <sheets>
    <sheet name="Densidad de grupos (3)" sheetId="1" r:id="rId1"/>
    <sheet name="Densidad de grupos (2)" sheetId="2" r:id="rId2"/>
    <sheet name="Densidad de grupos (1)" sheetId="3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13" roundtripDataSignature="AMtx7miLldx4CVaHys6MurEScvKUG0gMPQ=="/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F2" i="6" s="1"/>
  <c r="D2" i="6"/>
  <c r="C2" i="6"/>
  <c r="B2" i="6"/>
  <c r="A2" i="6"/>
  <c r="H81" i="5"/>
  <c r="H80" i="5"/>
  <c r="E80" i="5"/>
  <c r="H79" i="5"/>
  <c r="C79" i="5"/>
  <c r="B79" i="5"/>
  <c r="H78" i="5"/>
  <c r="A78" i="5"/>
  <c r="H77" i="5"/>
  <c r="H76" i="5"/>
  <c r="E76" i="5"/>
  <c r="H75" i="5"/>
  <c r="C75" i="5"/>
  <c r="B75" i="5"/>
  <c r="H74" i="5"/>
  <c r="A74" i="5"/>
  <c r="H73" i="5"/>
  <c r="H72" i="5"/>
  <c r="E72" i="5"/>
  <c r="H71" i="5"/>
  <c r="C71" i="5"/>
  <c r="B71" i="5"/>
  <c r="H70" i="5"/>
  <c r="A70" i="5"/>
  <c r="H69" i="5"/>
  <c r="H68" i="5"/>
  <c r="E68" i="5"/>
  <c r="H67" i="5"/>
  <c r="C67" i="5"/>
  <c r="B67" i="5"/>
  <c r="H66" i="5"/>
  <c r="A66" i="5"/>
  <c r="H65" i="5"/>
  <c r="H64" i="5"/>
  <c r="E64" i="5"/>
  <c r="H63" i="5"/>
  <c r="C63" i="5"/>
  <c r="B63" i="5"/>
  <c r="H62" i="5"/>
  <c r="A62" i="5"/>
  <c r="H61" i="5"/>
  <c r="H60" i="5"/>
  <c r="E60" i="5"/>
  <c r="H59" i="5"/>
  <c r="C59" i="5"/>
  <c r="B59" i="5"/>
  <c r="H58" i="5"/>
  <c r="A58" i="5"/>
  <c r="H57" i="5"/>
  <c r="H56" i="5"/>
  <c r="E56" i="5"/>
  <c r="H55" i="5"/>
  <c r="C55" i="5"/>
  <c r="B55" i="5"/>
  <c r="H54" i="5"/>
  <c r="A54" i="5"/>
  <c r="H53" i="5"/>
  <c r="H52" i="5"/>
  <c r="E52" i="5"/>
  <c r="H51" i="5"/>
  <c r="C51" i="5"/>
  <c r="B51" i="5"/>
  <c r="H50" i="5"/>
  <c r="A50" i="5"/>
  <c r="H49" i="5"/>
  <c r="H48" i="5"/>
  <c r="E48" i="5"/>
  <c r="H47" i="5"/>
  <c r="C47" i="5"/>
  <c r="B47" i="5"/>
  <c r="H46" i="5"/>
  <c r="A46" i="5"/>
  <c r="H45" i="5"/>
  <c r="H44" i="5"/>
  <c r="E44" i="5"/>
  <c r="C44" i="5"/>
  <c r="H43" i="5"/>
  <c r="C43" i="5"/>
  <c r="B43" i="5"/>
  <c r="H42" i="5"/>
  <c r="A42" i="5"/>
  <c r="H41" i="5"/>
  <c r="H40" i="5"/>
  <c r="E40" i="5"/>
  <c r="C40" i="5"/>
  <c r="H39" i="5"/>
  <c r="C39" i="5"/>
  <c r="B39" i="5"/>
  <c r="H38" i="5"/>
  <c r="A38" i="5"/>
  <c r="H37" i="5"/>
  <c r="H36" i="5"/>
  <c r="E36" i="5"/>
  <c r="C36" i="5"/>
  <c r="H35" i="5"/>
  <c r="C35" i="5"/>
  <c r="B35" i="5"/>
  <c r="H34" i="5"/>
  <c r="A34" i="5"/>
  <c r="H33" i="5"/>
  <c r="H32" i="5"/>
  <c r="E32" i="5"/>
  <c r="C32" i="5"/>
  <c r="H31" i="5"/>
  <c r="C31" i="5"/>
  <c r="B31" i="5"/>
  <c r="H30" i="5"/>
  <c r="A30" i="5"/>
  <c r="H29" i="5"/>
  <c r="H28" i="5"/>
  <c r="E28" i="5"/>
  <c r="C28" i="5"/>
  <c r="H27" i="5"/>
  <c r="C27" i="5"/>
  <c r="B27" i="5"/>
  <c r="H26" i="5"/>
  <c r="G26" i="5"/>
  <c r="B26" i="5"/>
  <c r="A26" i="5"/>
  <c r="H25" i="5"/>
  <c r="H24" i="5"/>
  <c r="H23" i="5"/>
  <c r="E23" i="5"/>
  <c r="D23" i="5"/>
  <c r="C23" i="5"/>
  <c r="A23" i="5"/>
  <c r="H22" i="5"/>
  <c r="B22" i="5"/>
  <c r="A22" i="5"/>
  <c r="H21" i="5"/>
  <c r="H20" i="5"/>
  <c r="H19" i="5"/>
  <c r="G19" i="5"/>
  <c r="E19" i="5"/>
  <c r="D19" i="5"/>
  <c r="B19" i="5"/>
  <c r="H18" i="5"/>
  <c r="G18" i="5"/>
  <c r="C18" i="5"/>
  <c r="B18" i="5"/>
  <c r="H17" i="5"/>
  <c r="G17" i="5"/>
  <c r="B17" i="5"/>
  <c r="A17" i="5"/>
  <c r="H16" i="5"/>
  <c r="G16" i="5"/>
  <c r="C16" i="5"/>
  <c r="H15" i="5"/>
  <c r="G15" i="5"/>
  <c r="H14" i="5"/>
  <c r="G14" i="5"/>
  <c r="H13" i="5"/>
  <c r="G13" i="5"/>
  <c r="E13" i="5"/>
  <c r="D13" i="5"/>
  <c r="B13" i="5"/>
  <c r="H12" i="5"/>
  <c r="G12" i="5"/>
  <c r="C12" i="5"/>
  <c r="B12" i="5"/>
  <c r="H11" i="5"/>
  <c r="G11" i="5"/>
  <c r="E11" i="5"/>
  <c r="B11" i="5"/>
  <c r="A11" i="5"/>
  <c r="H10" i="5"/>
  <c r="G10" i="5"/>
  <c r="C10" i="5"/>
  <c r="H9" i="5"/>
  <c r="G9" i="5"/>
  <c r="C9" i="5"/>
  <c r="A9" i="5"/>
  <c r="H8" i="5"/>
  <c r="G8" i="5"/>
  <c r="H7" i="5"/>
  <c r="G7" i="5"/>
  <c r="E7" i="5"/>
  <c r="D7" i="5"/>
  <c r="B7" i="5"/>
  <c r="H6" i="5"/>
  <c r="G6" i="5"/>
  <c r="C6" i="5"/>
  <c r="B6" i="5"/>
  <c r="H5" i="5"/>
  <c r="G5" i="5"/>
  <c r="E5" i="5"/>
  <c r="B5" i="5"/>
  <c r="A5" i="5"/>
  <c r="H4" i="5"/>
  <c r="G4" i="5"/>
  <c r="E4" i="5"/>
  <c r="C4" i="5"/>
  <c r="B4" i="5"/>
  <c r="H3" i="5"/>
  <c r="G3" i="5"/>
  <c r="C3" i="5"/>
  <c r="A3" i="5"/>
  <c r="H2" i="5"/>
  <c r="I2" i="5" s="1"/>
  <c r="J2" i="5" s="1"/>
  <c r="G2" i="5"/>
  <c r="F2" i="5"/>
  <c r="F45" i="5" s="1"/>
  <c r="E2" i="5"/>
  <c r="E24" i="5" s="1"/>
  <c r="D2" i="5"/>
  <c r="D80" i="5" s="1"/>
  <c r="C2" i="5"/>
  <c r="C19" i="5" s="1"/>
  <c r="B2" i="5"/>
  <c r="B23" i="5" s="1"/>
  <c r="A2" i="5"/>
  <c r="A79" i="5" s="1"/>
  <c r="I79" i="5" l="1"/>
  <c r="J79" i="5" s="1"/>
  <c r="I9" i="5"/>
  <c r="J9" i="5" s="1"/>
  <c r="I16" i="5"/>
  <c r="J16" i="5" s="1"/>
  <c r="I30" i="5"/>
  <c r="J30" i="5" s="1"/>
  <c r="I35" i="5"/>
  <c r="J35" i="5" s="1"/>
  <c r="I6" i="5"/>
  <c r="J6" i="5" s="1"/>
  <c r="I10" i="5"/>
  <c r="J10" i="5" s="1"/>
  <c r="I52" i="5"/>
  <c r="J52" i="5" s="1"/>
  <c r="I31" i="5"/>
  <c r="J31" i="5" s="1"/>
  <c r="I36" i="5"/>
  <c r="J36" i="5" s="1"/>
  <c r="I42" i="5"/>
  <c r="J42" i="5" s="1"/>
  <c r="I12" i="5"/>
  <c r="J12" i="5" s="1"/>
  <c r="I14" i="5"/>
  <c r="J14" i="5" s="1"/>
  <c r="I48" i="5"/>
  <c r="J48" i="5" s="1"/>
  <c r="F14" i="5"/>
  <c r="D27" i="5"/>
  <c r="D67" i="5"/>
  <c r="D75" i="5"/>
  <c r="F8" i="5"/>
  <c r="F28" i="5"/>
  <c r="I28" i="5" s="1"/>
  <c r="J28" i="5" s="1"/>
  <c r="F44" i="5"/>
  <c r="I44" i="5" s="1"/>
  <c r="J44" i="5" s="1"/>
  <c r="F56" i="5"/>
  <c r="F76" i="5"/>
  <c r="D18" i="5"/>
  <c r="D43" i="5"/>
  <c r="D55" i="5"/>
  <c r="D59" i="5"/>
  <c r="D63" i="5"/>
  <c r="D71" i="5"/>
  <c r="A4" i="5"/>
  <c r="C5" i="5"/>
  <c r="I5" i="5" s="1"/>
  <c r="J5" i="5" s="1"/>
  <c r="E6" i="5"/>
  <c r="A10" i="5"/>
  <c r="C11" i="5"/>
  <c r="I11" i="5" s="1"/>
  <c r="J11" i="5" s="1"/>
  <c r="E12" i="5"/>
  <c r="A16" i="5"/>
  <c r="C17" i="5"/>
  <c r="E18" i="5"/>
  <c r="C22" i="5"/>
  <c r="F23" i="5"/>
  <c r="I23" i="5" s="1"/>
  <c r="J23" i="5" s="1"/>
  <c r="C26" i="5"/>
  <c r="E27" i="5"/>
  <c r="B30" i="5"/>
  <c r="E31" i="5"/>
  <c r="B34" i="5"/>
  <c r="E35" i="5"/>
  <c r="B38" i="5"/>
  <c r="E39" i="5"/>
  <c r="B42" i="5"/>
  <c r="E43" i="5"/>
  <c r="B46" i="5"/>
  <c r="E47" i="5"/>
  <c r="B50" i="5"/>
  <c r="E51" i="5"/>
  <c r="B54" i="5"/>
  <c r="E55" i="5"/>
  <c r="B58" i="5"/>
  <c r="E59" i="5"/>
  <c r="B62" i="5"/>
  <c r="E63" i="5"/>
  <c r="B66" i="5"/>
  <c r="E67" i="5"/>
  <c r="B70" i="5"/>
  <c r="E71" i="5"/>
  <c r="B74" i="5"/>
  <c r="E75" i="5"/>
  <c r="B78" i="5"/>
  <c r="E79" i="5"/>
  <c r="F24" i="5"/>
  <c r="F52" i="5"/>
  <c r="F72" i="5"/>
  <c r="F13" i="5"/>
  <c r="D5" i="5"/>
  <c r="F6" i="5"/>
  <c r="B10" i="5"/>
  <c r="D11" i="5"/>
  <c r="F12" i="5"/>
  <c r="B16" i="5"/>
  <c r="D17" i="5"/>
  <c r="F18" i="5"/>
  <c r="I18" i="5" s="1"/>
  <c r="J18" i="5" s="1"/>
  <c r="A21" i="5"/>
  <c r="D22" i="5"/>
  <c r="A25" i="5"/>
  <c r="D26" i="5"/>
  <c r="F27" i="5"/>
  <c r="I27" i="5" s="1"/>
  <c r="J27" i="5" s="1"/>
  <c r="C30" i="5"/>
  <c r="F31" i="5"/>
  <c r="C34" i="5"/>
  <c r="I34" i="5" s="1"/>
  <c r="J34" i="5" s="1"/>
  <c r="F35" i="5"/>
  <c r="C38" i="5"/>
  <c r="I38" i="5" s="1"/>
  <c r="J38" i="5" s="1"/>
  <c r="F39" i="5"/>
  <c r="I39" i="5" s="1"/>
  <c r="J39" i="5" s="1"/>
  <c r="C42" i="5"/>
  <c r="F43" i="5"/>
  <c r="I43" i="5" s="1"/>
  <c r="J43" i="5" s="1"/>
  <c r="C46" i="5"/>
  <c r="I46" i="5" s="1"/>
  <c r="J46" i="5" s="1"/>
  <c r="F47" i="5"/>
  <c r="I47" i="5" s="1"/>
  <c r="J47" i="5" s="1"/>
  <c r="C50" i="5"/>
  <c r="I50" i="5" s="1"/>
  <c r="J50" i="5" s="1"/>
  <c r="F51" i="5"/>
  <c r="I51" i="5" s="1"/>
  <c r="J51" i="5" s="1"/>
  <c r="C54" i="5"/>
  <c r="I54" i="5" s="1"/>
  <c r="J54" i="5" s="1"/>
  <c r="F55" i="5"/>
  <c r="I55" i="5" s="1"/>
  <c r="J55" i="5" s="1"/>
  <c r="C58" i="5"/>
  <c r="I58" i="5" s="1"/>
  <c r="J58" i="5" s="1"/>
  <c r="F59" i="5"/>
  <c r="I59" i="5" s="1"/>
  <c r="J59" i="5" s="1"/>
  <c r="C62" i="5"/>
  <c r="I62" i="5" s="1"/>
  <c r="J62" i="5" s="1"/>
  <c r="F63" i="5"/>
  <c r="I63" i="5" s="1"/>
  <c r="J63" i="5" s="1"/>
  <c r="C66" i="5"/>
  <c r="I66" i="5" s="1"/>
  <c r="J66" i="5" s="1"/>
  <c r="F67" i="5"/>
  <c r="I67" i="5" s="1"/>
  <c r="J67" i="5" s="1"/>
  <c r="C70" i="5"/>
  <c r="I70" i="5" s="1"/>
  <c r="J70" i="5" s="1"/>
  <c r="F71" i="5"/>
  <c r="I71" i="5" s="1"/>
  <c r="J71" i="5" s="1"/>
  <c r="C74" i="5"/>
  <c r="I74" i="5" s="1"/>
  <c r="J74" i="5" s="1"/>
  <c r="F75" i="5"/>
  <c r="I75" i="5" s="1"/>
  <c r="J75" i="5" s="1"/>
  <c r="C78" i="5"/>
  <c r="F79" i="5"/>
  <c r="F36" i="5"/>
  <c r="F48" i="5"/>
  <c r="F60" i="5"/>
  <c r="D35" i="5"/>
  <c r="A15" i="5"/>
  <c r="B21" i="5"/>
  <c r="E22" i="5"/>
  <c r="B25" i="5"/>
  <c r="A29" i="5"/>
  <c r="D30" i="5"/>
  <c r="A33" i="5"/>
  <c r="A37" i="5"/>
  <c r="D38" i="5"/>
  <c r="A41" i="5"/>
  <c r="D42" i="5"/>
  <c r="A45" i="5"/>
  <c r="D46" i="5"/>
  <c r="A49" i="5"/>
  <c r="D50" i="5"/>
  <c r="A53" i="5"/>
  <c r="D54" i="5"/>
  <c r="A57" i="5"/>
  <c r="D58" i="5"/>
  <c r="A61" i="5"/>
  <c r="D62" i="5"/>
  <c r="A65" i="5"/>
  <c r="D66" i="5"/>
  <c r="A69" i="5"/>
  <c r="D70" i="5"/>
  <c r="A73" i="5"/>
  <c r="D74" i="5"/>
  <c r="A77" i="5"/>
  <c r="D78" i="5"/>
  <c r="A81" i="5"/>
  <c r="F20" i="5"/>
  <c r="E17" i="5"/>
  <c r="E26" i="5"/>
  <c r="D34" i="5"/>
  <c r="B3" i="5"/>
  <c r="D4" i="5"/>
  <c r="F5" i="5"/>
  <c r="B9" i="5"/>
  <c r="D10" i="5"/>
  <c r="F11" i="5"/>
  <c r="B15" i="5"/>
  <c r="D16" i="5"/>
  <c r="F17" i="5"/>
  <c r="I17" i="5" s="1"/>
  <c r="J17" i="5" s="1"/>
  <c r="C21" i="5"/>
  <c r="F22" i="5"/>
  <c r="C25" i="5"/>
  <c r="I25" i="5" s="1"/>
  <c r="J25" i="5" s="1"/>
  <c r="F26" i="5"/>
  <c r="I26" i="5" s="1"/>
  <c r="J26" i="5" s="1"/>
  <c r="B29" i="5"/>
  <c r="E30" i="5"/>
  <c r="B33" i="5"/>
  <c r="E34" i="5"/>
  <c r="B37" i="5"/>
  <c r="E38" i="5"/>
  <c r="B41" i="5"/>
  <c r="E42" i="5"/>
  <c r="B45" i="5"/>
  <c r="E46" i="5"/>
  <c r="B49" i="5"/>
  <c r="E50" i="5"/>
  <c r="B53" i="5"/>
  <c r="E54" i="5"/>
  <c r="B57" i="5"/>
  <c r="E58" i="5"/>
  <c r="B61" i="5"/>
  <c r="E62" i="5"/>
  <c r="B65" i="5"/>
  <c r="E66" i="5"/>
  <c r="B69" i="5"/>
  <c r="E70" i="5"/>
  <c r="B73" i="5"/>
  <c r="E74" i="5"/>
  <c r="B77" i="5"/>
  <c r="E78" i="5"/>
  <c r="B81" i="5"/>
  <c r="E10" i="5"/>
  <c r="A14" i="5"/>
  <c r="C15" i="5"/>
  <c r="I15" i="5" s="1"/>
  <c r="J15" i="5" s="1"/>
  <c r="E16" i="5"/>
  <c r="A20" i="5"/>
  <c r="D21" i="5"/>
  <c r="A24" i="5"/>
  <c r="D25" i="5"/>
  <c r="C29" i="5"/>
  <c r="F30" i="5"/>
  <c r="C33" i="5"/>
  <c r="F34" i="5"/>
  <c r="C37" i="5"/>
  <c r="F38" i="5"/>
  <c r="C41" i="5"/>
  <c r="I41" i="5" s="1"/>
  <c r="J41" i="5" s="1"/>
  <c r="F42" i="5"/>
  <c r="C45" i="5"/>
  <c r="F46" i="5"/>
  <c r="C49" i="5"/>
  <c r="F50" i="5"/>
  <c r="C53" i="5"/>
  <c r="F54" i="5"/>
  <c r="C57" i="5"/>
  <c r="F58" i="5"/>
  <c r="C61" i="5"/>
  <c r="F62" i="5"/>
  <c r="C65" i="5"/>
  <c r="I65" i="5" s="1"/>
  <c r="J65" i="5" s="1"/>
  <c r="F66" i="5"/>
  <c r="C69" i="5"/>
  <c r="F70" i="5"/>
  <c r="C73" i="5"/>
  <c r="F74" i="5"/>
  <c r="C77" i="5"/>
  <c r="F78" i="5"/>
  <c r="I78" i="5" s="1"/>
  <c r="J78" i="5" s="1"/>
  <c r="C81" i="5"/>
  <c r="F64" i="5"/>
  <c r="F80" i="5"/>
  <c r="D6" i="5"/>
  <c r="D12" i="5"/>
  <c r="F19" i="5"/>
  <c r="I19" i="5" s="1"/>
  <c r="J19" i="5" s="1"/>
  <c r="D31" i="5"/>
  <c r="A8" i="5"/>
  <c r="D3" i="5"/>
  <c r="F4" i="5"/>
  <c r="I4" i="5" s="1"/>
  <c r="J4" i="5" s="1"/>
  <c r="D9" i="5"/>
  <c r="B14" i="5"/>
  <c r="D15" i="5"/>
  <c r="F16" i="5"/>
  <c r="B20" i="5"/>
  <c r="E21" i="5"/>
  <c r="B24" i="5"/>
  <c r="E25" i="5"/>
  <c r="A28" i="5"/>
  <c r="D29" i="5"/>
  <c r="A32" i="5"/>
  <c r="D33" i="5"/>
  <c r="A36" i="5"/>
  <c r="D37" i="5"/>
  <c r="A40" i="5"/>
  <c r="D41" i="5"/>
  <c r="A44" i="5"/>
  <c r="D45" i="5"/>
  <c r="A48" i="5"/>
  <c r="D49" i="5"/>
  <c r="A52" i="5"/>
  <c r="D53" i="5"/>
  <c r="A56" i="5"/>
  <c r="D57" i="5"/>
  <c r="A60" i="5"/>
  <c r="D61" i="5"/>
  <c r="A64" i="5"/>
  <c r="D65" i="5"/>
  <c r="A68" i="5"/>
  <c r="D69" i="5"/>
  <c r="A72" i="5"/>
  <c r="D73" i="5"/>
  <c r="A76" i="5"/>
  <c r="D77" i="5"/>
  <c r="A80" i="5"/>
  <c r="D81" i="5"/>
  <c r="F32" i="5"/>
  <c r="I32" i="5" s="1"/>
  <c r="J32" i="5" s="1"/>
  <c r="F40" i="5"/>
  <c r="I40" i="5" s="1"/>
  <c r="J40" i="5" s="1"/>
  <c r="F7" i="5"/>
  <c r="D39" i="5"/>
  <c r="D47" i="5"/>
  <c r="D51" i="5"/>
  <c r="D79" i="5"/>
  <c r="B8" i="5"/>
  <c r="F10" i="5"/>
  <c r="E3" i="5"/>
  <c r="A7" i="5"/>
  <c r="C8" i="5"/>
  <c r="I8" i="5" s="1"/>
  <c r="J8" i="5" s="1"/>
  <c r="E9" i="5"/>
  <c r="A13" i="5"/>
  <c r="C14" i="5"/>
  <c r="E15" i="5"/>
  <c r="A19" i="5"/>
  <c r="C20" i="5"/>
  <c r="I20" i="5" s="1"/>
  <c r="J20" i="5" s="1"/>
  <c r="F21" i="5"/>
  <c r="I21" i="5" s="1"/>
  <c r="J21" i="5" s="1"/>
  <c r="C24" i="5"/>
  <c r="I24" i="5" s="1"/>
  <c r="J24" i="5" s="1"/>
  <c r="F25" i="5"/>
  <c r="B28" i="5"/>
  <c r="E29" i="5"/>
  <c r="B32" i="5"/>
  <c r="E33" i="5"/>
  <c r="B36" i="5"/>
  <c r="E37" i="5"/>
  <c r="B40" i="5"/>
  <c r="E41" i="5"/>
  <c r="B44" i="5"/>
  <c r="E45" i="5"/>
  <c r="B48" i="5"/>
  <c r="E49" i="5"/>
  <c r="B52" i="5"/>
  <c r="E53" i="5"/>
  <c r="B56" i="5"/>
  <c r="E57" i="5"/>
  <c r="B60" i="5"/>
  <c r="E61" i="5"/>
  <c r="B64" i="5"/>
  <c r="E65" i="5"/>
  <c r="B68" i="5"/>
  <c r="E69" i="5"/>
  <c r="B72" i="5"/>
  <c r="E73" i="5"/>
  <c r="B76" i="5"/>
  <c r="E77" i="5"/>
  <c r="B80" i="5"/>
  <c r="E81" i="5"/>
  <c r="C48" i="5"/>
  <c r="F49" i="5"/>
  <c r="C52" i="5"/>
  <c r="F53" i="5"/>
  <c r="C56" i="5"/>
  <c r="I56" i="5" s="1"/>
  <c r="J56" i="5" s="1"/>
  <c r="F57" i="5"/>
  <c r="C60" i="5"/>
  <c r="I60" i="5" s="1"/>
  <c r="J60" i="5" s="1"/>
  <c r="F61" i="5"/>
  <c r="C64" i="5"/>
  <c r="I64" i="5" s="1"/>
  <c r="J64" i="5" s="1"/>
  <c r="F65" i="5"/>
  <c r="C68" i="5"/>
  <c r="I68" i="5" s="1"/>
  <c r="J68" i="5" s="1"/>
  <c r="F69" i="5"/>
  <c r="C72" i="5"/>
  <c r="I72" i="5" s="1"/>
  <c r="J72" i="5" s="1"/>
  <c r="F73" i="5"/>
  <c r="C76" i="5"/>
  <c r="I76" i="5" s="1"/>
  <c r="J76" i="5" s="1"/>
  <c r="F77" i="5"/>
  <c r="C80" i="5"/>
  <c r="I80" i="5" s="1"/>
  <c r="J80" i="5" s="1"/>
  <c r="F81" i="5"/>
  <c r="I2" i="6"/>
  <c r="F68" i="5"/>
  <c r="F3" i="5"/>
  <c r="I3" i="5" s="1"/>
  <c r="J3" i="5" s="1"/>
  <c r="D8" i="5"/>
  <c r="F9" i="5"/>
  <c r="D14" i="5"/>
  <c r="F15" i="5"/>
  <c r="D20" i="5"/>
  <c r="D24" i="5"/>
  <c r="F29" i="5"/>
  <c r="F33" i="5"/>
  <c r="F37" i="5"/>
  <c r="F41" i="5"/>
  <c r="A6" i="5"/>
  <c r="C7" i="5"/>
  <c r="I7" i="5" s="1"/>
  <c r="J7" i="5" s="1"/>
  <c r="E8" i="5"/>
  <c r="A12" i="5"/>
  <c r="C13" i="5"/>
  <c r="E14" i="5"/>
  <c r="A18" i="5"/>
  <c r="E20" i="5"/>
  <c r="A27" i="5"/>
  <c r="D28" i="5"/>
  <c r="A31" i="5"/>
  <c r="D32" i="5"/>
  <c r="A35" i="5"/>
  <c r="D36" i="5"/>
  <c r="A39" i="5"/>
  <c r="D40" i="5"/>
  <c r="A43" i="5"/>
  <c r="D44" i="5"/>
  <c r="A47" i="5"/>
  <c r="D48" i="5"/>
  <c r="A51" i="5"/>
  <c r="D52" i="5"/>
  <c r="A55" i="5"/>
  <c r="D56" i="5"/>
  <c r="A59" i="5"/>
  <c r="D60" i="5"/>
  <c r="A63" i="5"/>
  <c r="D64" i="5"/>
  <c r="A67" i="5"/>
  <c r="D68" i="5"/>
  <c r="A71" i="5"/>
  <c r="D72" i="5"/>
  <c r="A75" i="5"/>
  <c r="D76" i="5"/>
  <c r="I37" i="5" l="1"/>
  <c r="J37" i="5" s="1"/>
  <c r="I81" i="5"/>
  <c r="J81" i="5" s="1"/>
  <c r="I57" i="5"/>
  <c r="J57" i="5" s="1"/>
  <c r="I33" i="5"/>
  <c r="J33" i="5" s="1"/>
  <c r="I13" i="5"/>
  <c r="J13" i="5" s="1"/>
  <c r="I77" i="5"/>
  <c r="J77" i="5" s="1"/>
  <c r="I53" i="5"/>
  <c r="J53" i="5" s="1"/>
  <c r="I29" i="5"/>
  <c r="J29" i="5" s="1"/>
  <c r="I73" i="5"/>
  <c r="J73" i="5" s="1"/>
  <c r="I49" i="5"/>
  <c r="J49" i="5" s="1"/>
  <c r="I61" i="5"/>
  <c r="J61" i="5" s="1"/>
  <c r="I22" i="5"/>
  <c r="J22" i="5" s="1"/>
  <c r="I69" i="5"/>
  <c r="J69" i="5" s="1"/>
  <c r="I45" i="5"/>
  <c r="J45" i="5" s="1"/>
</calcChain>
</file>

<file path=xl/sharedStrings.xml><?xml version="1.0" encoding="utf-8"?>
<sst xmlns="http://schemas.openxmlformats.org/spreadsheetml/2006/main" count="312" uniqueCount="198">
  <si>
    <t>FORMATO
DATOS PRIMARIOS PARA EL ANÁLISIS DE DENSIDAD DE PLANCTON Y MACROINVERTEBRADOS BENTÓNICOS</t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</si>
  <si>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</si>
  <si>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</si>
  <si>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</si>
  <si>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Humberto Luis Quintana-M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</si>
  <si>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</si>
  <si>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Microscopio invertido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</si>
  <si>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</si>
  <si>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</si>
  <si>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</si>
  <si>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Leica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</si>
  <si>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</si>
  <si>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</si>
  <si>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</si>
  <si>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t>DMi1</t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</si>
  <si>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</si>
  <si>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Recuento cámara completa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</si>
  <si>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</si>
  <si>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</si>
  <si>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Serdwick-Rafter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</si>
  <si>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</si>
  <si>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84060000000000000032555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</si>
  <si>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</si>
  <si>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Expedición-pacifico S02 SP-EPS21-107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</si>
  <si>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</si>
  <si>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</si>
  <si>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</si>
  <si>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  ]   FITO [ X  ]</t>
  </si>
  <si>
    <t>X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</si>
  <si>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</si>
  <si>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t>20 L</t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</si>
  <si>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</si>
  <si>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</si>
  <si>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</si>
  <si>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t>BENTOS</t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</si>
  <si>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</si>
  <si>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</si>
  <si>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</si>
  <si>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</si>
  <si>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</si>
  <si>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</si>
  <si>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</si>
  <si>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</si>
  <si>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</si>
  <si>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</si>
  <si>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Coscinodiscopsis joenesiasa</t>
  </si>
  <si>
    <t>Coscinodiscus gigas</t>
  </si>
  <si>
    <t>Skeletonema constatum</t>
  </si>
  <si>
    <t>Ornitocercus sp</t>
  </si>
  <si>
    <t>Chaetoceros diversus</t>
  </si>
  <si>
    <t>Probocia sp</t>
  </si>
  <si>
    <t>Litodesmiun undulatum</t>
  </si>
  <si>
    <t>Tripos brevis</t>
  </si>
  <si>
    <t>Ceratocoris horrida</t>
  </si>
  <si>
    <t>Coscinodiscus granii</t>
  </si>
  <si>
    <t>C</t>
  </si>
  <si>
    <t>Dinoflagelado circular</t>
  </si>
  <si>
    <t>Chaetoceros protuberans</t>
  </si>
  <si>
    <t>Thalassionema nizschioides</t>
  </si>
  <si>
    <t>Tripos aff muelleri-brevis</t>
  </si>
  <si>
    <t>Trieres chinensis</t>
  </si>
  <si>
    <t>Coscinodiscus sp 2</t>
  </si>
  <si>
    <t>Tripos sp</t>
  </si>
  <si>
    <t>Phalacroma rapa</t>
  </si>
  <si>
    <t>0bservaciónes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</si>
  <si>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</si>
  <si>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</si>
  <si>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</si>
  <si>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</si>
  <si>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</si>
  <si>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</si>
  <si>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</si>
  <si>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</si>
  <si>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</si>
  <si>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</si>
  <si>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</si>
  <si>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</si>
  <si>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</si>
  <si>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</si>
  <si>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</si>
  <si>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</si>
  <si>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</si>
  <si>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</si>
  <si>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</si>
  <si>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</si>
  <si>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</si>
  <si>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</si>
  <si>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</si>
  <si>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</si>
  <si>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</si>
  <si>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</si>
  <si>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</si>
  <si>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</si>
  <si>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</si>
  <si>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</si>
  <si>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</si>
  <si>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</si>
  <si>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</si>
  <si>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</si>
  <si>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</si>
  <si>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</si>
  <si>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</si>
  <si>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</si>
  <si>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</si>
  <si>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</si>
  <si>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</si>
  <si>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</si>
  <si>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</si>
  <si>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</si>
  <si>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</si>
  <si>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</si>
  <si>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</si>
  <si>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</si>
  <si>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</si>
  <si>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</si>
  <si>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</si>
  <si>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</si>
  <si>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</si>
  <si>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</si>
  <si>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</si>
  <si>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</si>
  <si>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</si>
  <si>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</si>
  <si>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</si>
  <si>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</si>
  <si>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</si>
  <si>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</si>
  <si>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</si>
  <si>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</si>
  <si>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</si>
  <si>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</si>
  <si>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</si>
  <si>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</si>
  <si>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</si>
  <si>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</si>
  <si>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Cratocoris horrida</t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</si>
  <si>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</si>
  <si>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sz val="8"/>
        <color rgb="FF808080"/>
        <rFont val="Times New Roman"/>
        <family val="1"/>
      </rPr>
      <t xml:space="preserve">Limpiar y verificar </t>
    </r>
    <r>
      <rPr>
        <i/>
        <sz val="8"/>
        <color rgb="FF808080"/>
        <rFont val="Times New Roman"/>
        <family val="1"/>
      </rPr>
      <t>Coscinodiscus asteromphalus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</si>
  <si>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</si>
  <si>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r>
      <rPr>
        <b/>
        <sz val="9"/>
        <color theme="1"/>
        <rFont val="Arial"/>
        <family val="2"/>
      </rPr>
      <t xml:space="preserve"> Proceso: </t>
    </r>
    <r>
      <rPr>
        <sz val="9"/>
        <color theme="1"/>
        <rFont val="Arial"/>
        <family val="2"/>
      </rPr>
      <t xml:space="preserve">M5 Protección del Medio Marino </t>
    </r>
    <r>
      <rPr>
        <b/>
        <sz val="9"/>
        <color theme="1"/>
        <rFont val="Arial"/>
        <family val="2"/>
      </rPr>
      <t xml:space="preserve">
 Código:</t>
    </r>
    <r>
      <rPr>
        <sz val="9"/>
        <color theme="1"/>
        <rFont val="Arial"/>
        <family val="2"/>
      </rPr>
      <t xml:space="preserve"> M5-00-FOR-135</t>
    </r>
    <r>
      <rPr>
        <b/>
        <sz val="9"/>
        <color theme="1"/>
        <rFont val="Arial"/>
        <family val="2"/>
      </rPr>
      <t xml:space="preserve">
 Versión:</t>
    </r>
    <r>
      <rPr>
        <sz val="9"/>
        <color theme="1"/>
        <rFont val="Arial"/>
        <family val="2"/>
      </rPr>
      <t xml:space="preserve"> 0</t>
    </r>
  </si>
  <si>
    <r>
      <rPr>
        <b/>
        <sz val="10"/>
        <color theme="1"/>
        <rFont val="Arial"/>
        <family val="2"/>
      </rPr>
      <t xml:space="preserve">N° SOLICITUD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Request number</t>
    </r>
  </si>
  <si>
    <t>004</t>
  </si>
  <si>
    <r>
      <rPr>
        <b/>
        <sz val="10"/>
        <color theme="1"/>
        <rFont val="Arial"/>
        <family val="2"/>
      </rPr>
      <t>REALIZADO POR</t>
    </r>
    <r>
      <rPr>
        <i/>
        <sz val="10"/>
        <color theme="1"/>
        <rFont val="Arial"/>
        <family val="2"/>
      </rPr>
      <t xml:space="preserve">                                                </t>
    </r>
    <r>
      <rPr>
        <i/>
        <sz val="9"/>
        <color rgb="FF969696"/>
        <rFont val="Arial"/>
        <family val="2"/>
      </rPr>
      <t>Done by</t>
    </r>
  </si>
  <si>
    <t>Christian Bermúdez Rivas</t>
  </si>
  <si>
    <r>
      <rPr>
        <b/>
        <sz val="10"/>
        <color theme="1"/>
        <rFont val="Arial"/>
        <family val="2"/>
      </rPr>
      <t>EQUIPO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Equipment</t>
    </r>
  </si>
  <si>
    <t>Estereoscopio</t>
  </si>
  <si>
    <r>
      <rPr>
        <b/>
        <sz val="10"/>
        <color theme="1"/>
        <rFont val="Arial"/>
        <family val="2"/>
      </rPr>
      <t xml:space="preserve">FECHA DE INICIO DE ANÁLISIS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Test start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</si>
  <si>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</si>
  <si>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MARCA      </t>
    </r>
    <r>
      <rPr>
        <sz val="10"/>
        <color theme="1"/>
        <rFont val="Arial"/>
        <family val="2"/>
      </rPr>
      <t xml:space="preserve">              </t>
    </r>
    <r>
      <rPr>
        <i/>
        <sz val="9"/>
        <color rgb="FF969696"/>
        <rFont val="Arial"/>
        <family val="2"/>
      </rPr>
      <t>Trademark</t>
    </r>
  </si>
  <si>
    <t>Olympus</t>
  </si>
  <si>
    <r>
      <rPr>
        <b/>
        <sz val="10"/>
        <color theme="1"/>
        <rFont val="Arial"/>
        <family val="2"/>
      </rPr>
      <t xml:space="preserve">FECHA FINALIZACIÓN ANÁLISIS
</t>
    </r>
    <r>
      <rPr>
        <i/>
        <sz val="9"/>
        <color rgb="FF969696"/>
        <rFont val="Arial"/>
        <family val="2"/>
      </rPr>
      <t>Test ending date</t>
    </r>
  </si>
  <si>
    <r>
      <rPr>
        <b/>
        <sz val="8"/>
        <color theme="1"/>
        <rFont val="Arial"/>
        <family val="2"/>
      </rPr>
      <t>HORA</t>
    </r>
    <r>
      <rPr>
        <sz val="8"/>
        <color theme="1"/>
        <rFont val="Arial"/>
        <family val="2"/>
      </rPr>
      <t xml:space="preserve"> </t>
    </r>
    <r>
      <rPr>
        <i/>
        <sz val="8"/>
        <color rgb="FF969696"/>
        <rFont val="Arial"/>
        <family val="2"/>
      </rPr>
      <t>Time</t>
    </r>
  </si>
  <si>
    <r>
      <rPr>
        <b/>
        <sz val="10"/>
        <color theme="1"/>
        <rFont val="Arial"/>
        <family val="2"/>
      </rPr>
      <t xml:space="preserve">MODELO
</t>
    </r>
    <r>
      <rPr>
        <i/>
        <sz val="9"/>
        <color rgb="FF969696"/>
        <rFont val="Arial"/>
        <family val="2"/>
      </rPr>
      <t>Model</t>
    </r>
  </si>
  <si>
    <r>
      <rPr>
        <b/>
        <sz val="10"/>
        <color theme="1"/>
        <rFont val="Arial"/>
        <family val="2"/>
      </rPr>
      <t xml:space="preserve">MÉTODO </t>
    </r>
    <r>
      <rPr>
        <sz val="10"/>
        <color theme="1"/>
        <rFont val="Arial"/>
        <family val="2"/>
      </rPr>
      <t xml:space="preserve">                                     </t>
    </r>
    <r>
      <rPr>
        <i/>
        <sz val="9"/>
        <color rgb="FF969696"/>
        <rFont val="Arial"/>
        <family val="2"/>
      </rPr>
      <t>Method</t>
    </r>
  </si>
  <si>
    <t>Conteo Visual</t>
  </si>
  <si>
    <r>
      <rPr>
        <b/>
        <sz val="10"/>
        <color theme="1"/>
        <rFont val="Arial"/>
        <family val="2"/>
      </rPr>
      <t>SERIE</t>
    </r>
    <r>
      <rPr>
        <sz val="10"/>
        <color theme="1"/>
        <rFont val="Arial"/>
        <family val="2"/>
      </rPr>
      <t xml:space="preserve">                            </t>
    </r>
    <r>
      <rPr>
        <i/>
        <sz val="10"/>
        <color rgb="FF969696"/>
        <rFont val="Arial"/>
        <family val="2"/>
      </rPr>
      <t>Serie</t>
    </r>
  </si>
  <si>
    <t>4E41147</t>
  </si>
  <si>
    <r>
      <rPr>
        <b/>
        <sz val="10"/>
        <color theme="1"/>
        <rFont val="Arial"/>
        <family val="2"/>
      </rPr>
      <t>TÉCNICA</t>
    </r>
    <r>
      <rPr>
        <sz val="10"/>
        <color theme="1"/>
        <rFont val="Arial"/>
        <family val="2"/>
      </rPr>
      <t xml:space="preserve">                                      </t>
    </r>
    <r>
      <rPr>
        <i/>
        <sz val="9"/>
        <color rgb="FF969696"/>
        <rFont val="Arial"/>
        <family val="2"/>
      </rPr>
      <t>Technique</t>
    </r>
  </si>
  <si>
    <t>Cámara Bogorov</t>
  </si>
  <si>
    <r>
      <rPr>
        <b/>
        <sz val="10"/>
        <color theme="1"/>
        <rFont val="Arial"/>
        <family val="2"/>
      </rPr>
      <t xml:space="preserve">PLACA                                            </t>
    </r>
    <r>
      <rPr>
        <sz val="10"/>
        <color theme="1"/>
        <rFont val="Arial"/>
        <family val="2"/>
      </rPr>
      <t xml:space="preserve"> </t>
    </r>
    <r>
      <rPr>
        <i/>
        <sz val="9"/>
        <color rgb="FF969696"/>
        <rFont val="Arial"/>
        <family val="2"/>
      </rPr>
      <t>Plate</t>
    </r>
  </si>
  <si>
    <t>8004060000000000000021013</t>
  </si>
  <si>
    <r>
      <rPr>
        <b/>
        <sz val="10"/>
        <color theme="1"/>
        <rFont val="Arial"/>
        <family val="2"/>
      </rPr>
      <t>CÓDIGO DE MUESTRA</t>
    </r>
    <r>
      <rPr>
        <sz val="10"/>
        <color theme="1"/>
        <rFont val="Arial"/>
        <family val="2"/>
      </rPr>
      <t xml:space="preserve">                      </t>
    </r>
    <r>
      <rPr>
        <i/>
        <sz val="9"/>
        <color rgb="FF969696"/>
        <rFont val="Arial"/>
        <family val="2"/>
      </rPr>
      <t>Sample code</t>
    </r>
  </si>
  <si>
    <t>SP-20-0719</t>
  </si>
  <si>
    <r>
      <rPr>
        <b/>
        <sz val="10"/>
        <color theme="1"/>
        <rFont val="Arial"/>
        <family val="2"/>
      </rPr>
      <t>CONDICIONES AMBIENTALES</t>
    </r>
    <r>
      <rPr>
        <sz val="10"/>
        <color theme="1"/>
        <rFont val="Arial"/>
        <family val="2"/>
      </rPr>
      <t xml:space="preserve">                                                      </t>
    </r>
    <r>
      <rPr>
        <i/>
        <sz val="9"/>
        <color rgb="FF969696"/>
        <rFont val="Arial"/>
        <family val="2"/>
      </rPr>
      <t>Environmental conditions</t>
    </r>
  </si>
  <si>
    <r>
      <rPr>
        <b/>
        <sz val="10"/>
        <color theme="1"/>
        <rFont val="Arial"/>
        <family val="2"/>
      </rPr>
      <t>TEMPERATURA [°C]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Temperature</t>
    </r>
  </si>
  <si>
    <r>
      <rPr>
        <b/>
        <sz val="10"/>
        <color theme="1"/>
        <rFont val="Arial"/>
        <family val="2"/>
      </rPr>
      <t>HUMEDAD RELATIVA [%]</t>
    </r>
    <r>
      <rPr>
        <sz val="10"/>
        <color theme="1"/>
        <rFont val="Arial"/>
        <family val="2"/>
      </rPr>
      <t xml:space="preserve">                </t>
    </r>
    <r>
      <rPr>
        <i/>
        <sz val="9"/>
        <color rgb="FF969696"/>
        <rFont val="Arial"/>
        <family val="2"/>
      </rPr>
      <t>Relative Humidity</t>
    </r>
  </si>
  <si>
    <t>PLANCTON 
ZOO [  X  ]   FITO [   ]</t>
  </si>
  <si>
    <r>
      <rPr>
        <b/>
        <sz val="9"/>
        <color theme="1"/>
        <rFont val="Arial"/>
        <family val="2"/>
      </rPr>
      <t>VOLUMEN FILTRADO [m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 xml:space="preserve">]
</t>
    </r>
    <r>
      <rPr>
        <i/>
        <sz val="9"/>
        <color rgb="FF969696"/>
        <rFont val="Arial"/>
        <family val="2"/>
      </rPr>
      <t>Filtered volumen</t>
    </r>
  </si>
  <si>
    <r>
      <rPr>
        <b/>
        <sz val="9"/>
        <color theme="1"/>
        <rFont val="Arial"/>
        <family val="2"/>
      </rPr>
      <t>VOLUMEN CONCENTRADO [mL]</t>
    </r>
    <r>
      <rPr>
        <sz val="9"/>
        <color theme="1"/>
        <rFont val="Arial"/>
        <family val="2"/>
      </rPr>
      <t xml:space="preserve">
</t>
    </r>
    <r>
      <rPr>
        <i/>
        <sz val="9"/>
        <color rgb="FF969696"/>
        <rFont val="Arial"/>
        <family val="2"/>
      </rPr>
      <t>Concentrated volume</t>
    </r>
  </si>
  <si>
    <t>-</t>
  </si>
  <si>
    <r>
      <rPr>
        <b/>
        <sz val="9"/>
        <color theme="1"/>
        <rFont val="Arial"/>
        <family val="2"/>
      </rPr>
      <t xml:space="preserve">VOLUMEN DE LA ALÍCUOTA [mL]
</t>
    </r>
    <r>
      <rPr>
        <i/>
        <sz val="9"/>
        <color rgb="FF969696"/>
        <rFont val="Arial"/>
        <family val="2"/>
      </rPr>
      <t xml:space="preserve">Aliquot volume </t>
    </r>
  </si>
  <si>
    <r>
      <rPr>
        <b/>
        <sz val="9"/>
        <color theme="1"/>
        <rFont val="Arial"/>
        <family val="2"/>
      </rPr>
      <t xml:space="preserve">NÚMERO DE ALÍCUOTAS
</t>
    </r>
    <r>
      <rPr>
        <i/>
        <sz val="9"/>
        <color rgb="FF969696"/>
        <rFont val="Arial"/>
        <family val="2"/>
      </rPr>
      <t>Number of Aliquots</t>
    </r>
  </si>
  <si>
    <r>
      <rPr>
        <b/>
        <sz val="9"/>
        <color theme="1"/>
        <rFont val="Arial"/>
        <family val="2"/>
      </rPr>
      <t>VOLUMEN DE LA MUESTRA [cm</t>
    </r>
    <r>
      <rPr>
        <b/>
        <vertAlign val="superscript"/>
        <sz val="9"/>
        <color theme="1"/>
        <rFont val="Arial"/>
        <family val="2"/>
      </rPr>
      <t>3</t>
    </r>
    <r>
      <rPr>
        <b/>
        <sz val="9"/>
        <color theme="1"/>
        <rFont val="Arial"/>
        <family val="2"/>
      </rPr>
      <t>]</t>
    </r>
    <r>
      <rPr>
        <sz val="9"/>
        <color theme="1"/>
        <rFont val="Arial"/>
        <family val="2"/>
      </rPr>
      <t xml:space="preserve">                                                                                          </t>
    </r>
    <r>
      <rPr>
        <i/>
        <sz val="9"/>
        <color rgb="FF969696"/>
        <rFont val="Arial"/>
        <family val="2"/>
      </rPr>
      <t>Sample volumen</t>
    </r>
  </si>
  <si>
    <r>
      <rPr>
        <b/>
        <sz val="9"/>
        <color theme="1"/>
        <rFont val="Arial"/>
        <family val="2"/>
      </rPr>
      <t>ÁREA DE LA MUESTRA [cm</t>
    </r>
    <r>
      <rPr>
        <b/>
        <vertAlign val="super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 xml:space="preserve">]  </t>
    </r>
    <r>
      <rPr>
        <sz val="9"/>
        <color theme="1"/>
        <rFont val="Arial"/>
        <family val="2"/>
      </rPr>
      <t xml:space="preserve">                                                                       </t>
    </r>
    <r>
      <rPr>
        <i/>
        <sz val="9"/>
        <color rgb="FF969696"/>
        <rFont val="Arial"/>
        <family val="2"/>
      </rPr>
      <t>Sample Area</t>
    </r>
  </si>
  <si>
    <r>
      <rPr>
        <b/>
        <sz val="10"/>
        <color rgb="FF202122"/>
        <rFont val="Arial"/>
        <family val="2"/>
      </rPr>
      <t xml:space="preserve">Taxón
</t>
    </r>
    <r>
      <rPr>
        <i/>
        <sz val="9"/>
        <color rgb="FF969696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</si>
  <si>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</si>
  <si>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</si>
  <si>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</si>
  <si>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</si>
  <si>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 xml:space="preserve">Conteo
</t>
    </r>
    <r>
      <rPr>
        <i/>
        <sz val="9"/>
        <color rgb="FF7F7F7F"/>
        <rFont val="Arial"/>
        <family val="2"/>
      </rPr>
      <t>Counting</t>
    </r>
  </si>
  <si>
    <r>
      <rPr>
        <b/>
        <sz val="10"/>
        <color theme="1"/>
        <rFont val="Arial"/>
        <family val="2"/>
      </rPr>
      <t>Taxón</t>
    </r>
    <r>
      <rPr>
        <sz val="10"/>
        <color theme="1"/>
        <rFont val="Arial"/>
        <family val="2"/>
      </rPr>
      <t xml:space="preserve">               </t>
    </r>
    <r>
      <rPr>
        <i/>
        <sz val="9"/>
        <color rgb="FF7F7F7F"/>
        <rFont val="Arial"/>
        <family val="2"/>
      </rPr>
      <t>Taxon</t>
    </r>
  </si>
  <si>
    <r>
      <rPr>
        <b/>
        <sz val="10"/>
        <color theme="1"/>
        <rFont val="Arial"/>
        <family val="2"/>
      </rPr>
      <t>Conteo</t>
    </r>
    <r>
      <rPr>
        <sz val="10"/>
        <color theme="1"/>
        <rFont val="Arial"/>
        <family val="2"/>
      </rPr>
      <t xml:space="preserve">                            </t>
    </r>
    <r>
      <rPr>
        <i/>
        <sz val="9"/>
        <color rgb="FF7F7F7F"/>
        <rFont val="Arial"/>
        <family val="2"/>
      </rPr>
      <t>Counting</t>
    </r>
  </si>
  <si>
    <t>Larvas de peces</t>
  </si>
  <si>
    <r>
      <rPr>
        <b/>
        <sz val="9"/>
        <color theme="1"/>
        <rFont val="Arial"/>
        <family val="2"/>
      </rPr>
      <t xml:space="preserve">OBSERVACIONES
</t>
    </r>
    <r>
      <rPr>
        <i/>
        <sz val="9"/>
        <color rgb="FF7F7F7F"/>
        <rFont val="Arial"/>
        <family val="2"/>
      </rPr>
      <t>Comments</t>
    </r>
  </si>
  <si>
    <r>
      <rPr>
        <b/>
        <sz val="9"/>
        <color theme="1"/>
        <rFont val="Arial"/>
        <family val="2"/>
      </rPr>
      <t>APROBADO POR</t>
    </r>
    <r>
      <rPr>
        <b/>
        <sz val="10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Approved by</t>
    </r>
  </si>
  <si>
    <r>
      <rPr>
        <b/>
        <sz val="9"/>
        <color theme="1"/>
        <rFont val="Arial"/>
        <family val="2"/>
      </rPr>
      <t>JEFE DE LABORATORIO</t>
    </r>
    <r>
      <rPr>
        <sz val="9"/>
        <color theme="1"/>
        <rFont val="Arial"/>
        <family val="2"/>
      </rPr>
      <t xml:space="preserve">
</t>
    </r>
    <r>
      <rPr>
        <i/>
        <sz val="9"/>
        <color rgb="FF7F7F7F"/>
        <rFont val="Arial"/>
        <family val="2"/>
      </rPr>
      <t>Laboratory Head</t>
    </r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</si>
  <si>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</si>
  <si>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</si>
  <si>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</si>
  <si>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</si>
  <si>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</si>
  <si>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</si>
  <si>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</si>
  <si>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</si>
  <si>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</si>
  <si>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</si>
  <si>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Volumen Filtrado</t>
  </si>
  <si>
    <t>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</si>
</sst>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"/>
    <numFmt numFmtId="165" formatCode="0.0000"/>
    <numFmt numFmtId="166" formatCode="0.0"/>
  </numFmts>
  <fonts count="22" x14ac:knownFonts="1">
    <font>
      <sz val="10"/>
      <color rgb="FF000000"/>
      <name val="Arial"/>
    </font>
    <font>
      <b/>
      <sz val="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FF0000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0"/>
      <color rgb="FF202122"/>
      <name val="Arial"/>
      <family val="2"/>
    </font>
    <font>
      <i/>
      <sz val="11"/>
      <color theme="1"/>
      <name val="Calibri"/>
      <family val="2"/>
    </font>
    <font>
      <sz val="8"/>
      <color rgb="FF808080"/>
      <name val="Times New Roman"/>
      <family val="1"/>
    </font>
    <font>
      <i/>
      <sz val="9"/>
      <color rgb="FF969696"/>
      <name val="Arial"/>
      <family val="2"/>
    </font>
    <font>
      <b/>
      <sz val="8"/>
      <color theme="1"/>
      <name val="Arial"/>
      <family val="2"/>
    </font>
    <font>
      <i/>
      <sz val="8"/>
      <color rgb="FF969696"/>
      <name val="Arial"/>
      <family val="2"/>
    </font>
    <font>
      <i/>
      <sz val="10"/>
      <color rgb="FF969696"/>
      <name val="Arial"/>
      <family val="2"/>
    </font>
    <font>
      <b/>
      <vertAlign val="superscript"/>
      <sz val="9"/>
      <color theme="1"/>
      <name val="Arial"/>
      <family val="2"/>
    </font>
    <font>
      <i/>
      <sz val="9"/>
      <color rgb="FF7F7F7F"/>
      <name val="Arial"/>
      <family val="2"/>
    </font>
    <font>
      <i/>
      <sz val="8"/>
      <color rgb="FF80808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</fills>
  <borders count="16">
    <border>
      <left/>
      <right/>
      <top/>
      <bottom/>
      <diagonal/>
    </border>
    <border>
      <left style="hair">
        <color rgb="FF7F7F7F"/>
      </left>
      <right/>
      <top/>
      <bottom style="hair">
        <color rgb="FF7F7F7F"/>
      </bottom>
      <diagonal/>
    </border>
    <border>
      <left/>
      <right/>
      <top/>
      <bottom style="hair">
        <color rgb="FF7F7F7F"/>
      </bottom>
      <diagonal/>
    </border>
    <border>
      <left style="hair">
        <color rgb="FF7F7F7F"/>
      </left>
      <right/>
      <top/>
      <bottom/>
      <diagonal/>
    </border>
    <border>
      <left/>
      <right/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thin">
        <color rgb="FF000000"/>
      </left>
      <right/>
      <top/>
      <bottom/>
      <diagonal/>
    </border>
    <border>
      <left style="hair">
        <color rgb="FF7F7F7F"/>
      </left>
      <right/>
      <top style="hair">
        <color rgb="FF7F7F7F"/>
      </top>
      <bottom/>
      <diagonal/>
    </border>
    <border>
      <left/>
      <right/>
      <top style="hair">
        <color rgb="FF7F7F7F"/>
      </top>
      <bottom/>
      <diagonal/>
    </border>
    <border>
      <left/>
      <right style="hair">
        <color rgb="FF7F7F7F"/>
      </right>
      <top style="hair">
        <color rgb="FF7F7F7F"/>
      </top>
      <bottom/>
      <diagonal/>
    </border>
    <border>
      <left/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horizontal="center" vertical="top" wrapText="1"/>
    </xf>
    <xf numFmtId="0" fontId="2" fillId="0" borderId="0" xfId="0" applyFont="1"/>
    <xf numFmtId="49" fontId="2" fillId="0" borderId="0" xfId="0" applyNumberFormat="1" applyFont="1"/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right" vertical="center" wrapText="1"/>
    </xf>
    <xf numFmtId="0" fontId="10" fillId="0" borderId="0" xfId="0" applyFont="1" applyAlignment="1">
      <alignment vertical="center"/>
    </xf>
    <xf numFmtId="0" fontId="2" fillId="0" borderId="9" xfId="0" applyFont="1" applyBorder="1"/>
    <xf numFmtId="49" fontId="2" fillId="0" borderId="9" xfId="0" applyNumberFormat="1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right" vertical="center" wrapText="1"/>
    </xf>
    <xf numFmtId="0" fontId="11" fillId="0" borderId="0" xfId="0" applyFont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right" vertical="center" wrapText="1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/>
    <xf numFmtId="2" fontId="2" fillId="0" borderId="0" xfId="0" applyNumberFormat="1" applyFont="1"/>
    <xf numFmtId="1" fontId="2" fillId="0" borderId="0" xfId="0" applyNumberFormat="1" applyFont="1"/>
    <xf numFmtId="1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11" fillId="3" borderId="5" xfId="0" applyFont="1" applyFill="1" applyBorder="1" applyAlignment="1">
      <alignment horizontal="right" vertical="center" wrapText="1"/>
    </xf>
    <xf numFmtId="0" fontId="4" fillId="0" borderId="6" xfId="0" applyFont="1" applyBorder="1"/>
    <xf numFmtId="0" fontId="4" fillId="0" borderId="8" xfId="0" applyFont="1" applyBorder="1"/>
    <xf numFmtId="0" fontId="11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3" borderId="5" xfId="0" applyFont="1" applyFill="1" applyBorder="1" applyAlignment="1">
      <alignment horizontal="right" vertical="center" wrapText="1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4" fillId="0" borderId="7" xfId="0" applyFont="1" applyBorder="1"/>
    <xf numFmtId="0" fontId="2" fillId="0" borderId="5" xfId="0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20" fontId="2" fillId="0" borderId="5" xfId="0" applyNumberFormat="1" applyFont="1" applyBorder="1" applyAlignment="1">
      <alignment horizontal="center" vertical="center" wrapText="1"/>
    </xf>
    <xf numFmtId="49" fontId="2" fillId="3" borderId="5" xfId="0" applyNumberFormat="1" applyFont="1" applyFill="1" applyBorder="1" applyAlignment="1">
      <alignment horizontal="right" vertical="center" wrapText="1"/>
    </xf>
    <xf numFmtId="49" fontId="9" fillId="0" borderId="5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0" xfId="0" applyFont="1" applyAlignment="1"/>
    <xf numFmtId="0" fontId="3" fillId="0" borderId="1" xfId="0" applyFont="1" applyBorder="1" applyAlignment="1">
      <alignment horizontal="left" vertical="center" wrapText="1"/>
    </xf>
    <xf numFmtId="0" fontId="4" fillId="0" borderId="2" xfId="0" applyFont="1" applyBorder="1"/>
    <xf numFmtId="0" fontId="5" fillId="0" borderId="3" xfId="0" applyFont="1" applyBorder="1" applyAlignment="1">
      <alignment horizontal="left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0" fontId="7" fillId="3" borderId="5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0" fontId="2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/>
    </xf>
    <xf numFmtId="0" fontId="4" fillId="0" borderId="15" xfId="0" applyFont="1" applyBorder="1"/>
    <xf numFmtId="0" fontId="2" fillId="0" borderId="11" xfId="0" applyFont="1" applyBorder="1" applyAlignment="1">
      <alignment horizontal="center"/>
    </xf>
    <xf numFmtId="0" fontId="4" fillId="0" borderId="12" xfId="0" applyFont="1" applyBorder="1"/>
    <xf numFmtId="0" fontId="4" fillId="0" borderId="13" xfId="0" applyFont="1" applyBorder="1"/>
    <xf numFmtId="0" fontId="2" fillId="3" borderId="5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left" vertical="center"/>
    </xf>
    <xf numFmtId="0" fontId="14" fillId="0" borderId="11" xfId="0" applyFont="1" applyBorder="1" applyAlignment="1">
      <alignment horizontal="center" vertical="center"/>
    </xf>
    <xf numFmtId="0" fontId="4" fillId="0" borderId="3" xfId="0" applyFont="1" applyBorder="1"/>
    <xf numFmtId="0" fontId="4" fillId="0" borderId="14" xfId="0" applyFont="1" applyBorder="1"/>
    <xf numFmtId="0" fontId="7" fillId="0" borderId="5" xfId="0" applyFont="1" applyBorder="1" applyAlignment="1">
      <alignment horizontal="left" vertical="center"/>
    </xf>
    <xf numFmtId="165" fontId="2" fillId="0" borderId="5" xfId="0" applyNumberFormat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wrapText="1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1" fontId="2" fillId="0" borderId="5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47625</xdr:rowOff>
    </xdr:from>
    <xdr:ext cx="2352675" cy="885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C1000"/>
  <sheetViews>
    <sheetView showGridLines="0" topLeftCell="A5" workbookViewId="0">
      <selection activeCell="A19" sqref="A19:H35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2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3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5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7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8</v>
      </c>
      <c r="Y5" s="38">
        <v>0.47222222222222221</v>
      </c>
      <c r="Z5" s="28"/>
      <c r="AA5" s="28"/>
      <c r="AB5" s="29"/>
      <c r="AC5" s="2"/>
    </row>
    <row r="6" spans="1:29" ht="24" customHeight="1" x14ac:dyDescent="0.2">
      <c r="A6" s="39" t="s">
        <v>9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11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12</v>
      </c>
      <c r="Y6" s="38">
        <v>0.50347222222222221</v>
      </c>
      <c r="Z6" s="28"/>
      <c r="AA6" s="28"/>
      <c r="AB6" s="29"/>
      <c r="AC6" s="2"/>
    </row>
    <row r="7" spans="1:29" ht="24" customHeight="1" x14ac:dyDescent="0.2">
      <c r="A7" s="32" t="s">
        <v>13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15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17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18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20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22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24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25</v>
      </c>
      <c r="O11" s="28"/>
      <c r="P11" s="28"/>
      <c r="Q11" s="28"/>
      <c r="R11" s="29"/>
      <c r="S11" s="36"/>
      <c r="T11" s="29"/>
      <c r="U11" s="32" t="s">
        <v>26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29</v>
      </c>
      <c r="H13" s="28"/>
      <c r="I13" s="29"/>
      <c r="J13" s="63" t="s">
        <v>30</v>
      </c>
      <c r="K13" s="29"/>
      <c r="L13" s="27" t="s">
        <v>31</v>
      </c>
      <c r="M13" s="28"/>
      <c r="N13" s="29"/>
      <c r="O13" s="36">
        <v>0</v>
      </c>
      <c r="P13" s="28"/>
      <c r="Q13" s="29"/>
      <c r="R13" s="27" t="s">
        <v>32</v>
      </c>
      <c r="S13" s="28"/>
      <c r="T13" s="29"/>
      <c r="U13" s="36">
        <v>1</v>
      </c>
      <c r="V13" s="29"/>
      <c r="W13" s="27" t="s">
        <v>33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35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36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37</v>
      </c>
      <c r="B17" s="28"/>
      <c r="C17" s="28"/>
      <c r="D17" s="28"/>
      <c r="E17" s="28"/>
      <c r="F17" s="29"/>
      <c r="G17" s="57" t="s">
        <v>38</v>
      </c>
      <c r="H17" s="28"/>
      <c r="I17" s="29"/>
      <c r="J17" s="57" t="s">
        <v>39</v>
      </c>
      <c r="K17" s="28"/>
      <c r="L17" s="29"/>
      <c r="M17" s="57" t="s">
        <v>40</v>
      </c>
      <c r="N17" s="28"/>
      <c r="O17" s="29"/>
      <c r="P17" s="57" t="s">
        <v>41</v>
      </c>
      <c r="Q17" s="28"/>
      <c r="R17" s="28"/>
      <c r="S17" s="29"/>
      <c r="T17" s="57" t="s">
        <v>42</v>
      </c>
      <c r="U17" s="28"/>
      <c r="V17" s="29"/>
      <c r="W17" s="57" t="s">
        <v>43</v>
      </c>
      <c r="X17" s="28"/>
      <c r="Y17" s="29"/>
      <c r="Z17" s="57" t="s">
        <v>44</v>
      </c>
      <c r="AA17" s="28"/>
      <c r="AB17" s="29"/>
      <c r="AC17" s="2"/>
    </row>
    <row r="18" spans="1:29" ht="15" customHeight="1" x14ac:dyDescent="0.2">
      <c r="A18" s="58"/>
      <c r="B18" s="28"/>
      <c r="C18" s="28"/>
      <c r="D18" s="28"/>
      <c r="E18" s="28"/>
      <c r="F18" s="29"/>
      <c r="G18" s="8"/>
      <c r="H18" s="8"/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46</v>
      </c>
      <c r="B19" s="28"/>
      <c r="C19" s="28"/>
      <c r="D19" s="28"/>
      <c r="E19" s="28"/>
      <c r="F19" s="29"/>
      <c r="G19" s="8"/>
      <c r="H19" s="8">
        <v>2</v>
      </c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47</v>
      </c>
      <c r="B20" s="28"/>
      <c r="C20" s="28"/>
      <c r="D20" s="28"/>
      <c r="E20" s="28"/>
      <c r="F20" s="29"/>
      <c r="G20" s="8"/>
      <c r="H20" s="8">
        <v>10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 t="s">
        <v>49</v>
      </c>
      <c r="B22" s="28"/>
      <c r="C22" s="28"/>
      <c r="D22" s="28"/>
      <c r="E22" s="28"/>
      <c r="F22" s="29"/>
      <c r="G22" s="8"/>
      <c r="H22" s="8">
        <v>4</v>
      </c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 t="s">
        <v>50</v>
      </c>
      <c r="B23" s="28"/>
      <c r="C23" s="28"/>
      <c r="D23" s="28"/>
      <c r="E23" s="28"/>
      <c r="F23" s="29"/>
      <c r="G23" s="8"/>
      <c r="H23" s="8"/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51</v>
      </c>
      <c r="B24" s="28"/>
      <c r="C24" s="28"/>
      <c r="D24" s="28"/>
      <c r="E24" s="28"/>
      <c r="F24" s="29"/>
      <c r="G24" s="8"/>
      <c r="H24" s="8"/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 t="s">
        <v>52</v>
      </c>
      <c r="B25" s="28"/>
      <c r="C25" s="28"/>
      <c r="D25" s="28"/>
      <c r="E25" s="28"/>
      <c r="F25" s="29"/>
      <c r="G25" s="8"/>
      <c r="H25" s="8"/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53</v>
      </c>
      <c r="B26" s="28"/>
      <c r="C26" s="28"/>
      <c r="D26" s="28"/>
      <c r="E26" s="28"/>
      <c r="F26" s="29"/>
      <c r="G26" s="8"/>
      <c r="H26" s="8"/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 t="s">
        <v>54</v>
      </c>
      <c r="B27" s="28"/>
      <c r="C27" s="28"/>
      <c r="D27" s="28"/>
      <c r="E27" s="28"/>
      <c r="F27" s="29"/>
      <c r="G27" s="8" t="s">
        <v>55</v>
      </c>
      <c r="H27" s="8">
        <v>1</v>
      </c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/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 t="s">
        <v>59</v>
      </c>
      <c r="B31" s="28"/>
      <c r="C31" s="28"/>
      <c r="D31" s="28"/>
      <c r="E31" s="28"/>
      <c r="F31" s="29"/>
      <c r="G31" s="8"/>
      <c r="H31" s="8">
        <v>2</v>
      </c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 t="s">
        <v>60</v>
      </c>
      <c r="B32" s="28"/>
      <c r="C32" s="28"/>
      <c r="D32" s="28"/>
      <c r="E32" s="28"/>
      <c r="F32" s="29"/>
      <c r="G32" s="8"/>
      <c r="H32" s="8">
        <v>2</v>
      </c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 t="s">
        <v>61</v>
      </c>
      <c r="B33" s="28"/>
      <c r="C33" s="28"/>
      <c r="D33" s="28"/>
      <c r="E33" s="28"/>
      <c r="F33" s="29"/>
      <c r="G33" s="8"/>
      <c r="H33" s="8">
        <v>1</v>
      </c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 t="s">
        <v>62</v>
      </c>
      <c r="B34" s="28"/>
      <c r="C34" s="28"/>
      <c r="D34" s="28"/>
      <c r="E34" s="28"/>
      <c r="F34" s="29"/>
      <c r="G34" s="8"/>
      <c r="H34" s="8">
        <v>1</v>
      </c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 t="s">
        <v>63</v>
      </c>
      <c r="B35" s="28"/>
      <c r="C35" s="28"/>
      <c r="D35" s="28"/>
      <c r="E35" s="28"/>
      <c r="F35" s="29"/>
      <c r="G35" s="8"/>
      <c r="H35" s="8">
        <v>1</v>
      </c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65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66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67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C1000"/>
  <sheetViews>
    <sheetView showGridLines="0" topLeftCell="A10" workbookViewId="0">
      <selection activeCell="A19" sqref="A19:H31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68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69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70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71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72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73</v>
      </c>
      <c r="Y5" s="38">
        <v>0.44444444444444442</v>
      </c>
      <c r="Z5" s="28"/>
      <c r="AA5" s="28"/>
      <c r="AB5" s="29"/>
      <c r="AC5" s="2"/>
    </row>
    <row r="6" spans="1:29" ht="24" customHeight="1" x14ac:dyDescent="0.2">
      <c r="A6" s="39" t="s">
        <v>74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75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76</v>
      </c>
      <c r="Y6" s="38">
        <v>0.46527777777777779</v>
      </c>
      <c r="Z6" s="28"/>
      <c r="AA6" s="28"/>
      <c r="AB6" s="29"/>
      <c r="AC6" s="2"/>
    </row>
    <row r="7" spans="1:29" ht="24" customHeight="1" x14ac:dyDescent="0.2">
      <c r="A7" s="32" t="s">
        <v>77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78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79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80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81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82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83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84</v>
      </c>
      <c r="O11" s="28"/>
      <c r="P11" s="28"/>
      <c r="Q11" s="28"/>
      <c r="R11" s="29"/>
      <c r="S11" s="36"/>
      <c r="T11" s="29"/>
      <c r="U11" s="32" t="s">
        <v>85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86</v>
      </c>
      <c r="H13" s="28"/>
      <c r="I13" s="29"/>
      <c r="J13" s="63" t="s">
        <v>30</v>
      </c>
      <c r="K13" s="29"/>
      <c r="L13" s="27" t="s">
        <v>87</v>
      </c>
      <c r="M13" s="28"/>
      <c r="N13" s="29"/>
      <c r="O13" s="36">
        <v>0</v>
      </c>
      <c r="P13" s="28"/>
      <c r="Q13" s="29"/>
      <c r="R13" s="27" t="s">
        <v>88</v>
      </c>
      <c r="S13" s="28"/>
      <c r="T13" s="29"/>
      <c r="U13" s="36">
        <v>1</v>
      </c>
      <c r="V13" s="29"/>
      <c r="W13" s="27" t="s">
        <v>89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90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91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92</v>
      </c>
      <c r="B17" s="28"/>
      <c r="C17" s="28"/>
      <c r="D17" s="28"/>
      <c r="E17" s="28"/>
      <c r="F17" s="29"/>
      <c r="G17" s="57" t="s">
        <v>93</v>
      </c>
      <c r="H17" s="28"/>
      <c r="I17" s="29"/>
      <c r="J17" s="57" t="s">
        <v>94</v>
      </c>
      <c r="K17" s="28"/>
      <c r="L17" s="29"/>
      <c r="M17" s="57" t="s">
        <v>95</v>
      </c>
      <c r="N17" s="28"/>
      <c r="O17" s="29"/>
      <c r="P17" s="57" t="s">
        <v>96</v>
      </c>
      <c r="Q17" s="28"/>
      <c r="R17" s="28"/>
      <c r="S17" s="29"/>
      <c r="T17" s="57" t="s">
        <v>97</v>
      </c>
      <c r="U17" s="28"/>
      <c r="V17" s="29"/>
      <c r="W17" s="57" t="s">
        <v>98</v>
      </c>
      <c r="X17" s="28"/>
      <c r="Y17" s="29"/>
      <c r="Z17" s="57" t="s">
        <v>99</v>
      </c>
      <c r="AA17" s="28"/>
      <c r="AB17" s="29"/>
      <c r="AC17" s="2"/>
    </row>
    <row r="18" spans="1:29" ht="15" customHeight="1" x14ac:dyDescent="0.2">
      <c r="A18" s="58"/>
      <c r="B18" s="28"/>
      <c r="C18" s="28"/>
      <c r="D18" s="28"/>
      <c r="E18" s="28"/>
      <c r="F18" s="29"/>
      <c r="G18" s="8"/>
      <c r="H18" s="8"/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46</v>
      </c>
      <c r="B19" s="28"/>
      <c r="C19" s="28"/>
      <c r="D19" s="28"/>
      <c r="E19" s="28"/>
      <c r="F19" s="29"/>
      <c r="G19" s="8"/>
      <c r="H19" s="8">
        <v>2</v>
      </c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47</v>
      </c>
      <c r="B20" s="28"/>
      <c r="C20" s="28"/>
      <c r="D20" s="28"/>
      <c r="E20" s="28"/>
      <c r="F20" s="29"/>
      <c r="G20" s="8"/>
      <c r="H20" s="8">
        <v>27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53</v>
      </c>
      <c r="B26" s="28"/>
      <c r="C26" s="28"/>
      <c r="D26" s="28"/>
      <c r="E26" s="28"/>
      <c r="F26" s="29"/>
      <c r="G26" s="8"/>
      <c r="H26" s="8">
        <v>1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 t="s">
        <v>54</v>
      </c>
      <c r="B27" s="28"/>
      <c r="C27" s="28"/>
      <c r="D27" s="28"/>
      <c r="E27" s="28"/>
      <c r="F27" s="29"/>
      <c r="G27" s="8" t="s">
        <v>55</v>
      </c>
      <c r="H27" s="8">
        <v>1</v>
      </c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 t="s">
        <v>56</v>
      </c>
      <c r="B28" s="28"/>
      <c r="C28" s="28"/>
      <c r="D28" s="28"/>
      <c r="E28" s="28"/>
      <c r="F28" s="29"/>
      <c r="G28" s="8"/>
      <c r="H28" s="8">
        <v>1</v>
      </c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 t="s">
        <v>57</v>
      </c>
      <c r="B29" s="28"/>
      <c r="C29" s="28"/>
      <c r="D29" s="28"/>
      <c r="E29" s="28"/>
      <c r="F29" s="29"/>
      <c r="G29" s="8"/>
      <c r="H29" s="8">
        <v>2</v>
      </c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 t="s">
        <v>58</v>
      </c>
      <c r="B30" s="28"/>
      <c r="C30" s="28"/>
      <c r="D30" s="28"/>
      <c r="E30" s="28"/>
      <c r="F30" s="29"/>
      <c r="G30" s="8"/>
      <c r="H30" s="8">
        <v>2</v>
      </c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 t="s">
        <v>59</v>
      </c>
      <c r="B31" s="28"/>
      <c r="C31" s="28"/>
      <c r="D31" s="28"/>
      <c r="E31" s="28"/>
      <c r="F31" s="29"/>
      <c r="G31" s="8"/>
      <c r="H31" s="8">
        <v>1</v>
      </c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100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101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102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C1000"/>
  <sheetViews>
    <sheetView showGridLines="0" tabSelected="1" workbookViewId="0">
      <selection activeCell="A18" sqref="A18:H26"/>
    </sheetView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103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104</v>
      </c>
      <c r="B4" s="28"/>
      <c r="C4" s="28"/>
      <c r="D4" s="28"/>
      <c r="E4" s="28"/>
      <c r="F4" s="35"/>
      <c r="G4" s="46"/>
      <c r="H4" s="28"/>
      <c r="I4" s="28"/>
      <c r="J4" s="28"/>
      <c r="K4" s="28"/>
      <c r="L4" s="28"/>
      <c r="M4" s="29"/>
      <c r="N4" s="47" t="s">
        <v>105</v>
      </c>
      <c r="O4" s="28"/>
      <c r="P4" s="28"/>
      <c r="Q4" s="28"/>
      <c r="R4" s="28"/>
      <c r="S4" s="28"/>
      <c r="T4" s="29"/>
      <c r="U4" s="36" t="s">
        <v>4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106</v>
      </c>
      <c r="B5" s="28"/>
      <c r="C5" s="28"/>
      <c r="D5" s="28"/>
      <c r="E5" s="28"/>
      <c r="F5" s="35"/>
      <c r="G5" s="36" t="s">
        <v>6</v>
      </c>
      <c r="H5" s="28"/>
      <c r="I5" s="28"/>
      <c r="J5" s="28"/>
      <c r="K5" s="28"/>
      <c r="L5" s="28"/>
      <c r="M5" s="29"/>
      <c r="N5" s="32" t="s">
        <v>107</v>
      </c>
      <c r="O5" s="28"/>
      <c r="P5" s="28"/>
      <c r="Q5" s="28"/>
      <c r="R5" s="28"/>
      <c r="S5" s="28"/>
      <c r="T5" s="29"/>
      <c r="U5" s="37">
        <v>44433</v>
      </c>
      <c r="V5" s="28"/>
      <c r="W5" s="29"/>
      <c r="X5" s="6" t="s">
        <v>108</v>
      </c>
      <c r="Y5" s="38">
        <v>0.4236111111111111</v>
      </c>
      <c r="Z5" s="28"/>
      <c r="AA5" s="28"/>
      <c r="AB5" s="29"/>
      <c r="AC5" s="2"/>
    </row>
    <row r="6" spans="1:29" ht="24" customHeight="1" x14ac:dyDescent="0.2">
      <c r="A6" s="39" t="s">
        <v>109</v>
      </c>
      <c r="B6" s="28"/>
      <c r="C6" s="28"/>
      <c r="D6" s="28"/>
      <c r="E6" s="28"/>
      <c r="F6" s="35"/>
      <c r="G6" s="36" t="s">
        <v>10</v>
      </c>
      <c r="H6" s="28"/>
      <c r="I6" s="28"/>
      <c r="J6" s="28"/>
      <c r="K6" s="28"/>
      <c r="L6" s="28"/>
      <c r="M6" s="29"/>
      <c r="N6" s="48" t="s">
        <v>110</v>
      </c>
      <c r="O6" s="28"/>
      <c r="P6" s="28"/>
      <c r="Q6" s="28"/>
      <c r="R6" s="28"/>
      <c r="S6" s="28"/>
      <c r="T6" s="29"/>
      <c r="U6" s="37">
        <v>44433</v>
      </c>
      <c r="V6" s="28"/>
      <c r="W6" s="29"/>
      <c r="X6" s="6" t="s">
        <v>111</v>
      </c>
      <c r="Y6" s="38">
        <v>0.4375</v>
      </c>
      <c r="Z6" s="28"/>
      <c r="AA6" s="28"/>
      <c r="AB6" s="29"/>
      <c r="AC6" s="2"/>
    </row>
    <row r="7" spans="1:29" ht="24" customHeight="1" x14ac:dyDescent="0.2">
      <c r="A7" s="32" t="s">
        <v>112</v>
      </c>
      <c r="B7" s="28"/>
      <c r="C7" s="28"/>
      <c r="D7" s="28"/>
      <c r="E7" s="28"/>
      <c r="F7" s="35"/>
      <c r="G7" s="36" t="s">
        <v>14</v>
      </c>
      <c r="H7" s="28"/>
      <c r="I7" s="28"/>
      <c r="J7" s="28"/>
      <c r="K7" s="28"/>
      <c r="L7" s="28"/>
      <c r="M7" s="29"/>
      <c r="N7" s="32" t="s">
        <v>113</v>
      </c>
      <c r="O7" s="28"/>
      <c r="P7" s="28"/>
      <c r="Q7" s="28"/>
      <c r="R7" s="28"/>
      <c r="S7" s="28"/>
      <c r="T7" s="29"/>
      <c r="U7" s="33" t="s">
        <v>16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114</v>
      </c>
      <c r="B8" s="28"/>
      <c r="C8" s="28"/>
      <c r="D8" s="28"/>
      <c r="E8" s="28"/>
      <c r="F8" s="35"/>
      <c r="G8" s="36">
        <v>514059</v>
      </c>
      <c r="H8" s="28"/>
      <c r="I8" s="28"/>
      <c r="J8" s="28"/>
      <c r="K8" s="28"/>
      <c r="L8" s="28"/>
      <c r="M8" s="29"/>
      <c r="N8" s="32" t="s">
        <v>115</v>
      </c>
      <c r="O8" s="28"/>
      <c r="P8" s="28"/>
      <c r="Q8" s="28"/>
      <c r="R8" s="28"/>
      <c r="S8" s="28"/>
      <c r="T8" s="29"/>
      <c r="U8" s="34" t="s">
        <v>19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116</v>
      </c>
      <c r="B9" s="28"/>
      <c r="C9" s="28"/>
      <c r="D9" s="28"/>
      <c r="E9" s="28"/>
      <c r="F9" s="35"/>
      <c r="G9" s="40" t="s">
        <v>21</v>
      </c>
      <c r="H9" s="28"/>
      <c r="I9" s="28"/>
      <c r="J9" s="28"/>
      <c r="K9" s="28"/>
      <c r="L9" s="28"/>
      <c r="M9" s="29"/>
      <c r="N9" s="32" t="s">
        <v>117</v>
      </c>
      <c r="O9" s="28"/>
      <c r="P9" s="28"/>
      <c r="Q9" s="28"/>
      <c r="R9" s="28"/>
      <c r="S9" s="28"/>
      <c r="T9" s="29"/>
      <c r="U9" s="33" t="s">
        <v>23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118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119</v>
      </c>
      <c r="O11" s="28"/>
      <c r="P11" s="28"/>
      <c r="Q11" s="28"/>
      <c r="R11" s="29"/>
      <c r="S11" s="36"/>
      <c r="T11" s="29"/>
      <c r="U11" s="32" t="s">
        <v>120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27</v>
      </c>
      <c r="B13" s="28"/>
      <c r="C13" s="28"/>
      <c r="D13" s="28"/>
      <c r="E13" s="29"/>
      <c r="F13" s="9" t="s">
        <v>28</v>
      </c>
      <c r="G13" s="27" t="s">
        <v>121</v>
      </c>
      <c r="H13" s="28"/>
      <c r="I13" s="29"/>
      <c r="J13" s="63" t="s">
        <v>30</v>
      </c>
      <c r="K13" s="29"/>
      <c r="L13" s="27" t="s">
        <v>122</v>
      </c>
      <c r="M13" s="28"/>
      <c r="N13" s="29"/>
      <c r="O13" s="36">
        <v>0</v>
      </c>
      <c r="P13" s="28"/>
      <c r="Q13" s="29"/>
      <c r="R13" s="27" t="s">
        <v>123</v>
      </c>
      <c r="S13" s="28"/>
      <c r="T13" s="29"/>
      <c r="U13" s="36">
        <v>1</v>
      </c>
      <c r="V13" s="29"/>
      <c r="W13" s="27" t="s">
        <v>124</v>
      </c>
      <c r="X13" s="28"/>
      <c r="Y13" s="28"/>
      <c r="Z13" s="29"/>
      <c r="AA13" s="36">
        <v>2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125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126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127</v>
      </c>
      <c r="B17" s="28"/>
      <c r="C17" s="28"/>
      <c r="D17" s="28"/>
      <c r="E17" s="28"/>
      <c r="F17" s="29"/>
      <c r="G17" s="57" t="s">
        <v>128</v>
      </c>
      <c r="H17" s="28"/>
      <c r="I17" s="29"/>
      <c r="J17" s="57" t="s">
        <v>129</v>
      </c>
      <c r="K17" s="28"/>
      <c r="L17" s="29"/>
      <c r="M17" s="57" t="s">
        <v>130</v>
      </c>
      <c r="N17" s="28"/>
      <c r="O17" s="29"/>
      <c r="P17" s="57" t="s">
        <v>131</v>
      </c>
      <c r="Q17" s="28"/>
      <c r="R17" s="28"/>
      <c r="S17" s="29"/>
      <c r="T17" s="57" t="s">
        <v>132</v>
      </c>
      <c r="U17" s="28"/>
      <c r="V17" s="29"/>
      <c r="W17" s="57" t="s">
        <v>133</v>
      </c>
      <c r="X17" s="28"/>
      <c r="Y17" s="29"/>
      <c r="Z17" s="57" t="s">
        <v>134</v>
      </c>
      <c r="AA17" s="28"/>
      <c r="AB17" s="29"/>
      <c r="AC17" s="2"/>
    </row>
    <row r="18" spans="1:29" ht="15" customHeight="1" x14ac:dyDescent="0.2">
      <c r="A18" s="58" t="s">
        <v>45</v>
      </c>
      <c r="B18" s="28"/>
      <c r="C18" s="28"/>
      <c r="D18" s="28"/>
      <c r="E18" s="28"/>
      <c r="F18" s="29"/>
      <c r="G18" s="8"/>
      <c r="H18" s="8">
        <v>1</v>
      </c>
      <c r="I18" s="8"/>
      <c r="J18" s="62"/>
      <c r="K18" s="28"/>
      <c r="L18" s="29"/>
      <c r="M18" s="8"/>
      <c r="N18" s="8"/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 t="s">
        <v>46</v>
      </c>
      <c r="B19" s="28"/>
      <c r="C19" s="28"/>
      <c r="D19" s="28"/>
      <c r="E19" s="28"/>
      <c r="F19" s="29"/>
      <c r="G19" s="8"/>
      <c r="H19" s="8">
        <v>3</v>
      </c>
      <c r="I19" s="8"/>
      <c r="J19" s="62"/>
      <c r="K19" s="28"/>
      <c r="L19" s="29"/>
      <c r="M19" s="8"/>
      <c r="N19" s="8"/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 t="s">
        <v>47</v>
      </c>
      <c r="B20" s="28"/>
      <c r="C20" s="28"/>
      <c r="D20" s="28"/>
      <c r="E20" s="28"/>
      <c r="F20" s="29"/>
      <c r="G20" s="8"/>
      <c r="H20" s="8">
        <v>33</v>
      </c>
      <c r="I20" s="8"/>
      <c r="J20" s="62"/>
      <c r="K20" s="28"/>
      <c r="L20" s="29"/>
      <c r="M20" s="8"/>
      <c r="N20" s="8"/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 t="s">
        <v>48</v>
      </c>
      <c r="B21" s="28"/>
      <c r="C21" s="28"/>
      <c r="D21" s="28"/>
      <c r="E21" s="28"/>
      <c r="F21" s="29"/>
      <c r="G21" s="8"/>
      <c r="H21" s="8">
        <v>1</v>
      </c>
      <c r="I21" s="8"/>
      <c r="J21" s="62"/>
      <c r="K21" s="28"/>
      <c r="L21" s="29"/>
      <c r="M21" s="8"/>
      <c r="N21" s="8"/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 t="s">
        <v>49</v>
      </c>
      <c r="B22" s="28"/>
      <c r="C22" s="28"/>
      <c r="D22" s="28"/>
      <c r="E22" s="28"/>
      <c r="F22" s="29"/>
      <c r="G22" s="8"/>
      <c r="H22" s="8">
        <v>3</v>
      </c>
      <c r="I22" s="8"/>
      <c r="J22" s="62"/>
      <c r="K22" s="28"/>
      <c r="L22" s="29"/>
      <c r="M22" s="8"/>
      <c r="N22" s="8"/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 t="s">
        <v>50</v>
      </c>
      <c r="B23" s="28"/>
      <c r="C23" s="28"/>
      <c r="D23" s="28"/>
      <c r="E23" s="28"/>
      <c r="F23" s="29"/>
      <c r="G23" s="8"/>
      <c r="H23" s="8">
        <v>2</v>
      </c>
      <c r="I23" s="8"/>
      <c r="J23" s="62"/>
      <c r="K23" s="28"/>
      <c r="L23" s="29"/>
      <c r="M23" s="8"/>
      <c r="N23" s="8"/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 t="s">
        <v>51</v>
      </c>
      <c r="B24" s="28"/>
      <c r="C24" s="28"/>
      <c r="D24" s="28"/>
      <c r="E24" s="28"/>
      <c r="F24" s="29"/>
      <c r="G24" s="8"/>
      <c r="H24" s="8">
        <v>2</v>
      </c>
      <c r="I24" s="8"/>
      <c r="J24" s="62"/>
      <c r="K24" s="28"/>
      <c r="L24" s="29"/>
      <c r="M24" s="8"/>
      <c r="N24" s="8"/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 t="s">
        <v>52</v>
      </c>
      <c r="B25" s="28"/>
      <c r="C25" s="28"/>
      <c r="D25" s="28"/>
      <c r="E25" s="28"/>
      <c r="F25" s="29"/>
      <c r="G25" s="8"/>
      <c r="H25" s="8">
        <v>1</v>
      </c>
      <c r="I25" s="8"/>
      <c r="J25" s="62"/>
      <c r="K25" s="28"/>
      <c r="L25" s="29"/>
      <c r="M25" s="8"/>
      <c r="N25" s="8"/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 t="s">
        <v>135</v>
      </c>
      <c r="B26" s="28"/>
      <c r="C26" s="28"/>
      <c r="D26" s="28"/>
      <c r="E26" s="28"/>
      <c r="F26" s="29"/>
      <c r="G26" s="8"/>
      <c r="H26" s="8">
        <v>1</v>
      </c>
      <c r="I26" s="8"/>
      <c r="J26" s="62"/>
      <c r="K26" s="28"/>
      <c r="L26" s="29"/>
      <c r="M26" s="8"/>
      <c r="N26" s="8"/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/>
      <c r="I27" s="8"/>
      <c r="J27" s="62"/>
      <c r="K27" s="28"/>
      <c r="L27" s="29"/>
      <c r="M27" s="8"/>
      <c r="N27" s="8"/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/>
      <c r="I28" s="8"/>
      <c r="J28" s="62"/>
      <c r="K28" s="28"/>
      <c r="L28" s="29"/>
      <c r="M28" s="8"/>
      <c r="N28" s="8"/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/>
      <c r="I29" s="8"/>
      <c r="J29" s="62"/>
      <c r="K29" s="28"/>
      <c r="L29" s="29"/>
      <c r="M29" s="8"/>
      <c r="N29" s="8"/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/>
      <c r="I30" s="8"/>
      <c r="J30" s="62"/>
      <c r="K30" s="28"/>
      <c r="L30" s="29"/>
      <c r="M30" s="8"/>
      <c r="N30" s="8"/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/>
      <c r="I31" s="8"/>
      <c r="J31" s="62"/>
      <c r="K31" s="28"/>
      <c r="L31" s="29"/>
      <c r="M31" s="8"/>
      <c r="N31" s="8"/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/>
      <c r="I32" s="8"/>
      <c r="J32" s="62"/>
      <c r="K32" s="28"/>
      <c r="L32" s="29"/>
      <c r="M32" s="8"/>
      <c r="N32" s="8"/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/>
      <c r="I33" s="8"/>
      <c r="J33" s="31"/>
      <c r="K33" s="28"/>
      <c r="L33" s="29"/>
      <c r="M33" s="8"/>
      <c r="N33" s="8"/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/>
      <c r="I34" s="8"/>
      <c r="J34" s="62"/>
      <c r="K34" s="28"/>
      <c r="L34" s="29"/>
      <c r="M34" s="8"/>
      <c r="N34" s="8"/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/>
      <c r="I35" s="8"/>
      <c r="J35" s="62"/>
      <c r="K35" s="28"/>
      <c r="L35" s="29"/>
      <c r="M35" s="8"/>
      <c r="N35" s="8"/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/>
      <c r="I36" s="8"/>
      <c r="J36" s="31"/>
      <c r="K36" s="28"/>
      <c r="L36" s="29"/>
      <c r="M36" s="8"/>
      <c r="N36" s="8"/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/>
      <c r="I37" s="8"/>
      <c r="J37" s="31"/>
      <c r="K37" s="28"/>
      <c r="L37" s="29"/>
      <c r="M37" s="8"/>
      <c r="N37" s="8"/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64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136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 t="s">
        <v>137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138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1000"/>
  <sheetViews>
    <sheetView showGridLines="0" workbookViewId="0"/>
  </sheetViews>
  <sheetFormatPr baseColWidth="10" defaultColWidth="14.42578125" defaultRowHeight="15" customHeight="1" x14ac:dyDescent="0.2"/>
  <cols>
    <col min="1" max="1" width="1.5703125" customWidth="1"/>
    <col min="2" max="2" width="3" customWidth="1"/>
    <col min="3" max="3" width="5.7109375" customWidth="1"/>
    <col min="4" max="4" width="2.7109375" customWidth="1"/>
    <col min="5" max="5" width="6.28515625" customWidth="1"/>
    <col min="6" max="6" width="5.7109375" customWidth="1"/>
    <col min="7" max="7" width="4.7109375" customWidth="1"/>
    <col min="8" max="8" width="6.5703125" customWidth="1"/>
    <col min="9" max="9" width="4.7109375" customWidth="1"/>
    <col min="10" max="10" width="4.85546875" customWidth="1"/>
    <col min="11" max="11" width="6.85546875" customWidth="1"/>
    <col min="12" max="12" width="8.7109375" customWidth="1"/>
    <col min="13" max="13" width="5.42578125" customWidth="1"/>
    <col min="14" max="14" width="5.28515625" customWidth="1"/>
    <col min="15" max="16" width="4.5703125" customWidth="1"/>
    <col min="17" max="17" width="0.42578125" customWidth="1"/>
    <col min="18" max="18" width="6.42578125" customWidth="1"/>
    <col min="19" max="19" width="8.42578125" customWidth="1"/>
    <col min="20" max="20" width="5.140625" customWidth="1"/>
    <col min="21" max="21" width="4.7109375" customWidth="1"/>
    <col min="22" max="22" width="4.42578125" customWidth="1"/>
    <col min="23" max="23" width="4.7109375" customWidth="1"/>
    <col min="24" max="24" width="5.42578125" customWidth="1"/>
    <col min="25" max="25" width="4.42578125" customWidth="1"/>
    <col min="26" max="26" width="5.5703125" customWidth="1"/>
    <col min="27" max="28" width="5.7109375" customWidth="1"/>
    <col min="29" max="29" width="10.140625" customWidth="1"/>
  </cols>
  <sheetData>
    <row r="1" spans="1:29" ht="45.75" customHeight="1" x14ac:dyDescent="0.2">
      <c r="A1" s="41"/>
      <c r="B1" s="1"/>
      <c r="C1" s="2"/>
      <c r="D1" s="2"/>
      <c r="E1" s="3"/>
      <c r="F1" s="3"/>
      <c r="G1" s="2"/>
      <c r="H1" s="2"/>
      <c r="I1" s="43" t="s">
        <v>0</v>
      </c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2"/>
    </row>
    <row r="2" spans="1:29" ht="37.5" customHeight="1" x14ac:dyDescent="0.2">
      <c r="A2" s="42"/>
      <c r="B2" s="1"/>
      <c r="C2" s="2"/>
      <c r="D2" s="2"/>
      <c r="E2" s="3"/>
      <c r="F2" s="3"/>
      <c r="G2" s="2"/>
      <c r="H2" s="2"/>
      <c r="I2" s="45" t="s">
        <v>139</v>
      </c>
      <c r="J2" s="42"/>
      <c r="K2" s="42"/>
      <c r="L2" s="42"/>
      <c r="M2" s="42"/>
      <c r="N2" s="42"/>
      <c r="O2" s="4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6" customHeight="1" x14ac:dyDescent="0.2">
      <c r="A3" s="4"/>
      <c r="B3" s="4"/>
      <c r="C3" s="4"/>
      <c r="D3" s="4"/>
      <c r="E3" s="2"/>
      <c r="F3" s="2"/>
      <c r="G3" s="5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ht="24" customHeight="1" x14ac:dyDescent="0.2">
      <c r="A4" s="32" t="s">
        <v>140</v>
      </c>
      <c r="B4" s="28"/>
      <c r="C4" s="28"/>
      <c r="D4" s="28"/>
      <c r="E4" s="28"/>
      <c r="F4" s="35"/>
      <c r="G4" s="46" t="s">
        <v>141</v>
      </c>
      <c r="H4" s="28"/>
      <c r="I4" s="28"/>
      <c r="J4" s="28"/>
      <c r="K4" s="28"/>
      <c r="L4" s="28"/>
      <c r="M4" s="29"/>
      <c r="N4" s="47" t="s">
        <v>142</v>
      </c>
      <c r="O4" s="28"/>
      <c r="P4" s="28"/>
      <c r="Q4" s="28"/>
      <c r="R4" s="28"/>
      <c r="S4" s="28"/>
      <c r="T4" s="29"/>
      <c r="U4" s="36" t="s">
        <v>143</v>
      </c>
      <c r="V4" s="28"/>
      <c r="W4" s="28"/>
      <c r="X4" s="28"/>
      <c r="Y4" s="28"/>
      <c r="Z4" s="28"/>
      <c r="AA4" s="28"/>
      <c r="AB4" s="29"/>
      <c r="AC4" s="2"/>
    </row>
    <row r="5" spans="1:29" ht="24" customHeight="1" x14ac:dyDescent="0.2">
      <c r="A5" s="32" t="s">
        <v>144</v>
      </c>
      <c r="B5" s="28"/>
      <c r="C5" s="28"/>
      <c r="D5" s="28"/>
      <c r="E5" s="28"/>
      <c r="F5" s="35"/>
      <c r="G5" s="36" t="s">
        <v>145</v>
      </c>
      <c r="H5" s="28"/>
      <c r="I5" s="28"/>
      <c r="J5" s="28"/>
      <c r="K5" s="28"/>
      <c r="L5" s="28"/>
      <c r="M5" s="29"/>
      <c r="N5" s="32" t="s">
        <v>146</v>
      </c>
      <c r="O5" s="28"/>
      <c r="P5" s="28"/>
      <c r="Q5" s="28"/>
      <c r="R5" s="28"/>
      <c r="S5" s="28"/>
      <c r="T5" s="29"/>
      <c r="U5" s="37">
        <v>44256</v>
      </c>
      <c r="V5" s="28"/>
      <c r="W5" s="29"/>
      <c r="X5" s="6" t="s">
        <v>147</v>
      </c>
      <c r="Y5" s="38">
        <v>0.58333333333333337</v>
      </c>
      <c r="Z5" s="28"/>
      <c r="AA5" s="28"/>
      <c r="AB5" s="29"/>
      <c r="AC5" s="2"/>
    </row>
    <row r="6" spans="1:29" ht="24" customHeight="1" x14ac:dyDescent="0.2">
      <c r="A6" s="39" t="s">
        <v>148</v>
      </c>
      <c r="B6" s="28"/>
      <c r="C6" s="28"/>
      <c r="D6" s="28"/>
      <c r="E6" s="28"/>
      <c r="F6" s="35"/>
      <c r="G6" s="36" t="s">
        <v>149</v>
      </c>
      <c r="H6" s="28"/>
      <c r="I6" s="28"/>
      <c r="J6" s="28"/>
      <c r="K6" s="28"/>
      <c r="L6" s="28"/>
      <c r="M6" s="29"/>
      <c r="N6" s="48" t="s">
        <v>150</v>
      </c>
      <c r="O6" s="28"/>
      <c r="P6" s="28"/>
      <c r="Q6" s="28"/>
      <c r="R6" s="28"/>
      <c r="S6" s="28"/>
      <c r="T6" s="29"/>
      <c r="U6" s="37">
        <v>44258</v>
      </c>
      <c r="V6" s="28"/>
      <c r="W6" s="29"/>
      <c r="X6" s="6" t="s">
        <v>151</v>
      </c>
      <c r="Y6" s="38">
        <v>0.66666666666666663</v>
      </c>
      <c r="Z6" s="28"/>
      <c r="AA6" s="28"/>
      <c r="AB6" s="29"/>
      <c r="AC6" s="2"/>
    </row>
    <row r="7" spans="1:29" ht="24" customHeight="1" x14ac:dyDescent="0.2">
      <c r="A7" s="32" t="s">
        <v>152</v>
      </c>
      <c r="B7" s="28"/>
      <c r="C7" s="28"/>
      <c r="D7" s="28"/>
      <c r="E7" s="28"/>
      <c r="F7" s="35"/>
      <c r="G7" s="36"/>
      <c r="H7" s="28"/>
      <c r="I7" s="28"/>
      <c r="J7" s="28"/>
      <c r="K7" s="28"/>
      <c r="L7" s="28"/>
      <c r="M7" s="29"/>
      <c r="N7" s="32" t="s">
        <v>153</v>
      </c>
      <c r="O7" s="28"/>
      <c r="P7" s="28"/>
      <c r="Q7" s="28"/>
      <c r="R7" s="28"/>
      <c r="S7" s="28"/>
      <c r="T7" s="29"/>
      <c r="U7" s="33" t="s">
        <v>154</v>
      </c>
      <c r="V7" s="28"/>
      <c r="W7" s="28"/>
      <c r="X7" s="28"/>
      <c r="Y7" s="28"/>
      <c r="Z7" s="28"/>
      <c r="AA7" s="28"/>
      <c r="AB7" s="29"/>
      <c r="AC7" s="2"/>
    </row>
    <row r="8" spans="1:29" ht="24" customHeight="1" x14ac:dyDescent="0.2">
      <c r="A8" s="39" t="s">
        <v>155</v>
      </c>
      <c r="B8" s="28"/>
      <c r="C8" s="28"/>
      <c r="D8" s="28"/>
      <c r="E8" s="28"/>
      <c r="F8" s="35"/>
      <c r="G8" s="68" t="s">
        <v>156</v>
      </c>
      <c r="H8" s="28"/>
      <c r="I8" s="28"/>
      <c r="J8" s="28"/>
      <c r="K8" s="28"/>
      <c r="L8" s="28"/>
      <c r="M8" s="29"/>
      <c r="N8" s="32" t="s">
        <v>157</v>
      </c>
      <c r="O8" s="28"/>
      <c r="P8" s="28"/>
      <c r="Q8" s="28"/>
      <c r="R8" s="28"/>
      <c r="S8" s="28"/>
      <c r="T8" s="29"/>
      <c r="U8" s="34" t="s">
        <v>158</v>
      </c>
      <c r="V8" s="28"/>
      <c r="W8" s="28"/>
      <c r="X8" s="28"/>
      <c r="Y8" s="28"/>
      <c r="Z8" s="28"/>
      <c r="AA8" s="28"/>
      <c r="AB8" s="29"/>
      <c r="AC8" s="2"/>
    </row>
    <row r="9" spans="1:29" ht="24" customHeight="1" x14ac:dyDescent="0.2">
      <c r="A9" s="39" t="s">
        <v>159</v>
      </c>
      <c r="B9" s="28"/>
      <c r="C9" s="28"/>
      <c r="D9" s="28"/>
      <c r="E9" s="28"/>
      <c r="F9" s="35"/>
      <c r="G9" s="69" t="s">
        <v>160</v>
      </c>
      <c r="H9" s="28"/>
      <c r="I9" s="28"/>
      <c r="J9" s="28"/>
      <c r="K9" s="28"/>
      <c r="L9" s="28"/>
      <c r="M9" s="29"/>
      <c r="N9" s="32" t="s">
        <v>161</v>
      </c>
      <c r="O9" s="28"/>
      <c r="P9" s="28"/>
      <c r="Q9" s="28"/>
      <c r="R9" s="28"/>
      <c r="S9" s="28"/>
      <c r="T9" s="29"/>
      <c r="U9" s="33" t="s">
        <v>162</v>
      </c>
      <c r="V9" s="28"/>
      <c r="W9" s="28"/>
      <c r="X9" s="28"/>
      <c r="Y9" s="28"/>
      <c r="Z9" s="28"/>
      <c r="AA9" s="28"/>
      <c r="AB9" s="29"/>
      <c r="AC9" s="2"/>
    </row>
    <row r="10" spans="1:29" ht="6" customHeight="1" x14ac:dyDescent="0.2">
      <c r="A10" s="2"/>
      <c r="B10" s="2"/>
      <c r="C10" s="2"/>
      <c r="D10" s="2"/>
      <c r="E10" s="3"/>
      <c r="F10" s="3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7"/>
      <c r="V10" s="7"/>
      <c r="W10" s="7"/>
      <c r="X10" s="2"/>
      <c r="Y10" s="2"/>
      <c r="Z10" s="2"/>
      <c r="AA10" s="2"/>
      <c r="AB10" s="2"/>
      <c r="AC10" s="2"/>
    </row>
    <row r="11" spans="1:29" ht="23.25" customHeight="1" x14ac:dyDescent="0.2">
      <c r="A11" s="66" t="s">
        <v>163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9"/>
      <c r="M11" s="8"/>
      <c r="N11" s="32" t="s">
        <v>164</v>
      </c>
      <c r="O11" s="28"/>
      <c r="P11" s="28"/>
      <c r="Q11" s="28"/>
      <c r="R11" s="29"/>
      <c r="S11" s="36"/>
      <c r="T11" s="29"/>
      <c r="U11" s="32" t="s">
        <v>165</v>
      </c>
      <c r="V11" s="28"/>
      <c r="W11" s="28"/>
      <c r="X11" s="28"/>
      <c r="Y11" s="28"/>
      <c r="Z11" s="29"/>
      <c r="AA11" s="36"/>
      <c r="AB11" s="29"/>
      <c r="AC11" s="2"/>
    </row>
    <row r="12" spans="1:29" ht="6" customHeight="1" x14ac:dyDescent="0.2">
      <c r="A12" s="2"/>
      <c r="B12" s="2"/>
      <c r="C12" s="2"/>
      <c r="D12" s="2"/>
      <c r="E12" s="3"/>
      <c r="F12" s="3"/>
      <c r="G12" s="2"/>
      <c r="H12" s="2"/>
      <c r="I12" s="67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2"/>
      <c r="V12" s="2"/>
      <c r="W12" s="2"/>
      <c r="X12" s="2"/>
      <c r="Y12" s="2"/>
      <c r="Z12" s="2"/>
      <c r="AA12" s="2"/>
      <c r="AB12" s="2"/>
      <c r="AC12" s="2"/>
    </row>
    <row r="13" spans="1:29" ht="36" customHeight="1" x14ac:dyDescent="0.2">
      <c r="A13" s="51" t="s">
        <v>166</v>
      </c>
      <c r="B13" s="28"/>
      <c r="C13" s="28"/>
      <c r="D13" s="28"/>
      <c r="E13" s="29"/>
      <c r="F13" s="9" t="s">
        <v>28</v>
      </c>
      <c r="G13" s="27" t="s">
        <v>167</v>
      </c>
      <c r="H13" s="28"/>
      <c r="I13" s="29"/>
      <c r="J13" s="63">
        <v>82.99436462231462</v>
      </c>
      <c r="K13" s="29"/>
      <c r="L13" s="27" t="s">
        <v>168</v>
      </c>
      <c r="M13" s="28"/>
      <c r="N13" s="29"/>
      <c r="O13" s="36" t="s">
        <v>169</v>
      </c>
      <c r="P13" s="28"/>
      <c r="Q13" s="29"/>
      <c r="R13" s="27" t="s">
        <v>170</v>
      </c>
      <c r="S13" s="28"/>
      <c r="T13" s="29"/>
      <c r="U13" s="36" t="s">
        <v>169</v>
      </c>
      <c r="V13" s="29"/>
      <c r="W13" s="27" t="s">
        <v>171</v>
      </c>
      <c r="X13" s="28"/>
      <c r="Y13" s="28"/>
      <c r="Z13" s="29"/>
      <c r="AA13" s="36" t="s">
        <v>169</v>
      </c>
      <c r="AB13" s="29"/>
      <c r="AC13" s="2"/>
    </row>
    <row r="14" spans="1:29" ht="27" customHeight="1" x14ac:dyDescent="0.2">
      <c r="A14" s="64" t="s">
        <v>34</v>
      </c>
      <c r="B14" s="28"/>
      <c r="C14" s="28"/>
      <c r="D14" s="28"/>
      <c r="E14" s="29"/>
      <c r="F14" s="9"/>
      <c r="G14" s="27" t="s">
        <v>172</v>
      </c>
      <c r="H14" s="28"/>
      <c r="I14" s="28"/>
      <c r="J14" s="28"/>
      <c r="K14" s="28"/>
      <c r="L14" s="29"/>
      <c r="M14" s="30"/>
      <c r="N14" s="28"/>
      <c r="O14" s="28"/>
      <c r="P14" s="28"/>
      <c r="Q14" s="29"/>
      <c r="R14" s="27" t="s">
        <v>173</v>
      </c>
      <c r="S14" s="28"/>
      <c r="T14" s="28"/>
      <c r="U14" s="28"/>
      <c r="V14" s="29"/>
      <c r="W14" s="30"/>
      <c r="X14" s="28"/>
      <c r="Y14" s="28"/>
      <c r="Z14" s="28"/>
      <c r="AA14" s="28"/>
      <c r="AB14" s="29"/>
      <c r="AC14" s="2"/>
    </row>
    <row r="15" spans="1:29" ht="3" customHeight="1" x14ac:dyDescent="0.2">
      <c r="A15" s="10"/>
      <c r="B15" s="10"/>
      <c r="C15" s="10"/>
      <c r="D15" s="10"/>
      <c r="E15" s="10"/>
      <c r="F15" s="3"/>
      <c r="G15" s="11"/>
      <c r="H15" s="11"/>
      <c r="I15" s="11"/>
      <c r="J15" s="11"/>
      <c r="K15" s="11"/>
      <c r="L15" s="11"/>
      <c r="M15" s="12"/>
      <c r="N15" s="12"/>
      <c r="O15" s="12"/>
      <c r="P15" s="12"/>
      <c r="Q15" s="12"/>
      <c r="R15" s="13"/>
      <c r="S15" s="13"/>
      <c r="T15" s="13"/>
      <c r="U15" s="13"/>
      <c r="V15" s="13"/>
      <c r="W15" s="12"/>
      <c r="X15" s="12"/>
      <c r="Y15" s="12"/>
      <c r="Z15" s="12"/>
      <c r="AA15" s="12"/>
      <c r="AB15" s="12"/>
      <c r="AC15" s="2"/>
    </row>
    <row r="16" spans="1:29" ht="6" customHeight="1" x14ac:dyDescent="0.2">
      <c r="A16" s="14"/>
      <c r="B16" s="14"/>
      <c r="C16" s="14"/>
      <c r="D16" s="14"/>
      <c r="E16" s="14"/>
      <c r="F16" s="3"/>
      <c r="G16" s="15"/>
      <c r="H16" s="15"/>
      <c r="I16" s="15"/>
      <c r="J16" s="15"/>
      <c r="K16" s="15"/>
      <c r="L16" s="15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2"/>
      <c r="AC16" s="2"/>
    </row>
    <row r="17" spans="1:29" ht="24" customHeight="1" x14ac:dyDescent="0.2">
      <c r="A17" s="65" t="s">
        <v>174</v>
      </c>
      <c r="B17" s="28"/>
      <c r="C17" s="28"/>
      <c r="D17" s="28"/>
      <c r="E17" s="28"/>
      <c r="F17" s="29"/>
      <c r="G17" s="57" t="s">
        <v>175</v>
      </c>
      <c r="H17" s="28"/>
      <c r="I17" s="29"/>
      <c r="J17" s="57" t="s">
        <v>176</v>
      </c>
      <c r="K17" s="28"/>
      <c r="L17" s="29"/>
      <c r="M17" s="57" t="s">
        <v>177</v>
      </c>
      <c r="N17" s="28"/>
      <c r="O17" s="29"/>
      <c r="P17" s="57" t="s">
        <v>178</v>
      </c>
      <c r="Q17" s="28"/>
      <c r="R17" s="28"/>
      <c r="S17" s="29"/>
      <c r="T17" s="57" t="s">
        <v>179</v>
      </c>
      <c r="U17" s="28"/>
      <c r="V17" s="29"/>
      <c r="W17" s="57" t="s">
        <v>180</v>
      </c>
      <c r="X17" s="28"/>
      <c r="Y17" s="29"/>
      <c r="Z17" s="57" t="s">
        <v>181</v>
      </c>
      <c r="AA17" s="28"/>
      <c r="AB17" s="29"/>
      <c r="AC17" s="2"/>
    </row>
    <row r="18" spans="1:29" ht="15" customHeight="1" x14ac:dyDescent="0.2">
      <c r="A18" s="58" t="s">
        <v>182</v>
      </c>
      <c r="B18" s="28"/>
      <c r="C18" s="28"/>
      <c r="D18" s="28"/>
      <c r="E18" s="28"/>
      <c r="F18" s="29"/>
      <c r="G18" s="8">
        <v>-5</v>
      </c>
      <c r="H18" s="8">
        <v>18</v>
      </c>
      <c r="I18" s="8"/>
      <c r="J18" s="31"/>
      <c r="K18" s="28"/>
      <c r="L18" s="29"/>
      <c r="M18" s="8"/>
      <c r="N18" s="8">
        <v>0</v>
      </c>
      <c r="O18" s="8"/>
      <c r="P18" s="31"/>
      <c r="Q18" s="28"/>
      <c r="R18" s="28"/>
      <c r="S18" s="29"/>
      <c r="T18" s="8"/>
      <c r="U18" s="8">
        <v>0</v>
      </c>
      <c r="V18" s="8"/>
      <c r="W18" s="31"/>
      <c r="X18" s="28"/>
      <c r="Y18" s="29"/>
      <c r="Z18" s="8"/>
      <c r="AA18" s="8">
        <v>0</v>
      </c>
      <c r="AB18" s="8"/>
      <c r="AC18" s="2"/>
    </row>
    <row r="19" spans="1:29" ht="15" customHeight="1" x14ac:dyDescent="0.2">
      <c r="A19" s="58"/>
      <c r="B19" s="28"/>
      <c r="C19" s="28"/>
      <c r="D19" s="28"/>
      <c r="E19" s="28"/>
      <c r="F19" s="29"/>
      <c r="G19" s="8"/>
      <c r="H19" s="8"/>
      <c r="I19" s="8"/>
      <c r="J19" s="31"/>
      <c r="K19" s="28"/>
      <c r="L19" s="29"/>
      <c r="M19" s="8"/>
      <c r="N19" s="8">
        <v>0</v>
      </c>
      <c r="O19" s="8"/>
      <c r="P19" s="31"/>
      <c r="Q19" s="28"/>
      <c r="R19" s="28"/>
      <c r="S19" s="29"/>
      <c r="T19" s="8"/>
      <c r="U19" s="8">
        <v>0</v>
      </c>
      <c r="V19" s="8"/>
      <c r="W19" s="31"/>
      <c r="X19" s="28"/>
      <c r="Y19" s="29"/>
      <c r="Z19" s="8"/>
      <c r="AA19" s="8">
        <v>0</v>
      </c>
      <c r="AB19" s="8"/>
      <c r="AC19" s="2"/>
    </row>
    <row r="20" spans="1:29" ht="15" customHeight="1" x14ac:dyDescent="0.2">
      <c r="A20" s="58"/>
      <c r="B20" s="28"/>
      <c r="C20" s="28"/>
      <c r="D20" s="28"/>
      <c r="E20" s="28"/>
      <c r="F20" s="29"/>
      <c r="G20" s="8"/>
      <c r="H20" s="8"/>
      <c r="I20" s="8"/>
      <c r="J20" s="31"/>
      <c r="K20" s="28"/>
      <c r="L20" s="29"/>
      <c r="M20" s="8"/>
      <c r="N20" s="8">
        <v>0</v>
      </c>
      <c r="O20" s="8"/>
      <c r="P20" s="31"/>
      <c r="Q20" s="28"/>
      <c r="R20" s="28"/>
      <c r="S20" s="29"/>
      <c r="T20" s="8"/>
      <c r="U20" s="8">
        <v>0</v>
      </c>
      <c r="V20" s="8"/>
      <c r="W20" s="31"/>
      <c r="X20" s="28"/>
      <c r="Y20" s="29"/>
      <c r="Z20" s="16"/>
      <c r="AA20" s="8">
        <v>0</v>
      </c>
      <c r="AB20" s="8"/>
      <c r="AC20" s="2"/>
    </row>
    <row r="21" spans="1:29" ht="15" customHeight="1" x14ac:dyDescent="0.2">
      <c r="A21" s="58"/>
      <c r="B21" s="28"/>
      <c r="C21" s="28"/>
      <c r="D21" s="28"/>
      <c r="E21" s="28"/>
      <c r="F21" s="29"/>
      <c r="G21" s="8"/>
      <c r="H21" s="8"/>
      <c r="I21" s="8"/>
      <c r="J21" s="31"/>
      <c r="K21" s="28"/>
      <c r="L21" s="29"/>
      <c r="M21" s="8"/>
      <c r="N21" s="8">
        <v>0</v>
      </c>
      <c r="O21" s="8"/>
      <c r="P21" s="31"/>
      <c r="Q21" s="28"/>
      <c r="R21" s="28"/>
      <c r="S21" s="29"/>
      <c r="T21" s="8"/>
      <c r="U21" s="8">
        <v>0</v>
      </c>
      <c r="V21" s="8"/>
      <c r="W21" s="31"/>
      <c r="X21" s="28"/>
      <c r="Y21" s="29"/>
      <c r="Z21" s="8"/>
      <c r="AA21" s="8">
        <v>0</v>
      </c>
      <c r="AB21" s="8"/>
      <c r="AC21" s="2"/>
    </row>
    <row r="22" spans="1:29" ht="15" customHeight="1" x14ac:dyDescent="0.2">
      <c r="A22" s="58"/>
      <c r="B22" s="28"/>
      <c r="C22" s="28"/>
      <c r="D22" s="28"/>
      <c r="E22" s="28"/>
      <c r="F22" s="29"/>
      <c r="G22" s="8"/>
      <c r="H22" s="8"/>
      <c r="I22" s="8"/>
      <c r="J22" s="31"/>
      <c r="K22" s="28"/>
      <c r="L22" s="29"/>
      <c r="M22" s="8"/>
      <c r="N22" s="8">
        <v>0</v>
      </c>
      <c r="O22" s="8"/>
      <c r="P22" s="31"/>
      <c r="Q22" s="28"/>
      <c r="R22" s="28"/>
      <c r="S22" s="29"/>
      <c r="T22" s="8"/>
      <c r="U22" s="8">
        <v>0</v>
      </c>
      <c r="V22" s="8"/>
      <c r="W22" s="31"/>
      <c r="X22" s="28"/>
      <c r="Y22" s="29"/>
      <c r="Z22" s="8"/>
      <c r="AA22" s="8">
        <v>0</v>
      </c>
      <c r="AB22" s="8"/>
      <c r="AC22" s="2"/>
    </row>
    <row r="23" spans="1:29" ht="15" customHeight="1" x14ac:dyDescent="0.2">
      <c r="A23" s="58"/>
      <c r="B23" s="28"/>
      <c r="C23" s="28"/>
      <c r="D23" s="28"/>
      <c r="E23" s="28"/>
      <c r="F23" s="29"/>
      <c r="G23" s="8"/>
      <c r="H23" s="8"/>
      <c r="I23" s="8"/>
      <c r="J23" s="31"/>
      <c r="K23" s="28"/>
      <c r="L23" s="29"/>
      <c r="M23" s="8"/>
      <c r="N23" s="8">
        <v>0</v>
      </c>
      <c r="O23" s="8"/>
      <c r="P23" s="31"/>
      <c r="Q23" s="28"/>
      <c r="R23" s="28"/>
      <c r="S23" s="29"/>
      <c r="T23" s="8"/>
      <c r="U23" s="8">
        <v>0</v>
      </c>
      <c r="V23" s="8"/>
      <c r="W23" s="31"/>
      <c r="X23" s="28"/>
      <c r="Y23" s="29"/>
      <c r="Z23" s="8"/>
      <c r="AA23" s="8">
        <v>0</v>
      </c>
      <c r="AB23" s="8"/>
      <c r="AC23" s="2"/>
    </row>
    <row r="24" spans="1:29" ht="15" customHeight="1" x14ac:dyDescent="0.2">
      <c r="A24" s="58"/>
      <c r="B24" s="28"/>
      <c r="C24" s="28"/>
      <c r="D24" s="28"/>
      <c r="E24" s="28"/>
      <c r="F24" s="29"/>
      <c r="G24" s="8"/>
      <c r="H24" s="8"/>
      <c r="I24" s="8"/>
      <c r="J24" s="31"/>
      <c r="K24" s="28"/>
      <c r="L24" s="29"/>
      <c r="M24" s="8"/>
      <c r="N24" s="8">
        <v>0</v>
      </c>
      <c r="O24" s="8"/>
      <c r="P24" s="31"/>
      <c r="Q24" s="28"/>
      <c r="R24" s="28"/>
      <c r="S24" s="29"/>
      <c r="T24" s="8"/>
      <c r="U24" s="8">
        <v>0</v>
      </c>
      <c r="V24" s="8"/>
      <c r="W24" s="31"/>
      <c r="X24" s="28"/>
      <c r="Y24" s="29"/>
      <c r="Z24" s="8"/>
      <c r="AA24" s="8">
        <v>0</v>
      </c>
      <c r="AB24" s="8"/>
      <c r="AC24" s="2"/>
    </row>
    <row r="25" spans="1:29" ht="15" customHeight="1" x14ac:dyDescent="0.2">
      <c r="A25" s="58"/>
      <c r="B25" s="28"/>
      <c r="C25" s="28"/>
      <c r="D25" s="28"/>
      <c r="E25" s="28"/>
      <c r="F25" s="29"/>
      <c r="G25" s="8"/>
      <c r="H25" s="8"/>
      <c r="I25" s="8"/>
      <c r="J25" s="31"/>
      <c r="K25" s="28"/>
      <c r="L25" s="29"/>
      <c r="M25" s="8"/>
      <c r="N25" s="8">
        <v>0</v>
      </c>
      <c r="O25" s="8"/>
      <c r="P25" s="31"/>
      <c r="Q25" s="28"/>
      <c r="R25" s="28"/>
      <c r="S25" s="29"/>
      <c r="T25" s="8"/>
      <c r="U25" s="8">
        <v>0</v>
      </c>
      <c r="V25" s="8"/>
      <c r="W25" s="31"/>
      <c r="X25" s="28"/>
      <c r="Y25" s="29"/>
      <c r="Z25" s="8"/>
      <c r="AA25" s="8">
        <v>0</v>
      </c>
      <c r="AB25" s="8"/>
      <c r="AC25" s="2"/>
    </row>
    <row r="26" spans="1:29" ht="15" customHeight="1" x14ac:dyDescent="0.2">
      <c r="A26" s="58"/>
      <c r="B26" s="28"/>
      <c r="C26" s="28"/>
      <c r="D26" s="28"/>
      <c r="E26" s="28"/>
      <c r="F26" s="29"/>
      <c r="G26" s="8"/>
      <c r="H26" s="8"/>
      <c r="I26" s="8"/>
      <c r="J26" s="31"/>
      <c r="K26" s="28"/>
      <c r="L26" s="29"/>
      <c r="M26" s="8"/>
      <c r="N26" s="8">
        <v>0</v>
      </c>
      <c r="O26" s="8"/>
      <c r="P26" s="31"/>
      <c r="Q26" s="28"/>
      <c r="R26" s="28"/>
      <c r="S26" s="29"/>
      <c r="T26" s="8"/>
      <c r="U26" s="8">
        <v>0</v>
      </c>
      <c r="V26" s="8"/>
      <c r="W26" s="31"/>
      <c r="X26" s="28"/>
      <c r="Y26" s="29"/>
      <c r="Z26" s="8"/>
      <c r="AA26" s="8">
        <v>0</v>
      </c>
      <c r="AB26" s="8"/>
      <c r="AC26" s="2"/>
    </row>
    <row r="27" spans="1:29" ht="15" customHeight="1" x14ac:dyDescent="0.2">
      <c r="A27" s="58"/>
      <c r="B27" s="28"/>
      <c r="C27" s="28"/>
      <c r="D27" s="28"/>
      <c r="E27" s="28"/>
      <c r="F27" s="29"/>
      <c r="G27" s="8"/>
      <c r="H27" s="8">
        <v>0</v>
      </c>
      <c r="I27" s="8"/>
      <c r="J27" s="31"/>
      <c r="K27" s="28"/>
      <c r="L27" s="29"/>
      <c r="M27" s="8"/>
      <c r="N27" s="8">
        <v>0</v>
      </c>
      <c r="O27" s="8"/>
      <c r="P27" s="31"/>
      <c r="Q27" s="28"/>
      <c r="R27" s="28"/>
      <c r="S27" s="29"/>
      <c r="T27" s="8"/>
      <c r="U27" s="8">
        <v>0</v>
      </c>
      <c r="V27" s="8"/>
      <c r="W27" s="31"/>
      <c r="X27" s="28"/>
      <c r="Y27" s="29"/>
      <c r="Z27" s="8"/>
      <c r="AA27" s="8">
        <v>0</v>
      </c>
      <c r="AB27" s="8"/>
      <c r="AC27" s="2"/>
    </row>
    <row r="28" spans="1:29" ht="15" customHeight="1" x14ac:dyDescent="0.2">
      <c r="A28" s="58"/>
      <c r="B28" s="28"/>
      <c r="C28" s="28"/>
      <c r="D28" s="28"/>
      <c r="E28" s="28"/>
      <c r="F28" s="29"/>
      <c r="G28" s="8"/>
      <c r="H28" s="8">
        <v>0</v>
      </c>
      <c r="I28" s="8"/>
      <c r="J28" s="31"/>
      <c r="K28" s="28"/>
      <c r="L28" s="29"/>
      <c r="M28" s="8"/>
      <c r="N28" s="8">
        <v>0</v>
      </c>
      <c r="O28" s="8"/>
      <c r="P28" s="31"/>
      <c r="Q28" s="28"/>
      <c r="R28" s="28"/>
      <c r="S28" s="29"/>
      <c r="T28" s="8"/>
      <c r="U28" s="8">
        <v>0</v>
      </c>
      <c r="V28" s="8"/>
      <c r="W28" s="31"/>
      <c r="X28" s="28"/>
      <c r="Y28" s="29"/>
      <c r="Z28" s="8"/>
      <c r="AA28" s="8">
        <v>0</v>
      </c>
      <c r="AB28" s="8"/>
      <c r="AC28" s="2"/>
    </row>
    <row r="29" spans="1:29" ht="15" customHeight="1" x14ac:dyDescent="0.2">
      <c r="A29" s="58"/>
      <c r="B29" s="28"/>
      <c r="C29" s="28"/>
      <c r="D29" s="28"/>
      <c r="E29" s="28"/>
      <c r="F29" s="29"/>
      <c r="G29" s="8"/>
      <c r="H29" s="8">
        <v>0</v>
      </c>
      <c r="I29" s="8"/>
      <c r="J29" s="31"/>
      <c r="K29" s="28"/>
      <c r="L29" s="29"/>
      <c r="M29" s="8"/>
      <c r="N29" s="8">
        <v>0</v>
      </c>
      <c r="O29" s="8"/>
      <c r="P29" s="31"/>
      <c r="Q29" s="28"/>
      <c r="R29" s="28"/>
      <c r="S29" s="29"/>
      <c r="T29" s="8"/>
      <c r="U29" s="8">
        <v>0</v>
      </c>
      <c r="V29" s="8"/>
      <c r="W29" s="31"/>
      <c r="X29" s="28"/>
      <c r="Y29" s="29"/>
      <c r="Z29" s="8"/>
      <c r="AA29" s="8">
        <v>0</v>
      </c>
      <c r="AB29" s="8"/>
      <c r="AC29" s="2"/>
    </row>
    <row r="30" spans="1:29" ht="15" customHeight="1" x14ac:dyDescent="0.2">
      <c r="A30" s="58"/>
      <c r="B30" s="28"/>
      <c r="C30" s="28"/>
      <c r="D30" s="28"/>
      <c r="E30" s="28"/>
      <c r="F30" s="29"/>
      <c r="G30" s="8"/>
      <c r="H30" s="8">
        <v>0</v>
      </c>
      <c r="I30" s="8"/>
      <c r="J30" s="31"/>
      <c r="K30" s="28"/>
      <c r="L30" s="29"/>
      <c r="M30" s="8"/>
      <c r="N30" s="8">
        <v>0</v>
      </c>
      <c r="O30" s="8"/>
      <c r="P30" s="31"/>
      <c r="Q30" s="28"/>
      <c r="R30" s="28"/>
      <c r="S30" s="29"/>
      <c r="T30" s="8"/>
      <c r="U30" s="8">
        <v>0</v>
      </c>
      <c r="V30" s="8"/>
      <c r="W30" s="31"/>
      <c r="X30" s="28"/>
      <c r="Y30" s="29"/>
      <c r="Z30" s="8"/>
      <c r="AA30" s="8">
        <v>0</v>
      </c>
      <c r="AB30" s="8"/>
      <c r="AC30" s="2"/>
    </row>
    <row r="31" spans="1:29" ht="15" customHeight="1" x14ac:dyDescent="0.2">
      <c r="A31" s="58"/>
      <c r="B31" s="28"/>
      <c r="C31" s="28"/>
      <c r="D31" s="28"/>
      <c r="E31" s="28"/>
      <c r="F31" s="29"/>
      <c r="G31" s="8"/>
      <c r="H31" s="8">
        <v>0</v>
      </c>
      <c r="I31" s="8"/>
      <c r="J31" s="31"/>
      <c r="K31" s="28"/>
      <c r="L31" s="29"/>
      <c r="M31" s="8"/>
      <c r="N31" s="8">
        <v>0</v>
      </c>
      <c r="O31" s="8"/>
      <c r="P31" s="31"/>
      <c r="Q31" s="28"/>
      <c r="R31" s="28"/>
      <c r="S31" s="29"/>
      <c r="T31" s="8"/>
      <c r="U31" s="8">
        <v>0</v>
      </c>
      <c r="V31" s="8"/>
      <c r="W31" s="31"/>
      <c r="X31" s="28"/>
      <c r="Y31" s="29"/>
      <c r="Z31" s="8"/>
      <c r="AA31" s="8">
        <v>0</v>
      </c>
      <c r="AB31" s="8"/>
      <c r="AC31" s="2"/>
    </row>
    <row r="32" spans="1:29" ht="15" customHeight="1" x14ac:dyDescent="0.2">
      <c r="A32" s="58"/>
      <c r="B32" s="28"/>
      <c r="C32" s="28"/>
      <c r="D32" s="28"/>
      <c r="E32" s="28"/>
      <c r="F32" s="29"/>
      <c r="G32" s="8"/>
      <c r="H32" s="8">
        <v>0</v>
      </c>
      <c r="I32" s="8"/>
      <c r="J32" s="31"/>
      <c r="K32" s="28"/>
      <c r="L32" s="29"/>
      <c r="M32" s="8"/>
      <c r="N32" s="8">
        <v>0</v>
      </c>
      <c r="O32" s="8"/>
      <c r="P32" s="31"/>
      <c r="Q32" s="28"/>
      <c r="R32" s="28"/>
      <c r="S32" s="29"/>
      <c r="T32" s="8"/>
      <c r="U32" s="8">
        <v>0</v>
      </c>
      <c r="V32" s="8"/>
      <c r="W32" s="31"/>
      <c r="X32" s="28"/>
      <c r="Y32" s="29"/>
      <c r="Z32" s="8"/>
      <c r="AA32" s="8">
        <v>0</v>
      </c>
      <c r="AB32" s="8"/>
      <c r="AC32" s="2"/>
    </row>
    <row r="33" spans="1:29" ht="15" customHeight="1" x14ac:dyDescent="0.2">
      <c r="A33" s="58"/>
      <c r="B33" s="28"/>
      <c r="C33" s="28"/>
      <c r="D33" s="28"/>
      <c r="E33" s="28"/>
      <c r="F33" s="29"/>
      <c r="G33" s="8"/>
      <c r="H33" s="8">
        <v>0</v>
      </c>
      <c r="I33" s="8"/>
      <c r="J33" s="31"/>
      <c r="K33" s="28"/>
      <c r="L33" s="29"/>
      <c r="M33" s="8"/>
      <c r="N33" s="8">
        <v>0</v>
      </c>
      <c r="O33" s="8"/>
      <c r="P33" s="31"/>
      <c r="Q33" s="28"/>
      <c r="R33" s="28"/>
      <c r="S33" s="29"/>
      <c r="T33" s="8"/>
      <c r="U33" s="8">
        <v>0</v>
      </c>
      <c r="V33" s="8"/>
      <c r="W33" s="31"/>
      <c r="X33" s="28"/>
      <c r="Y33" s="29"/>
      <c r="Z33" s="8"/>
      <c r="AA33" s="8">
        <v>0</v>
      </c>
      <c r="AB33" s="8"/>
      <c r="AC33" s="2"/>
    </row>
    <row r="34" spans="1:29" ht="15" customHeight="1" x14ac:dyDescent="0.2">
      <c r="A34" s="58"/>
      <c r="B34" s="28"/>
      <c r="C34" s="28"/>
      <c r="D34" s="28"/>
      <c r="E34" s="28"/>
      <c r="F34" s="29"/>
      <c r="G34" s="8"/>
      <c r="H34" s="8">
        <v>0</v>
      </c>
      <c r="I34" s="8"/>
      <c r="J34" s="31"/>
      <c r="K34" s="28"/>
      <c r="L34" s="29"/>
      <c r="M34" s="8"/>
      <c r="N34" s="8">
        <v>0</v>
      </c>
      <c r="O34" s="8"/>
      <c r="P34" s="31"/>
      <c r="Q34" s="28"/>
      <c r="R34" s="28"/>
      <c r="S34" s="29"/>
      <c r="T34" s="8"/>
      <c r="U34" s="8">
        <v>0</v>
      </c>
      <c r="V34" s="8"/>
      <c r="W34" s="31"/>
      <c r="X34" s="28"/>
      <c r="Y34" s="29"/>
      <c r="Z34" s="8"/>
      <c r="AA34" s="8">
        <v>0</v>
      </c>
      <c r="AB34" s="8"/>
      <c r="AC34" s="2"/>
    </row>
    <row r="35" spans="1:29" ht="15" customHeight="1" x14ac:dyDescent="0.2">
      <c r="A35" s="58"/>
      <c r="B35" s="28"/>
      <c r="C35" s="28"/>
      <c r="D35" s="28"/>
      <c r="E35" s="28"/>
      <c r="F35" s="29"/>
      <c r="G35" s="8"/>
      <c r="H35" s="8">
        <v>0</v>
      </c>
      <c r="I35" s="8"/>
      <c r="J35" s="31"/>
      <c r="K35" s="28"/>
      <c r="L35" s="29"/>
      <c r="M35" s="8"/>
      <c r="N35" s="8">
        <v>0</v>
      </c>
      <c r="O35" s="8"/>
      <c r="P35" s="31"/>
      <c r="Q35" s="28"/>
      <c r="R35" s="28"/>
      <c r="S35" s="29"/>
      <c r="T35" s="8"/>
      <c r="U35" s="8">
        <v>0</v>
      </c>
      <c r="V35" s="8"/>
      <c r="W35" s="31"/>
      <c r="X35" s="28"/>
      <c r="Y35" s="29"/>
      <c r="Z35" s="8"/>
      <c r="AA35" s="8">
        <v>0</v>
      </c>
      <c r="AB35" s="8"/>
      <c r="AC35" s="2"/>
    </row>
    <row r="36" spans="1:29" ht="15" customHeight="1" x14ac:dyDescent="0.2">
      <c r="A36" s="58"/>
      <c r="B36" s="28"/>
      <c r="C36" s="28"/>
      <c r="D36" s="28"/>
      <c r="E36" s="28"/>
      <c r="F36" s="29"/>
      <c r="G36" s="8"/>
      <c r="H36" s="8">
        <v>0</v>
      </c>
      <c r="I36" s="8"/>
      <c r="J36" s="31"/>
      <c r="K36" s="28"/>
      <c r="L36" s="29"/>
      <c r="M36" s="8"/>
      <c r="N36" s="8">
        <v>0</v>
      </c>
      <c r="O36" s="8"/>
      <c r="P36" s="31"/>
      <c r="Q36" s="28"/>
      <c r="R36" s="28"/>
      <c r="S36" s="29"/>
      <c r="T36" s="8"/>
      <c r="U36" s="8">
        <v>0</v>
      </c>
      <c r="V36" s="8"/>
      <c r="W36" s="31"/>
      <c r="X36" s="28"/>
      <c r="Y36" s="29"/>
      <c r="Z36" s="8"/>
      <c r="AA36" s="8">
        <v>0</v>
      </c>
      <c r="AB36" s="8"/>
      <c r="AC36" s="2"/>
    </row>
    <row r="37" spans="1:29" ht="15" customHeight="1" x14ac:dyDescent="0.2">
      <c r="A37" s="58"/>
      <c r="B37" s="28"/>
      <c r="C37" s="28"/>
      <c r="D37" s="28"/>
      <c r="E37" s="28"/>
      <c r="F37" s="29"/>
      <c r="G37" s="8"/>
      <c r="H37" s="8">
        <v>0</v>
      </c>
      <c r="I37" s="8"/>
      <c r="J37" s="31"/>
      <c r="K37" s="28"/>
      <c r="L37" s="29"/>
      <c r="M37" s="8"/>
      <c r="N37" s="8">
        <v>0</v>
      </c>
      <c r="O37" s="8"/>
      <c r="P37" s="31"/>
      <c r="Q37" s="28"/>
      <c r="R37" s="28"/>
      <c r="S37" s="29"/>
      <c r="T37" s="8"/>
      <c r="U37" s="8">
        <v>0</v>
      </c>
      <c r="V37" s="8"/>
      <c r="W37" s="31"/>
      <c r="X37" s="28"/>
      <c r="Y37" s="29"/>
      <c r="Z37" s="8"/>
      <c r="AA37" s="8">
        <v>0</v>
      </c>
      <c r="AB37" s="8"/>
      <c r="AC37" s="2"/>
    </row>
    <row r="38" spans="1:29" ht="6" customHeight="1" x14ac:dyDescent="0.2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2"/>
    </row>
    <row r="39" spans="1:29" ht="27" customHeight="1" x14ac:dyDescent="0.2">
      <c r="A39" s="50" t="s">
        <v>183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  <c r="V39" s="2"/>
      <c r="W39" s="51" t="s">
        <v>184</v>
      </c>
      <c r="X39" s="28"/>
      <c r="Y39" s="28"/>
      <c r="Z39" s="28"/>
      <c r="AA39" s="28"/>
      <c r="AB39" s="29"/>
      <c r="AC39" s="2"/>
    </row>
    <row r="40" spans="1:29" ht="22.5" customHeight="1" x14ac:dyDescent="0.2">
      <c r="A40" s="59"/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6"/>
      <c r="V40" s="2"/>
      <c r="W40" s="49"/>
      <c r="X40" s="28"/>
      <c r="Y40" s="28"/>
      <c r="Z40" s="28"/>
      <c r="AA40" s="28"/>
      <c r="AB40" s="29"/>
      <c r="AC40" s="2"/>
    </row>
    <row r="41" spans="1:29" ht="26.25" customHeight="1" x14ac:dyDescent="0.2">
      <c r="A41" s="60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61"/>
      <c r="V41" s="52"/>
      <c r="W41" s="50" t="s">
        <v>185</v>
      </c>
      <c r="X41" s="28"/>
      <c r="Y41" s="28"/>
      <c r="Z41" s="28"/>
      <c r="AA41" s="28"/>
      <c r="AB41" s="29"/>
      <c r="AC41" s="2"/>
    </row>
    <row r="42" spans="1:29" ht="22.5" customHeight="1" x14ac:dyDescent="0.2">
      <c r="A42" s="60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61"/>
      <c r="V42" s="53"/>
      <c r="W42" s="54"/>
      <c r="X42" s="55"/>
      <c r="Y42" s="55"/>
      <c r="Z42" s="55"/>
      <c r="AA42" s="55"/>
      <c r="AB42" s="56"/>
      <c r="AC42" s="2"/>
    </row>
    <row r="43" spans="1:29" ht="12.75" customHeight="1" x14ac:dyDescent="0.2">
      <c r="A43" s="2"/>
      <c r="B43" s="2"/>
      <c r="C43" s="2"/>
      <c r="D43" s="2"/>
      <c r="E43" s="3"/>
      <c r="F43" s="3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 ht="12.75" customHeight="1" x14ac:dyDescent="0.2">
      <c r="A44" s="2"/>
      <c r="B44" s="2"/>
      <c r="C44" s="2"/>
      <c r="D44" s="2"/>
      <c r="E44" s="3"/>
      <c r="F44" s="3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 ht="12.75" customHeight="1" x14ac:dyDescent="0.2">
      <c r="A45" s="2"/>
      <c r="B45" s="2"/>
      <c r="C45" s="2"/>
      <c r="D45" s="2"/>
      <c r="E45" s="3"/>
      <c r="F45" s="3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 ht="12.75" customHeight="1" x14ac:dyDescent="0.2">
      <c r="A46" s="2"/>
      <c r="B46" s="2"/>
      <c r="C46" s="2"/>
      <c r="D46" s="2"/>
      <c r="E46" s="3"/>
      <c r="F46" s="3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 ht="12.75" customHeight="1" x14ac:dyDescent="0.2">
      <c r="A47" s="2"/>
      <c r="B47" s="2"/>
      <c r="C47" s="2"/>
      <c r="D47" s="2"/>
      <c r="E47" s="3"/>
      <c r="F47" s="3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 ht="12.75" customHeight="1" x14ac:dyDescent="0.2">
      <c r="A48" s="2"/>
      <c r="B48" s="2"/>
      <c r="C48" s="2"/>
      <c r="D48" s="2"/>
      <c r="E48" s="3"/>
      <c r="F48" s="3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 ht="12.75" customHeight="1" x14ac:dyDescent="0.2">
      <c r="A49" s="2"/>
      <c r="B49" s="2"/>
      <c r="C49" s="2"/>
      <c r="D49" s="2"/>
      <c r="E49" s="3"/>
      <c r="F49" s="3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 ht="12.75" customHeight="1" x14ac:dyDescent="0.2">
      <c r="A50" s="2"/>
      <c r="B50" s="2"/>
      <c r="C50" s="2"/>
      <c r="D50" s="2"/>
      <c r="E50" s="3"/>
      <c r="F50" s="3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 ht="12.75" customHeight="1" x14ac:dyDescent="0.2">
      <c r="A51" s="2"/>
      <c r="B51" s="2"/>
      <c r="C51" s="2"/>
      <c r="D51" s="2"/>
      <c r="E51" s="3"/>
      <c r="F51" s="3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 ht="12.75" customHeight="1" x14ac:dyDescent="0.2">
      <c r="A52" s="2"/>
      <c r="B52" s="2"/>
      <c r="C52" s="2"/>
      <c r="D52" s="2"/>
      <c r="E52" s="3"/>
      <c r="F52" s="3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 ht="12.75" customHeight="1" x14ac:dyDescent="0.2">
      <c r="A53" s="2"/>
      <c r="B53" s="2"/>
      <c r="C53" s="2"/>
      <c r="D53" s="2"/>
      <c r="E53" s="3"/>
      <c r="F53" s="3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 ht="12.75" customHeight="1" x14ac:dyDescent="0.2">
      <c r="A54" s="2"/>
      <c r="B54" s="2"/>
      <c r="C54" s="2"/>
      <c r="D54" s="2"/>
      <c r="E54" s="3"/>
      <c r="F54" s="3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 ht="12.75" customHeight="1" x14ac:dyDescent="0.2">
      <c r="A55" s="2"/>
      <c r="B55" s="2"/>
      <c r="C55" s="2"/>
      <c r="D55" s="2"/>
      <c r="E55" s="3"/>
      <c r="F55" s="3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 ht="12.75" customHeight="1" x14ac:dyDescent="0.2">
      <c r="A56" s="2"/>
      <c r="B56" s="2"/>
      <c r="C56" s="2"/>
      <c r="D56" s="2"/>
      <c r="E56" s="3"/>
      <c r="F56" s="3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 ht="12.75" customHeight="1" x14ac:dyDescent="0.2">
      <c r="A57" s="2"/>
      <c r="B57" s="2"/>
      <c r="C57" s="2"/>
      <c r="D57" s="2"/>
      <c r="E57" s="3"/>
      <c r="F57" s="3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 ht="12.75" customHeight="1" x14ac:dyDescent="0.2">
      <c r="A58" s="2"/>
      <c r="B58" s="2"/>
      <c r="C58" s="2"/>
      <c r="D58" s="2"/>
      <c r="E58" s="3"/>
      <c r="F58" s="3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 ht="12.75" customHeight="1" x14ac:dyDescent="0.2">
      <c r="A59" s="2"/>
      <c r="B59" s="2"/>
      <c r="C59" s="2"/>
      <c r="D59" s="2"/>
      <c r="E59" s="3"/>
      <c r="F59" s="3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 ht="12.75" customHeight="1" x14ac:dyDescent="0.2">
      <c r="A60" s="2"/>
      <c r="B60" s="2"/>
      <c r="C60" s="2"/>
      <c r="D60" s="2"/>
      <c r="E60" s="3"/>
      <c r="F60" s="3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 ht="12.75" customHeight="1" x14ac:dyDescent="0.2">
      <c r="A61" s="2"/>
      <c r="B61" s="2"/>
      <c r="C61" s="2"/>
      <c r="D61" s="2"/>
      <c r="E61" s="3"/>
      <c r="F61" s="3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 ht="12.75" customHeight="1" x14ac:dyDescent="0.2">
      <c r="A62" s="2"/>
      <c r="B62" s="2"/>
      <c r="C62" s="2"/>
      <c r="D62" s="2"/>
      <c r="E62" s="3"/>
      <c r="F62" s="3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 ht="12.75" customHeight="1" x14ac:dyDescent="0.2">
      <c r="A63" s="2"/>
      <c r="B63" s="2"/>
      <c r="C63" s="2"/>
      <c r="D63" s="2"/>
      <c r="E63" s="3"/>
      <c r="F63" s="3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12.75" customHeight="1" x14ac:dyDescent="0.2">
      <c r="A64" s="2"/>
      <c r="B64" s="2"/>
      <c r="C64" s="2"/>
      <c r="D64" s="2"/>
      <c r="E64" s="3"/>
      <c r="F64" s="3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 ht="12.75" customHeight="1" x14ac:dyDescent="0.2">
      <c r="A65" s="2"/>
      <c r="B65" s="2"/>
      <c r="C65" s="2"/>
      <c r="D65" s="2"/>
      <c r="E65" s="3"/>
      <c r="F65" s="3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 ht="12.75" customHeight="1" x14ac:dyDescent="0.2">
      <c r="A66" s="2"/>
      <c r="B66" s="2"/>
      <c r="C66" s="2"/>
      <c r="D66" s="2"/>
      <c r="E66" s="3"/>
      <c r="F66" s="3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 ht="12.75" customHeight="1" x14ac:dyDescent="0.2">
      <c r="A67" s="2"/>
      <c r="B67" s="2"/>
      <c r="C67" s="2"/>
      <c r="D67" s="2"/>
      <c r="E67" s="3"/>
      <c r="F67" s="3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  <row r="68" spans="1:29" ht="12.75" customHeight="1" x14ac:dyDescent="0.2">
      <c r="A68" s="2"/>
      <c r="B68" s="2"/>
      <c r="C68" s="2"/>
      <c r="D68" s="2"/>
      <c r="E68" s="3"/>
      <c r="F68" s="3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</row>
    <row r="69" spans="1:29" ht="12.75" customHeight="1" x14ac:dyDescent="0.2">
      <c r="A69" s="2"/>
      <c r="B69" s="2"/>
      <c r="C69" s="2"/>
      <c r="D69" s="2"/>
      <c r="E69" s="3"/>
      <c r="F69" s="3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</row>
    <row r="70" spans="1:29" ht="12.75" customHeight="1" x14ac:dyDescent="0.2">
      <c r="A70" s="2"/>
      <c r="B70" s="2"/>
      <c r="C70" s="2"/>
      <c r="D70" s="2"/>
      <c r="E70" s="3"/>
      <c r="F70" s="3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</row>
    <row r="71" spans="1:29" ht="12.75" customHeight="1" x14ac:dyDescent="0.2">
      <c r="A71" s="2"/>
      <c r="B71" s="2"/>
      <c r="C71" s="2"/>
      <c r="D71" s="2"/>
      <c r="E71" s="3"/>
      <c r="F71" s="3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</row>
    <row r="72" spans="1:29" ht="12.75" customHeight="1" x14ac:dyDescent="0.2">
      <c r="A72" s="2"/>
      <c r="B72" s="2"/>
      <c r="C72" s="2"/>
      <c r="D72" s="2"/>
      <c r="E72" s="3"/>
      <c r="F72" s="3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</row>
    <row r="73" spans="1:29" ht="12.75" customHeight="1" x14ac:dyDescent="0.2">
      <c r="A73" s="2"/>
      <c r="B73" s="2"/>
      <c r="C73" s="2"/>
      <c r="D73" s="2"/>
      <c r="E73" s="3"/>
      <c r="F73" s="3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</row>
    <row r="74" spans="1:29" ht="12.75" customHeight="1" x14ac:dyDescent="0.2">
      <c r="A74" s="2"/>
      <c r="B74" s="2"/>
      <c r="C74" s="2"/>
      <c r="D74" s="2"/>
      <c r="E74" s="3"/>
      <c r="F74" s="3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</row>
    <row r="75" spans="1:29" ht="12.75" customHeight="1" x14ac:dyDescent="0.2">
      <c r="A75" s="2"/>
      <c r="B75" s="2"/>
      <c r="C75" s="2"/>
      <c r="D75" s="2"/>
      <c r="E75" s="3"/>
      <c r="F75" s="3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</row>
    <row r="76" spans="1:29" ht="12.75" customHeight="1" x14ac:dyDescent="0.2">
      <c r="A76" s="2"/>
      <c r="B76" s="2"/>
      <c r="C76" s="2"/>
      <c r="D76" s="2"/>
      <c r="E76" s="3"/>
      <c r="F76" s="3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</row>
    <row r="77" spans="1:29" ht="12.75" customHeight="1" x14ac:dyDescent="0.2">
      <c r="A77" s="2"/>
      <c r="B77" s="2"/>
      <c r="C77" s="2"/>
      <c r="D77" s="2"/>
      <c r="E77" s="3"/>
      <c r="F77" s="3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 ht="12.75" customHeight="1" x14ac:dyDescent="0.2">
      <c r="A78" s="2"/>
      <c r="B78" s="2"/>
      <c r="C78" s="2"/>
      <c r="D78" s="2"/>
      <c r="E78" s="3"/>
      <c r="F78" s="3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 ht="12.75" customHeight="1" x14ac:dyDescent="0.2">
      <c r="A79" s="2"/>
      <c r="B79" s="2"/>
      <c r="C79" s="2"/>
      <c r="D79" s="2"/>
      <c r="E79" s="3"/>
      <c r="F79" s="3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 ht="12.75" customHeight="1" x14ac:dyDescent="0.2">
      <c r="A80" s="2"/>
      <c r="B80" s="2"/>
      <c r="C80" s="2"/>
      <c r="D80" s="2"/>
      <c r="E80" s="3"/>
      <c r="F80" s="3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 ht="12.75" customHeight="1" x14ac:dyDescent="0.2">
      <c r="A81" s="2"/>
      <c r="B81" s="2"/>
      <c r="C81" s="2"/>
      <c r="D81" s="2"/>
      <c r="E81" s="3"/>
      <c r="F81" s="3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 ht="12.75" customHeight="1" x14ac:dyDescent="0.2">
      <c r="A82" s="2"/>
      <c r="B82" s="2"/>
      <c r="C82" s="2"/>
      <c r="D82" s="2"/>
      <c r="E82" s="3"/>
      <c r="F82" s="3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 ht="12.75" customHeight="1" x14ac:dyDescent="0.2">
      <c r="A83" s="2"/>
      <c r="B83" s="2"/>
      <c r="C83" s="2"/>
      <c r="D83" s="2"/>
      <c r="E83" s="3"/>
      <c r="F83" s="3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 ht="12.75" customHeight="1" x14ac:dyDescent="0.2">
      <c r="A84" s="2"/>
      <c r="B84" s="2"/>
      <c r="C84" s="2"/>
      <c r="D84" s="2"/>
      <c r="E84" s="3"/>
      <c r="F84" s="3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 ht="12.75" customHeight="1" x14ac:dyDescent="0.2">
      <c r="A85" s="2"/>
      <c r="B85" s="2"/>
      <c r="C85" s="2"/>
      <c r="D85" s="2"/>
      <c r="E85" s="3"/>
      <c r="F85" s="3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 ht="12.75" customHeight="1" x14ac:dyDescent="0.2">
      <c r="A86" s="2"/>
      <c r="B86" s="2"/>
      <c r="C86" s="2"/>
      <c r="D86" s="2"/>
      <c r="E86" s="3"/>
      <c r="F86" s="3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 ht="12.75" customHeight="1" x14ac:dyDescent="0.2">
      <c r="A87" s="2"/>
      <c r="B87" s="2"/>
      <c r="C87" s="2"/>
      <c r="D87" s="2"/>
      <c r="E87" s="3"/>
      <c r="F87" s="3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.75" customHeight="1" x14ac:dyDescent="0.2">
      <c r="A88" s="2"/>
      <c r="B88" s="2"/>
      <c r="C88" s="2"/>
      <c r="D88" s="2"/>
      <c r="E88" s="3"/>
      <c r="F88" s="3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 ht="12.75" customHeight="1" x14ac:dyDescent="0.2">
      <c r="A89" s="2"/>
      <c r="B89" s="2"/>
      <c r="C89" s="2"/>
      <c r="D89" s="2"/>
      <c r="E89" s="3"/>
      <c r="F89" s="3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 ht="12.75" customHeight="1" x14ac:dyDescent="0.2">
      <c r="A90" s="2"/>
      <c r="B90" s="2"/>
      <c r="C90" s="2"/>
      <c r="D90" s="2"/>
      <c r="E90" s="3"/>
      <c r="F90" s="3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 ht="12.75" customHeight="1" x14ac:dyDescent="0.2">
      <c r="A91" s="2"/>
      <c r="B91" s="2"/>
      <c r="C91" s="2"/>
      <c r="D91" s="2"/>
      <c r="E91" s="3"/>
      <c r="F91" s="3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 ht="12.75" customHeight="1" x14ac:dyDescent="0.2">
      <c r="A92" s="2"/>
      <c r="B92" s="2"/>
      <c r="C92" s="2"/>
      <c r="D92" s="2"/>
      <c r="E92" s="3"/>
      <c r="F92" s="3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 ht="12.75" customHeight="1" x14ac:dyDescent="0.2">
      <c r="A93" s="2"/>
      <c r="B93" s="2"/>
      <c r="C93" s="2"/>
      <c r="D93" s="2"/>
      <c r="E93" s="3"/>
      <c r="F93" s="3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 ht="12.75" customHeight="1" x14ac:dyDescent="0.2">
      <c r="A94" s="2"/>
      <c r="B94" s="2"/>
      <c r="C94" s="2"/>
      <c r="D94" s="2"/>
      <c r="E94" s="3"/>
      <c r="F94" s="3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 ht="12.75" customHeight="1" x14ac:dyDescent="0.2">
      <c r="A95" s="2"/>
      <c r="B95" s="2"/>
      <c r="C95" s="2"/>
      <c r="D95" s="2"/>
      <c r="E95" s="3"/>
      <c r="F95" s="3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 ht="12.75" customHeight="1" x14ac:dyDescent="0.2">
      <c r="A96" s="2"/>
      <c r="B96" s="2"/>
      <c r="C96" s="2"/>
      <c r="D96" s="2"/>
      <c r="E96" s="3"/>
      <c r="F96" s="3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 ht="12.75" customHeight="1" x14ac:dyDescent="0.2">
      <c r="A97" s="2"/>
      <c r="B97" s="2"/>
      <c r="C97" s="2"/>
      <c r="D97" s="2"/>
      <c r="E97" s="3"/>
      <c r="F97" s="3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 ht="12.75" customHeight="1" x14ac:dyDescent="0.2">
      <c r="A98" s="2"/>
      <c r="B98" s="2"/>
      <c r="C98" s="2"/>
      <c r="D98" s="2"/>
      <c r="E98" s="3"/>
      <c r="F98" s="3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 ht="12.75" customHeight="1" x14ac:dyDescent="0.2">
      <c r="A99" s="2"/>
      <c r="B99" s="2"/>
      <c r="C99" s="2"/>
      <c r="D99" s="2"/>
      <c r="E99" s="3"/>
      <c r="F99" s="3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 ht="12.75" customHeight="1" x14ac:dyDescent="0.2">
      <c r="A100" s="2"/>
      <c r="B100" s="2"/>
      <c r="C100" s="2"/>
      <c r="D100" s="2"/>
      <c r="E100" s="3"/>
      <c r="F100" s="3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 ht="12.75" customHeight="1" x14ac:dyDescent="0.2">
      <c r="A101" s="2"/>
      <c r="B101" s="2"/>
      <c r="C101" s="2"/>
      <c r="D101" s="2"/>
      <c r="E101" s="3"/>
      <c r="F101" s="3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 ht="12.75" customHeight="1" x14ac:dyDescent="0.2">
      <c r="A102" s="2"/>
      <c r="B102" s="2"/>
      <c r="C102" s="2"/>
      <c r="D102" s="2"/>
      <c r="E102" s="3"/>
      <c r="F102" s="3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 ht="12.75" customHeight="1" x14ac:dyDescent="0.2">
      <c r="A103" s="2"/>
      <c r="B103" s="2"/>
      <c r="C103" s="2"/>
      <c r="D103" s="2"/>
      <c r="E103" s="3"/>
      <c r="F103" s="3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 ht="12.75" customHeight="1" x14ac:dyDescent="0.2">
      <c r="A104" s="2"/>
      <c r="B104" s="2"/>
      <c r="C104" s="2"/>
      <c r="D104" s="2"/>
      <c r="E104" s="3"/>
      <c r="F104" s="3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 ht="12.75" customHeight="1" x14ac:dyDescent="0.2">
      <c r="A105" s="2"/>
      <c r="B105" s="2"/>
      <c r="C105" s="2"/>
      <c r="D105" s="2"/>
      <c r="E105" s="3"/>
      <c r="F105" s="3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 ht="12.75" customHeight="1" x14ac:dyDescent="0.2">
      <c r="A106" s="2"/>
      <c r="B106" s="2"/>
      <c r="C106" s="2"/>
      <c r="D106" s="2"/>
      <c r="E106" s="3"/>
      <c r="F106" s="3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 ht="12.75" customHeight="1" x14ac:dyDescent="0.2">
      <c r="A107" s="2"/>
      <c r="B107" s="2"/>
      <c r="C107" s="2"/>
      <c r="D107" s="2"/>
      <c r="E107" s="3"/>
      <c r="F107" s="3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 ht="12.75" customHeight="1" x14ac:dyDescent="0.2">
      <c r="A108" s="2"/>
      <c r="B108" s="2"/>
      <c r="C108" s="2"/>
      <c r="D108" s="2"/>
      <c r="E108" s="3"/>
      <c r="F108" s="3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 ht="12.75" customHeight="1" x14ac:dyDescent="0.2">
      <c r="A109" s="2"/>
      <c r="B109" s="2"/>
      <c r="C109" s="2"/>
      <c r="D109" s="2"/>
      <c r="E109" s="3"/>
      <c r="F109" s="3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 ht="12.75" customHeight="1" x14ac:dyDescent="0.2">
      <c r="A110" s="2"/>
      <c r="B110" s="2"/>
      <c r="C110" s="2"/>
      <c r="D110" s="2"/>
      <c r="E110" s="3"/>
      <c r="F110" s="3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 ht="12.75" customHeight="1" x14ac:dyDescent="0.2">
      <c r="A111" s="2"/>
      <c r="B111" s="2"/>
      <c r="C111" s="2"/>
      <c r="D111" s="2"/>
      <c r="E111" s="3"/>
      <c r="F111" s="3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 ht="12.75" customHeight="1" x14ac:dyDescent="0.2">
      <c r="A112" s="2"/>
      <c r="B112" s="2"/>
      <c r="C112" s="2"/>
      <c r="D112" s="2"/>
      <c r="E112" s="3"/>
      <c r="F112" s="3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 ht="12.75" customHeight="1" x14ac:dyDescent="0.2">
      <c r="A113" s="2"/>
      <c r="B113" s="2"/>
      <c r="C113" s="2"/>
      <c r="D113" s="2"/>
      <c r="E113" s="3"/>
      <c r="F113" s="3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 ht="12.75" customHeight="1" x14ac:dyDescent="0.2">
      <c r="A114" s="2"/>
      <c r="B114" s="2"/>
      <c r="C114" s="2"/>
      <c r="D114" s="2"/>
      <c r="E114" s="3"/>
      <c r="F114" s="3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 ht="12.75" customHeight="1" x14ac:dyDescent="0.2">
      <c r="A115" s="2"/>
      <c r="B115" s="2"/>
      <c r="C115" s="2"/>
      <c r="D115" s="2"/>
      <c r="E115" s="3"/>
      <c r="F115" s="3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 ht="12.75" customHeight="1" x14ac:dyDescent="0.2">
      <c r="A116" s="2"/>
      <c r="B116" s="2"/>
      <c r="C116" s="2"/>
      <c r="D116" s="2"/>
      <c r="E116" s="3"/>
      <c r="F116" s="3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ht="12.75" customHeight="1" x14ac:dyDescent="0.2">
      <c r="A117" s="2"/>
      <c r="B117" s="2"/>
      <c r="C117" s="2"/>
      <c r="D117" s="2"/>
      <c r="E117" s="3"/>
      <c r="F117" s="3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ht="12.75" customHeight="1" x14ac:dyDescent="0.2">
      <c r="A118" s="2"/>
      <c r="B118" s="2"/>
      <c r="C118" s="2"/>
      <c r="D118" s="2"/>
      <c r="E118" s="3"/>
      <c r="F118" s="3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ht="12.75" customHeight="1" x14ac:dyDescent="0.2">
      <c r="A119" s="2"/>
      <c r="B119" s="2"/>
      <c r="C119" s="2"/>
      <c r="D119" s="2"/>
      <c r="E119" s="3"/>
      <c r="F119" s="3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ht="12.75" customHeight="1" x14ac:dyDescent="0.2">
      <c r="A120" s="2"/>
      <c r="B120" s="2"/>
      <c r="C120" s="2"/>
      <c r="D120" s="2"/>
      <c r="E120" s="3"/>
      <c r="F120" s="3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ht="12.75" customHeight="1" x14ac:dyDescent="0.2">
      <c r="A121" s="2"/>
      <c r="B121" s="2"/>
      <c r="C121" s="2"/>
      <c r="D121" s="2"/>
      <c r="E121" s="3"/>
      <c r="F121" s="3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ht="12.75" customHeight="1" x14ac:dyDescent="0.2">
      <c r="A122" s="2"/>
      <c r="B122" s="2"/>
      <c r="C122" s="2"/>
      <c r="D122" s="2"/>
      <c r="E122" s="3"/>
      <c r="F122" s="3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ht="12.75" customHeight="1" x14ac:dyDescent="0.2">
      <c r="A123" s="2"/>
      <c r="B123" s="2"/>
      <c r="C123" s="2"/>
      <c r="D123" s="2"/>
      <c r="E123" s="3"/>
      <c r="F123" s="3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ht="12.75" customHeight="1" x14ac:dyDescent="0.2">
      <c r="A124" s="2"/>
      <c r="B124" s="2"/>
      <c r="C124" s="2"/>
      <c r="D124" s="2"/>
      <c r="E124" s="3"/>
      <c r="F124" s="3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ht="12.75" customHeight="1" x14ac:dyDescent="0.2">
      <c r="A125" s="2"/>
      <c r="B125" s="2"/>
      <c r="C125" s="2"/>
      <c r="D125" s="2"/>
      <c r="E125" s="3"/>
      <c r="F125" s="3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ht="12.75" customHeight="1" x14ac:dyDescent="0.2">
      <c r="A126" s="2"/>
      <c r="B126" s="2"/>
      <c r="C126" s="2"/>
      <c r="D126" s="2"/>
      <c r="E126" s="3"/>
      <c r="F126" s="3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 ht="12.75" customHeight="1" x14ac:dyDescent="0.2">
      <c r="A127" s="2"/>
      <c r="B127" s="2"/>
      <c r="C127" s="2"/>
      <c r="D127" s="2"/>
      <c r="E127" s="3"/>
      <c r="F127" s="3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 ht="12.75" customHeight="1" x14ac:dyDescent="0.2">
      <c r="A128" s="2"/>
      <c r="B128" s="2"/>
      <c r="C128" s="2"/>
      <c r="D128" s="2"/>
      <c r="E128" s="3"/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 ht="12.75" customHeight="1" x14ac:dyDescent="0.2">
      <c r="A129" s="2"/>
      <c r="B129" s="2"/>
      <c r="C129" s="2"/>
      <c r="D129" s="2"/>
      <c r="E129" s="3"/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 ht="12.75" customHeight="1" x14ac:dyDescent="0.2">
      <c r="A130" s="2"/>
      <c r="B130" s="2"/>
      <c r="C130" s="2"/>
      <c r="D130" s="2"/>
      <c r="E130" s="3"/>
      <c r="F130" s="3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 ht="12.75" customHeight="1" x14ac:dyDescent="0.2">
      <c r="A131" s="2"/>
      <c r="B131" s="2"/>
      <c r="C131" s="2"/>
      <c r="D131" s="2"/>
      <c r="E131" s="3"/>
      <c r="F131" s="3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 ht="12.75" customHeight="1" x14ac:dyDescent="0.2">
      <c r="A132" s="2"/>
      <c r="B132" s="2"/>
      <c r="C132" s="2"/>
      <c r="D132" s="2"/>
      <c r="E132" s="3"/>
      <c r="F132" s="3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 ht="12.75" customHeight="1" x14ac:dyDescent="0.2">
      <c r="A133" s="2"/>
      <c r="B133" s="2"/>
      <c r="C133" s="2"/>
      <c r="D133" s="2"/>
      <c r="E133" s="3"/>
      <c r="F133" s="3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 ht="12.75" customHeight="1" x14ac:dyDescent="0.2">
      <c r="A134" s="2"/>
      <c r="B134" s="2"/>
      <c r="C134" s="2"/>
      <c r="D134" s="2"/>
      <c r="E134" s="3"/>
      <c r="F134" s="3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 ht="12.75" customHeight="1" x14ac:dyDescent="0.2">
      <c r="A135" s="2"/>
      <c r="B135" s="2"/>
      <c r="C135" s="2"/>
      <c r="D135" s="2"/>
      <c r="E135" s="3"/>
      <c r="F135" s="3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 ht="12.75" customHeight="1" x14ac:dyDescent="0.2">
      <c r="A136" s="2"/>
      <c r="B136" s="2"/>
      <c r="C136" s="2"/>
      <c r="D136" s="2"/>
      <c r="E136" s="3"/>
      <c r="F136" s="3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 ht="12.75" customHeight="1" x14ac:dyDescent="0.2">
      <c r="A137" s="2"/>
      <c r="B137" s="2"/>
      <c r="C137" s="2"/>
      <c r="D137" s="2"/>
      <c r="E137" s="3"/>
      <c r="F137" s="3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 ht="12.75" customHeight="1" x14ac:dyDescent="0.2">
      <c r="A138" s="2"/>
      <c r="B138" s="2"/>
      <c r="C138" s="2"/>
      <c r="D138" s="2"/>
      <c r="E138" s="3"/>
      <c r="F138" s="3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 ht="12.75" customHeight="1" x14ac:dyDescent="0.2">
      <c r="A139" s="2"/>
      <c r="B139" s="2"/>
      <c r="C139" s="2"/>
      <c r="D139" s="2"/>
      <c r="E139" s="3"/>
      <c r="F139" s="3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 ht="12.75" customHeight="1" x14ac:dyDescent="0.2">
      <c r="A140" s="2"/>
      <c r="B140" s="2"/>
      <c r="C140" s="2"/>
      <c r="D140" s="2"/>
      <c r="E140" s="3"/>
      <c r="F140" s="3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 ht="12.75" customHeight="1" x14ac:dyDescent="0.2">
      <c r="A141" s="2"/>
      <c r="B141" s="2"/>
      <c r="C141" s="2"/>
      <c r="D141" s="2"/>
      <c r="E141" s="3"/>
      <c r="F141" s="3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 ht="12.75" customHeight="1" x14ac:dyDescent="0.2">
      <c r="A142" s="2"/>
      <c r="B142" s="2"/>
      <c r="C142" s="2"/>
      <c r="D142" s="2"/>
      <c r="E142" s="3"/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 ht="12.75" customHeight="1" x14ac:dyDescent="0.2">
      <c r="A143" s="2"/>
      <c r="B143" s="2"/>
      <c r="C143" s="2"/>
      <c r="D143" s="2"/>
      <c r="E143" s="3"/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 ht="12.75" customHeight="1" x14ac:dyDescent="0.2">
      <c r="A144" s="2"/>
      <c r="B144" s="2"/>
      <c r="C144" s="2"/>
      <c r="D144" s="2"/>
      <c r="E144" s="3"/>
      <c r="F144" s="3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 ht="12.75" customHeight="1" x14ac:dyDescent="0.2">
      <c r="A145" s="2"/>
      <c r="B145" s="2"/>
      <c r="C145" s="2"/>
      <c r="D145" s="2"/>
      <c r="E145" s="3"/>
      <c r="F145" s="3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 ht="12.75" customHeight="1" x14ac:dyDescent="0.2">
      <c r="A146" s="2"/>
      <c r="B146" s="2"/>
      <c r="C146" s="2"/>
      <c r="D146" s="2"/>
      <c r="E146" s="3"/>
      <c r="F146" s="3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 ht="12.75" customHeight="1" x14ac:dyDescent="0.2">
      <c r="A147" s="2"/>
      <c r="B147" s="2"/>
      <c r="C147" s="2"/>
      <c r="D147" s="2"/>
      <c r="E147" s="3"/>
      <c r="F147" s="3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 ht="12.75" customHeight="1" x14ac:dyDescent="0.2">
      <c r="A148" s="2"/>
      <c r="B148" s="2"/>
      <c r="C148" s="2"/>
      <c r="D148" s="2"/>
      <c r="E148" s="3"/>
      <c r="F148" s="3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 ht="12.75" customHeight="1" x14ac:dyDescent="0.2">
      <c r="A149" s="2"/>
      <c r="B149" s="2"/>
      <c r="C149" s="2"/>
      <c r="D149" s="2"/>
      <c r="E149" s="3"/>
      <c r="F149" s="3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 ht="12.75" customHeight="1" x14ac:dyDescent="0.2">
      <c r="A150" s="2"/>
      <c r="B150" s="2"/>
      <c r="C150" s="2"/>
      <c r="D150" s="2"/>
      <c r="E150" s="3"/>
      <c r="F150" s="3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 ht="12.75" customHeight="1" x14ac:dyDescent="0.2">
      <c r="A151" s="2"/>
      <c r="B151" s="2"/>
      <c r="C151" s="2"/>
      <c r="D151" s="2"/>
      <c r="E151" s="3"/>
      <c r="F151" s="3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 ht="12.75" customHeight="1" x14ac:dyDescent="0.2">
      <c r="A152" s="2"/>
      <c r="B152" s="2"/>
      <c r="C152" s="2"/>
      <c r="D152" s="2"/>
      <c r="E152" s="3"/>
      <c r="F152" s="3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 ht="12.75" customHeight="1" x14ac:dyDescent="0.2">
      <c r="A153" s="2"/>
      <c r="B153" s="2"/>
      <c r="C153" s="2"/>
      <c r="D153" s="2"/>
      <c r="E153" s="3"/>
      <c r="F153" s="3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 ht="12.75" customHeight="1" x14ac:dyDescent="0.2">
      <c r="A154" s="2"/>
      <c r="B154" s="2"/>
      <c r="C154" s="2"/>
      <c r="D154" s="2"/>
      <c r="E154" s="3"/>
      <c r="F154" s="3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 ht="12.75" customHeight="1" x14ac:dyDescent="0.2">
      <c r="A155" s="2"/>
      <c r="B155" s="2"/>
      <c r="C155" s="2"/>
      <c r="D155" s="2"/>
      <c r="E155" s="3"/>
      <c r="F155" s="3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 ht="12.75" customHeight="1" x14ac:dyDescent="0.2">
      <c r="A156" s="2"/>
      <c r="B156" s="2"/>
      <c r="C156" s="2"/>
      <c r="D156" s="2"/>
      <c r="E156" s="3"/>
      <c r="F156" s="3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 ht="12.75" customHeight="1" x14ac:dyDescent="0.2">
      <c r="A157" s="2"/>
      <c r="B157" s="2"/>
      <c r="C157" s="2"/>
      <c r="D157" s="2"/>
      <c r="E157" s="3"/>
      <c r="F157" s="3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 ht="12.75" customHeight="1" x14ac:dyDescent="0.2">
      <c r="A158" s="2"/>
      <c r="B158" s="2"/>
      <c r="C158" s="2"/>
      <c r="D158" s="2"/>
      <c r="E158" s="3"/>
      <c r="F158" s="3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 ht="12.75" customHeight="1" x14ac:dyDescent="0.2">
      <c r="A159" s="2"/>
      <c r="B159" s="2"/>
      <c r="C159" s="2"/>
      <c r="D159" s="2"/>
      <c r="E159" s="3"/>
      <c r="F159" s="3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 ht="12.75" customHeight="1" x14ac:dyDescent="0.2">
      <c r="A160" s="2"/>
      <c r="B160" s="2"/>
      <c r="C160" s="2"/>
      <c r="D160" s="2"/>
      <c r="E160" s="3"/>
      <c r="F160" s="3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 ht="12.75" customHeight="1" x14ac:dyDescent="0.2">
      <c r="A161" s="2"/>
      <c r="B161" s="2"/>
      <c r="C161" s="2"/>
      <c r="D161" s="2"/>
      <c r="E161" s="3"/>
      <c r="F161" s="3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 ht="12.75" customHeight="1" x14ac:dyDescent="0.2">
      <c r="A162" s="2"/>
      <c r="B162" s="2"/>
      <c r="C162" s="2"/>
      <c r="D162" s="2"/>
      <c r="E162" s="3"/>
      <c r="F162" s="3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 ht="12.75" customHeight="1" x14ac:dyDescent="0.2">
      <c r="A163" s="2"/>
      <c r="B163" s="2"/>
      <c r="C163" s="2"/>
      <c r="D163" s="2"/>
      <c r="E163" s="3"/>
      <c r="F163" s="3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 ht="12.75" customHeight="1" x14ac:dyDescent="0.2">
      <c r="A164" s="2"/>
      <c r="B164" s="2"/>
      <c r="C164" s="2"/>
      <c r="D164" s="2"/>
      <c r="E164" s="3"/>
      <c r="F164" s="3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 ht="12.75" customHeight="1" x14ac:dyDescent="0.2">
      <c r="A165" s="2"/>
      <c r="B165" s="2"/>
      <c r="C165" s="2"/>
      <c r="D165" s="2"/>
      <c r="E165" s="3"/>
      <c r="F165" s="3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 ht="12.75" customHeight="1" x14ac:dyDescent="0.2">
      <c r="A166" s="2"/>
      <c r="B166" s="2"/>
      <c r="C166" s="2"/>
      <c r="D166" s="2"/>
      <c r="E166" s="3"/>
      <c r="F166" s="3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 ht="12.75" customHeight="1" x14ac:dyDescent="0.2">
      <c r="A167" s="2"/>
      <c r="B167" s="2"/>
      <c r="C167" s="2"/>
      <c r="D167" s="2"/>
      <c r="E167" s="3"/>
      <c r="F167" s="3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 ht="12.75" customHeight="1" x14ac:dyDescent="0.2">
      <c r="A168" s="2"/>
      <c r="B168" s="2"/>
      <c r="C168" s="2"/>
      <c r="D168" s="2"/>
      <c r="E168" s="3"/>
      <c r="F168" s="3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 ht="12.75" customHeight="1" x14ac:dyDescent="0.2">
      <c r="A169" s="2"/>
      <c r="B169" s="2"/>
      <c r="C169" s="2"/>
      <c r="D169" s="2"/>
      <c r="E169" s="3"/>
      <c r="F169" s="3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 ht="12.75" customHeight="1" x14ac:dyDescent="0.2">
      <c r="A170" s="2"/>
      <c r="B170" s="2"/>
      <c r="C170" s="2"/>
      <c r="D170" s="2"/>
      <c r="E170" s="3"/>
      <c r="F170" s="3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 ht="12.75" customHeight="1" x14ac:dyDescent="0.2">
      <c r="A171" s="2"/>
      <c r="B171" s="2"/>
      <c r="C171" s="2"/>
      <c r="D171" s="2"/>
      <c r="E171" s="3"/>
      <c r="F171" s="3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 ht="12.75" customHeight="1" x14ac:dyDescent="0.2">
      <c r="A172" s="2"/>
      <c r="B172" s="2"/>
      <c r="C172" s="2"/>
      <c r="D172" s="2"/>
      <c r="E172" s="3"/>
      <c r="F172" s="3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 ht="12.75" customHeight="1" x14ac:dyDescent="0.2">
      <c r="A173" s="2"/>
      <c r="B173" s="2"/>
      <c r="C173" s="2"/>
      <c r="D173" s="2"/>
      <c r="E173" s="3"/>
      <c r="F173" s="3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 ht="12.75" customHeight="1" x14ac:dyDescent="0.2">
      <c r="A174" s="2"/>
      <c r="B174" s="2"/>
      <c r="C174" s="2"/>
      <c r="D174" s="2"/>
      <c r="E174" s="3"/>
      <c r="F174" s="3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 ht="12.75" customHeight="1" x14ac:dyDescent="0.2">
      <c r="A175" s="2"/>
      <c r="B175" s="2"/>
      <c r="C175" s="2"/>
      <c r="D175" s="2"/>
      <c r="E175" s="3"/>
      <c r="F175" s="3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 ht="12.75" customHeight="1" x14ac:dyDescent="0.2">
      <c r="A176" s="2"/>
      <c r="B176" s="2"/>
      <c r="C176" s="2"/>
      <c r="D176" s="2"/>
      <c r="E176" s="3"/>
      <c r="F176" s="3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 ht="12.75" customHeight="1" x14ac:dyDescent="0.2">
      <c r="A177" s="2"/>
      <c r="B177" s="2"/>
      <c r="C177" s="2"/>
      <c r="D177" s="2"/>
      <c r="E177" s="3"/>
      <c r="F177" s="3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 ht="12.75" customHeight="1" x14ac:dyDescent="0.2">
      <c r="A178" s="2"/>
      <c r="B178" s="2"/>
      <c r="C178" s="2"/>
      <c r="D178" s="2"/>
      <c r="E178" s="3"/>
      <c r="F178" s="3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 ht="12.75" customHeight="1" x14ac:dyDescent="0.2">
      <c r="A179" s="2"/>
      <c r="B179" s="2"/>
      <c r="C179" s="2"/>
      <c r="D179" s="2"/>
      <c r="E179" s="3"/>
      <c r="F179" s="3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 ht="12.75" customHeight="1" x14ac:dyDescent="0.2">
      <c r="A180" s="2"/>
      <c r="B180" s="2"/>
      <c r="C180" s="2"/>
      <c r="D180" s="2"/>
      <c r="E180" s="3"/>
      <c r="F180" s="3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 ht="12.75" customHeight="1" x14ac:dyDescent="0.2">
      <c r="A181" s="2"/>
      <c r="B181" s="2"/>
      <c r="C181" s="2"/>
      <c r="D181" s="2"/>
      <c r="E181" s="3"/>
      <c r="F181" s="3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 ht="12.75" customHeight="1" x14ac:dyDescent="0.2">
      <c r="A182" s="2"/>
      <c r="B182" s="2"/>
      <c r="C182" s="2"/>
      <c r="D182" s="2"/>
      <c r="E182" s="3"/>
      <c r="F182" s="3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 ht="12.75" customHeight="1" x14ac:dyDescent="0.2">
      <c r="A183" s="2"/>
      <c r="B183" s="2"/>
      <c r="C183" s="2"/>
      <c r="D183" s="2"/>
      <c r="E183" s="3"/>
      <c r="F183" s="3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 ht="12.75" customHeight="1" x14ac:dyDescent="0.2">
      <c r="A184" s="2"/>
      <c r="B184" s="2"/>
      <c r="C184" s="2"/>
      <c r="D184" s="2"/>
      <c r="E184" s="3"/>
      <c r="F184" s="3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 ht="12.75" customHeight="1" x14ac:dyDescent="0.2">
      <c r="A185" s="2"/>
      <c r="B185" s="2"/>
      <c r="C185" s="2"/>
      <c r="D185" s="2"/>
      <c r="E185" s="3"/>
      <c r="F185" s="3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 ht="12.75" customHeight="1" x14ac:dyDescent="0.2">
      <c r="A186" s="2"/>
      <c r="B186" s="2"/>
      <c r="C186" s="2"/>
      <c r="D186" s="2"/>
      <c r="E186" s="3"/>
      <c r="F186" s="3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 ht="12.75" customHeight="1" x14ac:dyDescent="0.2">
      <c r="A187" s="2"/>
      <c r="B187" s="2"/>
      <c r="C187" s="2"/>
      <c r="D187" s="2"/>
      <c r="E187" s="3"/>
      <c r="F187" s="3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 ht="12.75" customHeight="1" x14ac:dyDescent="0.2">
      <c r="A188" s="2"/>
      <c r="B188" s="2"/>
      <c r="C188" s="2"/>
      <c r="D188" s="2"/>
      <c r="E188" s="3"/>
      <c r="F188" s="3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 ht="12.75" customHeight="1" x14ac:dyDescent="0.2">
      <c r="A189" s="2"/>
      <c r="B189" s="2"/>
      <c r="C189" s="2"/>
      <c r="D189" s="2"/>
      <c r="E189" s="3"/>
      <c r="F189" s="3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 ht="12.75" customHeight="1" x14ac:dyDescent="0.2">
      <c r="A190" s="2"/>
      <c r="B190" s="2"/>
      <c r="C190" s="2"/>
      <c r="D190" s="2"/>
      <c r="E190" s="3"/>
      <c r="F190" s="3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 ht="12.75" customHeight="1" x14ac:dyDescent="0.2">
      <c r="A191" s="2"/>
      <c r="B191" s="2"/>
      <c r="C191" s="2"/>
      <c r="D191" s="2"/>
      <c r="E191" s="3"/>
      <c r="F191" s="3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 ht="12.75" customHeight="1" x14ac:dyDescent="0.2">
      <c r="A192" s="2"/>
      <c r="B192" s="2"/>
      <c r="C192" s="2"/>
      <c r="D192" s="2"/>
      <c r="E192" s="3"/>
      <c r="F192" s="3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 ht="12.75" customHeight="1" x14ac:dyDescent="0.2">
      <c r="A193" s="2"/>
      <c r="B193" s="2"/>
      <c r="C193" s="2"/>
      <c r="D193" s="2"/>
      <c r="E193" s="3"/>
      <c r="F193" s="3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 ht="12.75" customHeight="1" x14ac:dyDescent="0.2">
      <c r="A194" s="2"/>
      <c r="B194" s="2"/>
      <c r="C194" s="2"/>
      <c r="D194" s="2"/>
      <c r="E194" s="3"/>
      <c r="F194" s="3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 ht="12.75" customHeight="1" x14ac:dyDescent="0.2">
      <c r="A195" s="2"/>
      <c r="B195" s="2"/>
      <c r="C195" s="2"/>
      <c r="D195" s="2"/>
      <c r="E195" s="3"/>
      <c r="F195" s="3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 ht="12.75" customHeight="1" x14ac:dyDescent="0.2">
      <c r="A196" s="2"/>
      <c r="B196" s="2"/>
      <c r="C196" s="2"/>
      <c r="D196" s="2"/>
      <c r="E196" s="3"/>
      <c r="F196" s="3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 ht="12.75" customHeight="1" x14ac:dyDescent="0.2">
      <c r="A197" s="2"/>
      <c r="B197" s="2"/>
      <c r="C197" s="2"/>
      <c r="D197" s="2"/>
      <c r="E197" s="3"/>
      <c r="F197" s="3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 ht="12.75" customHeight="1" x14ac:dyDescent="0.2">
      <c r="A198" s="2"/>
      <c r="B198" s="2"/>
      <c r="C198" s="2"/>
      <c r="D198" s="2"/>
      <c r="E198" s="3"/>
      <c r="F198" s="3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 ht="12.75" customHeight="1" x14ac:dyDescent="0.2">
      <c r="A199" s="2"/>
      <c r="B199" s="2"/>
      <c r="C199" s="2"/>
      <c r="D199" s="2"/>
      <c r="E199" s="3"/>
      <c r="F199" s="3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 ht="12.75" customHeight="1" x14ac:dyDescent="0.2">
      <c r="A200" s="2"/>
      <c r="B200" s="2"/>
      <c r="C200" s="2"/>
      <c r="D200" s="2"/>
      <c r="E200" s="3"/>
      <c r="F200" s="3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 ht="12.75" customHeight="1" x14ac:dyDescent="0.2">
      <c r="A201" s="2"/>
      <c r="B201" s="2"/>
      <c r="C201" s="2"/>
      <c r="D201" s="2"/>
      <c r="E201" s="3"/>
      <c r="F201" s="3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 ht="12.75" customHeight="1" x14ac:dyDescent="0.2">
      <c r="A202" s="2"/>
      <c r="B202" s="2"/>
      <c r="C202" s="2"/>
      <c r="D202" s="2"/>
      <c r="E202" s="3"/>
      <c r="F202" s="3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 ht="12.75" customHeight="1" x14ac:dyDescent="0.2">
      <c r="A203" s="2"/>
      <c r="B203" s="2"/>
      <c r="C203" s="2"/>
      <c r="D203" s="2"/>
      <c r="E203" s="3"/>
      <c r="F203" s="3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 ht="12.75" customHeight="1" x14ac:dyDescent="0.2">
      <c r="A204" s="2"/>
      <c r="B204" s="2"/>
      <c r="C204" s="2"/>
      <c r="D204" s="2"/>
      <c r="E204" s="3"/>
      <c r="F204" s="3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 ht="12.75" customHeight="1" x14ac:dyDescent="0.2">
      <c r="A205" s="2"/>
      <c r="B205" s="2"/>
      <c r="C205" s="2"/>
      <c r="D205" s="2"/>
      <c r="E205" s="3"/>
      <c r="F205" s="3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 ht="12.75" customHeight="1" x14ac:dyDescent="0.2">
      <c r="A206" s="2"/>
      <c r="B206" s="2"/>
      <c r="C206" s="2"/>
      <c r="D206" s="2"/>
      <c r="E206" s="3"/>
      <c r="F206" s="3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 ht="12.75" customHeight="1" x14ac:dyDescent="0.2">
      <c r="A207" s="2"/>
      <c r="B207" s="2"/>
      <c r="C207" s="2"/>
      <c r="D207" s="2"/>
      <c r="E207" s="3"/>
      <c r="F207" s="3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 ht="12.75" customHeight="1" x14ac:dyDescent="0.2">
      <c r="A208" s="2"/>
      <c r="B208" s="2"/>
      <c r="C208" s="2"/>
      <c r="D208" s="2"/>
      <c r="E208" s="3"/>
      <c r="F208" s="3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 ht="12.75" customHeight="1" x14ac:dyDescent="0.2">
      <c r="A209" s="2"/>
      <c r="B209" s="2"/>
      <c r="C209" s="2"/>
      <c r="D209" s="2"/>
      <c r="E209" s="3"/>
      <c r="F209" s="3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 ht="12.75" customHeight="1" x14ac:dyDescent="0.2">
      <c r="A210" s="2"/>
      <c r="B210" s="2"/>
      <c r="C210" s="2"/>
      <c r="D210" s="2"/>
      <c r="E210" s="3"/>
      <c r="F210" s="3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 ht="12.75" customHeight="1" x14ac:dyDescent="0.2">
      <c r="A211" s="2"/>
      <c r="B211" s="2"/>
      <c r="C211" s="2"/>
      <c r="D211" s="2"/>
      <c r="E211" s="3"/>
      <c r="F211" s="3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 ht="12.75" customHeight="1" x14ac:dyDescent="0.2">
      <c r="A212" s="2"/>
      <c r="B212" s="2"/>
      <c r="C212" s="2"/>
      <c r="D212" s="2"/>
      <c r="E212" s="3"/>
      <c r="F212" s="3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 ht="12.75" customHeight="1" x14ac:dyDescent="0.2">
      <c r="A213" s="2"/>
      <c r="B213" s="2"/>
      <c r="C213" s="2"/>
      <c r="D213" s="2"/>
      <c r="E213" s="3"/>
      <c r="F213" s="3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 ht="12.75" customHeight="1" x14ac:dyDescent="0.2">
      <c r="A214" s="2"/>
      <c r="B214" s="2"/>
      <c r="C214" s="2"/>
      <c r="D214" s="2"/>
      <c r="E214" s="3"/>
      <c r="F214" s="3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 ht="12.75" customHeight="1" x14ac:dyDescent="0.2">
      <c r="A215" s="2"/>
      <c r="B215" s="2"/>
      <c r="C215" s="2"/>
      <c r="D215" s="2"/>
      <c r="E215" s="3"/>
      <c r="F215" s="3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 ht="12.75" customHeight="1" x14ac:dyDescent="0.2">
      <c r="A216" s="2"/>
      <c r="B216" s="2"/>
      <c r="C216" s="2"/>
      <c r="D216" s="2"/>
      <c r="E216" s="3"/>
      <c r="F216" s="3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 ht="12.75" customHeight="1" x14ac:dyDescent="0.2">
      <c r="A217" s="2"/>
      <c r="B217" s="2"/>
      <c r="C217" s="2"/>
      <c r="D217" s="2"/>
      <c r="E217" s="3"/>
      <c r="F217" s="3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 ht="12.75" customHeight="1" x14ac:dyDescent="0.2">
      <c r="A218" s="2"/>
      <c r="B218" s="2"/>
      <c r="C218" s="2"/>
      <c r="D218" s="2"/>
      <c r="E218" s="3"/>
      <c r="F218" s="3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 ht="12.75" customHeight="1" x14ac:dyDescent="0.2">
      <c r="A219" s="2"/>
      <c r="B219" s="2"/>
      <c r="C219" s="2"/>
      <c r="D219" s="2"/>
      <c r="E219" s="3"/>
      <c r="F219" s="3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 ht="12.75" customHeight="1" x14ac:dyDescent="0.2">
      <c r="A220" s="2"/>
      <c r="B220" s="2"/>
      <c r="C220" s="2"/>
      <c r="D220" s="2"/>
      <c r="E220" s="3"/>
      <c r="F220" s="3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 ht="12.75" customHeight="1" x14ac:dyDescent="0.2">
      <c r="A221" s="2"/>
      <c r="B221" s="2"/>
      <c r="C221" s="2"/>
      <c r="D221" s="2"/>
      <c r="E221" s="3"/>
      <c r="F221" s="3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 ht="12.75" customHeight="1" x14ac:dyDescent="0.2">
      <c r="A222" s="2"/>
      <c r="B222" s="2"/>
      <c r="C222" s="2"/>
      <c r="D222" s="2"/>
      <c r="E222" s="3"/>
      <c r="F222" s="3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 ht="12.75" customHeight="1" x14ac:dyDescent="0.2">
      <c r="A223" s="2"/>
      <c r="B223" s="2"/>
      <c r="C223" s="2"/>
      <c r="D223" s="2"/>
      <c r="E223" s="3"/>
      <c r="F223" s="3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 ht="12.75" customHeight="1" x14ac:dyDescent="0.2">
      <c r="A224" s="2"/>
      <c r="B224" s="2"/>
      <c r="C224" s="2"/>
      <c r="D224" s="2"/>
      <c r="E224" s="3"/>
      <c r="F224" s="3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 ht="12.75" customHeight="1" x14ac:dyDescent="0.2">
      <c r="A225" s="2"/>
      <c r="B225" s="2"/>
      <c r="C225" s="2"/>
      <c r="D225" s="2"/>
      <c r="E225" s="3"/>
      <c r="F225" s="3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 ht="12.75" customHeight="1" x14ac:dyDescent="0.2">
      <c r="A226" s="2"/>
      <c r="B226" s="2"/>
      <c r="C226" s="2"/>
      <c r="D226" s="2"/>
      <c r="E226" s="3"/>
      <c r="F226" s="3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 ht="12.75" customHeight="1" x14ac:dyDescent="0.2">
      <c r="A227" s="2"/>
      <c r="B227" s="2"/>
      <c r="C227" s="2"/>
      <c r="D227" s="2"/>
      <c r="E227" s="3"/>
      <c r="F227" s="3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 ht="12.75" customHeight="1" x14ac:dyDescent="0.2">
      <c r="A228" s="2"/>
      <c r="B228" s="2"/>
      <c r="C228" s="2"/>
      <c r="D228" s="2"/>
      <c r="E228" s="3"/>
      <c r="F228" s="3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 ht="12.75" customHeight="1" x14ac:dyDescent="0.2">
      <c r="A229" s="2"/>
      <c r="B229" s="2"/>
      <c r="C229" s="2"/>
      <c r="D229" s="2"/>
      <c r="E229" s="3"/>
      <c r="F229" s="3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 ht="12.75" customHeight="1" x14ac:dyDescent="0.2">
      <c r="A230" s="2"/>
      <c r="B230" s="2"/>
      <c r="C230" s="2"/>
      <c r="D230" s="2"/>
      <c r="E230" s="3"/>
      <c r="F230" s="3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 ht="12.75" customHeight="1" x14ac:dyDescent="0.2">
      <c r="A231" s="2"/>
      <c r="B231" s="2"/>
      <c r="C231" s="2"/>
      <c r="D231" s="2"/>
      <c r="E231" s="3"/>
      <c r="F231" s="3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 ht="12.75" customHeight="1" x14ac:dyDescent="0.2">
      <c r="A232" s="2"/>
      <c r="B232" s="2"/>
      <c r="C232" s="2"/>
      <c r="D232" s="2"/>
      <c r="E232" s="3"/>
      <c r="F232" s="3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 ht="12.75" customHeight="1" x14ac:dyDescent="0.2">
      <c r="A233" s="2"/>
      <c r="B233" s="2"/>
      <c r="C233" s="2"/>
      <c r="D233" s="2"/>
      <c r="E233" s="3"/>
      <c r="F233" s="3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 ht="12.75" customHeight="1" x14ac:dyDescent="0.2">
      <c r="A234" s="2"/>
      <c r="B234" s="2"/>
      <c r="C234" s="2"/>
      <c r="D234" s="2"/>
      <c r="E234" s="3"/>
      <c r="F234" s="3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 ht="12.75" customHeight="1" x14ac:dyDescent="0.2">
      <c r="A235" s="2"/>
      <c r="B235" s="2"/>
      <c r="C235" s="2"/>
      <c r="D235" s="2"/>
      <c r="E235" s="3"/>
      <c r="F235" s="3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 ht="12.75" customHeight="1" x14ac:dyDescent="0.2">
      <c r="A236" s="2"/>
      <c r="B236" s="2"/>
      <c r="C236" s="2"/>
      <c r="D236" s="2"/>
      <c r="E236" s="3"/>
      <c r="F236" s="3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 ht="12.75" customHeight="1" x14ac:dyDescent="0.2">
      <c r="A237" s="2"/>
      <c r="B237" s="2"/>
      <c r="C237" s="2"/>
      <c r="D237" s="2"/>
      <c r="E237" s="3"/>
      <c r="F237" s="3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 ht="12.75" customHeight="1" x14ac:dyDescent="0.2">
      <c r="A238" s="2"/>
      <c r="B238" s="2"/>
      <c r="C238" s="2"/>
      <c r="D238" s="2"/>
      <c r="E238" s="3"/>
      <c r="F238" s="3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 ht="12.75" customHeight="1" x14ac:dyDescent="0.2">
      <c r="A239" s="2"/>
      <c r="B239" s="2"/>
      <c r="C239" s="2"/>
      <c r="D239" s="2"/>
      <c r="E239" s="3"/>
      <c r="F239" s="3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 ht="12.75" customHeight="1" x14ac:dyDescent="0.2">
      <c r="A240" s="2"/>
      <c r="B240" s="2"/>
      <c r="C240" s="2"/>
      <c r="D240" s="2"/>
      <c r="E240" s="3"/>
      <c r="F240" s="3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 ht="12.75" customHeight="1" x14ac:dyDescent="0.2">
      <c r="A241" s="2"/>
      <c r="B241" s="2"/>
      <c r="C241" s="2"/>
      <c r="D241" s="2"/>
      <c r="E241" s="3"/>
      <c r="F241" s="3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 ht="12.75" customHeight="1" x14ac:dyDescent="0.2">
      <c r="A242" s="2"/>
      <c r="B242" s="2"/>
      <c r="C242" s="2"/>
      <c r="D242" s="2"/>
      <c r="E242" s="3"/>
      <c r="F242" s="3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 ht="12.75" customHeight="1" x14ac:dyDescent="0.2">
      <c r="A243" s="2"/>
      <c r="B243" s="2"/>
      <c r="C243" s="2"/>
      <c r="D243" s="2"/>
      <c r="E243" s="3"/>
      <c r="F243" s="3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 ht="12.75" customHeight="1" x14ac:dyDescent="0.2">
      <c r="A244" s="2"/>
      <c r="B244" s="2"/>
      <c r="C244" s="2"/>
      <c r="D244" s="2"/>
      <c r="E244" s="3"/>
      <c r="F244" s="3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 ht="12.75" customHeight="1" x14ac:dyDescent="0.2">
      <c r="A245" s="2"/>
      <c r="B245" s="2"/>
      <c r="C245" s="2"/>
      <c r="D245" s="2"/>
      <c r="E245" s="3"/>
      <c r="F245" s="3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 ht="12.75" customHeight="1" x14ac:dyDescent="0.2">
      <c r="A246" s="2"/>
      <c r="B246" s="2"/>
      <c r="C246" s="2"/>
      <c r="D246" s="2"/>
      <c r="E246" s="3"/>
      <c r="F246" s="3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 ht="12.75" customHeight="1" x14ac:dyDescent="0.2">
      <c r="A247" s="2"/>
      <c r="B247" s="2"/>
      <c r="C247" s="2"/>
      <c r="D247" s="2"/>
      <c r="E247" s="3"/>
      <c r="F247" s="3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 ht="12.75" customHeight="1" x14ac:dyDescent="0.2">
      <c r="A248" s="2"/>
      <c r="B248" s="2"/>
      <c r="C248" s="2"/>
      <c r="D248" s="2"/>
      <c r="E248" s="3"/>
      <c r="F248" s="3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 ht="12.75" customHeight="1" x14ac:dyDescent="0.2">
      <c r="A249" s="2"/>
      <c r="B249" s="2"/>
      <c r="C249" s="2"/>
      <c r="D249" s="2"/>
      <c r="E249" s="3"/>
      <c r="F249" s="3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 ht="12.75" customHeight="1" x14ac:dyDescent="0.2">
      <c r="A250" s="2"/>
      <c r="B250" s="2"/>
      <c r="C250" s="2"/>
      <c r="D250" s="2"/>
      <c r="E250" s="3"/>
      <c r="F250" s="3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 ht="12.75" customHeight="1" x14ac:dyDescent="0.2">
      <c r="A251" s="2"/>
      <c r="B251" s="2"/>
      <c r="C251" s="2"/>
      <c r="D251" s="2"/>
      <c r="E251" s="3"/>
      <c r="F251" s="3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 ht="12.75" customHeight="1" x14ac:dyDescent="0.2">
      <c r="A252" s="2"/>
      <c r="B252" s="2"/>
      <c r="C252" s="2"/>
      <c r="D252" s="2"/>
      <c r="E252" s="3"/>
      <c r="F252" s="3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 ht="12.75" customHeight="1" x14ac:dyDescent="0.2">
      <c r="A253" s="2"/>
      <c r="B253" s="2"/>
      <c r="C253" s="2"/>
      <c r="D253" s="2"/>
      <c r="E253" s="3"/>
      <c r="F253" s="3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 ht="12.75" customHeight="1" x14ac:dyDescent="0.2">
      <c r="A254" s="2"/>
      <c r="B254" s="2"/>
      <c r="C254" s="2"/>
      <c r="D254" s="2"/>
      <c r="E254" s="3"/>
      <c r="F254" s="3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 ht="12.75" customHeight="1" x14ac:dyDescent="0.2">
      <c r="A255" s="2"/>
      <c r="B255" s="2"/>
      <c r="C255" s="2"/>
      <c r="D255" s="2"/>
      <c r="E255" s="3"/>
      <c r="F255" s="3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 ht="12.75" customHeight="1" x14ac:dyDescent="0.2">
      <c r="A256" s="2"/>
      <c r="B256" s="2"/>
      <c r="C256" s="2"/>
      <c r="D256" s="2"/>
      <c r="E256" s="3"/>
      <c r="F256" s="3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 ht="12.75" customHeight="1" x14ac:dyDescent="0.2">
      <c r="A257" s="2"/>
      <c r="B257" s="2"/>
      <c r="C257" s="2"/>
      <c r="D257" s="2"/>
      <c r="E257" s="3"/>
      <c r="F257" s="3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 ht="12.75" customHeight="1" x14ac:dyDescent="0.2">
      <c r="A258" s="2"/>
      <c r="B258" s="2"/>
      <c r="C258" s="2"/>
      <c r="D258" s="2"/>
      <c r="E258" s="3"/>
      <c r="F258" s="3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 ht="12.75" customHeight="1" x14ac:dyDescent="0.2">
      <c r="A259" s="2"/>
      <c r="B259" s="2"/>
      <c r="C259" s="2"/>
      <c r="D259" s="2"/>
      <c r="E259" s="3"/>
      <c r="F259" s="3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 ht="12.75" customHeight="1" x14ac:dyDescent="0.2">
      <c r="A260" s="2"/>
      <c r="B260" s="2"/>
      <c r="C260" s="2"/>
      <c r="D260" s="2"/>
      <c r="E260" s="3"/>
      <c r="F260" s="3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 ht="12.75" customHeight="1" x14ac:dyDescent="0.2">
      <c r="A261" s="2"/>
      <c r="B261" s="2"/>
      <c r="C261" s="2"/>
      <c r="D261" s="2"/>
      <c r="E261" s="3"/>
      <c r="F261" s="3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 ht="12.75" customHeight="1" x14ac:dyDescent="0.2">
      <c r="A262" s="2"/>
      <c r="B262" s="2"/>
      <c r="C262" s="2"/>
      <c r="D262" s="2"/>
      <c r="E262" s="3"/>
      <c r="F262" s="3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 ht="12.75" customHeight="1" x14ac:dyDescent="0.2">
      <c r="A263" s="2"/>
      <c r="B263" s="2"/>
      <c r="C263" s="2"/>
      <c r="D263" s="2"/>
      <c r="E263" s="3"/>
      <c r="F263" s="3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 ht="12.75" customHeight="1" x14ac:dyDescent="0.2">
      <c r="A264" s="2"/>
      <c r="B264" s="2"/>
      <c r="C264" s="2"/>
      <c r="D264" s="2"/>
      <c r="E264" s="3"/>
      <c r="F264" s="3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 ht="12.75" customHeight="1" x14ac:dyDescent="0.2">
      <c r="A265" s="2"/>
      <c r="B265" s="2"/>
      <c r="C265" s="2"/>
      <c r="D265" s="2"/>
      <c r="E265" s="3"/>
      <c r="F265" s="3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 ht="12.75" customHeight="1" x14ac:dyDescent="0.2">
      <c r="A266" s="2"/>
      <c r="B266" s="2"/>
      <c r="C266" s="2"/>
      <c r="D266" s="2"/>
      <c r="E266" s="3"/>
      <c r="F266" s="3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 ht="12.75" customHeight="1" x14ac:dyDescent="0.2">
      <c r="A267" s="2"/>
      <c r="B267" s="2"/>
      <c r="C267" s="2"/>
      <c r="D267" s="2"/>
      <c r="E267" s="3"/>
      <c r="F267" s="3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 ht="12.75" customHeight="1" x14ac:dyDescent="0.2">
      <c r="A268" s="2"/>
      <c r="B268" s="2"/>
      <c r="C268" s="2"/>
      <c r="D268" s="2"/>
      <c r="E268" s="3"/>
      <c r="F268" s="3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 ht="12.75" customHeight="1" x14ac:dyDescent="0.2">
      <c r="A269" s="2"/>
      <c r="B269" s="2"/>
      <c r="C269" s="2"/>
      <c r="D269" s="2"/>
      <c r="E269" s="3"/>
      <c r="F269" s="3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 ht="12.75" customHeight="1" x14ac:dyDescent="0.2">
      <c r="A270" s="2"/>
      <c r="B270" s="2"/>
      <c r="C270" s="2"/>
      <c r="D270" s="2"/>
      <c r="E270" s="3"/>
      <c r="F270" s="3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 ht="12.75" customHeight="1" x14ac:dyDescent="0.2">
      <c r="A271" s="2"/>
      <c r="B271" s="2"/>
      <c r="C271" s="2"/>
      <c r="D271" s="2"/>
      <c r="E271" s="3"/>
      <c r="F271" s="3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 ht="12.75" customHeight="1" x14ac:dyDescent="0.2">
      <c r="A272" s="2"/>
      <c r="B272" s="2"/>
      <c r="C272" s="2"/>
      <c r="D272" s="2"/>
      <c r="E272" s="3"/>
      <c r="F272" s="3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 ht="12.75" customHeight="1" x14ac:dyDescent="0.2">
      <c r="A273" s="2"/>
      <c r="B273" s="2"/>
      <c r="C273" s="2"/>
      <c r="D273" s="2"/>
      <c r="E273" s="3"/>
      <c r="F273" s="3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 ht="12.75" customHeight="1" x14ac:dyDescent="0.2">
      <c r="A274" s="2"/>
      <c r="B274" s="2"/>
      <c r="C274" s="2"/>
      <c r="D274" s="2"/>
      <c r="E274" s="3"/>
      <c r="F274" s="3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 ht="12.75" customHeight="1" x14ac:dyDescent="0.2">
      <c r="A275" s="2"/>
      <c r="B275" s="2"/>
      <c r="C275" s="2"/>
      <c r="D275" s="2"/>
      <c r="E275" s="3"/>
      <c r="F275" s="3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 ht="12.75" customHeight="1" x14ac:dyDescent="0.2">
      <c r="A276" s="2"/>
      <c r="B276" s="2"/>
      <c r="C276" s="2"/>
      <c r="D276" s="2"/>
      <c r="E276" s="3"/>
      <c r="F276" s="3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 ht="12.75" customHeight="1" x14ac:dyDescent="0.2">
      <c r="A277" s="2"/>
      <c r="B277" s="2"/>
      <c r="C277" s="2"/>
      <c r="D277" s="2"/>
      <c r="E277" s="3"/>
      <c r="F277" s="3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 ht="12.75" customHeight="1" x14ac:dyDescent="0.2">
      <c r="A278" s="2"/>
      <c r="B278" s="2"/>
      <c r="C278" s="2"/>
      <c r="D278" s="2"/>
      <c r="E278" s="3"/>
      <c r="F278" s="3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 ht="12.75" customHeight="1" x14ac:dyDescent="0.2">
      <c r="A279" s="2"/>
      <c r="B279" s="2"/>
      <c r="C279" s="2"/>
      <c r="D279" s="2"/>
      <c r="E279" s="3"/>
      <c r="F279" s="3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 ht="12.75" customHeight="1" x14ac:dyDescent="0.2">
      <c r="A280" s="2"/>
      <c r="B280" s="2"/>
      <c r="C280" s="2"/>
      <c r="D280" s="2"/>
      <c r="E280" s="3"/>
      <c r="F280" s="3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 ht="12.75" customHeight="1" x14ac:dyDescent="0.2">
      <c r="A281" s="2"/>
      <c r="B281" s="2"/>
      <c r="C281" s="2"/>
      <c r="D281" s="2"/>
      <c r="E281" s="3"/>
      <c r="F281" s="3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 ht="12.75" customHeight="1" x14ac:dyDescent="0.2">
      <c r="A282" s="2"/>
      <c r="B282" s="2"/>
      <c r="C282" s="2"/>
      <c r="D282" s="2"/>
      <c r="E282" s="3"/>
      <c r="F282" s="3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 ht="12.75" customHeight="1" x14ac:dyDescent="0.2">
      <c r="A283" s="2"/>
      <c r="B283" s="2"/>
      <c r="C283" s="2"/>
      <c r="D283" s="2"/>
      <c r="E283" s="3"/>
      <c r="F283" s="3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 ht="12.75" customHeight="1" x14ac:dyDescent="0.2">
      <c r="A284" s="2"/>
      <c r="B284" s="2"/>
      <c r="C284" s="2"/>
      <c r="D284" s="2"/>
      <c r="E284" s="3"/>
      <c r="F284" s="3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 ht="12.75" customHeight="1" x14ac:dyDescent="0.2">
      <c r="A285" s="2"/>
      <c r="B285" s="2"/>
      <c r="C285" s="2"/>
      <c r="D285" s="2"/>
      <c r="E285" s="3"/>
      <c r="F285" s="3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 ht="12.75" customHeight="1" x14ac:dyDescent="0.2">
      <c r="A286" s="2"/>
      <c r="B286" s="2"/>
      <c r="C286" s="2"/>
      <c r="D286" s="2"/>
      <c r="E286" s="3"/>
      <c r="F286" s="3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 ht="12.75" customHeight="1" x14ac:dyDescent="0.2">
      <c r="A287" s="2"/>
      <c r="B287" s="2"/>
      <c r="C287" s="2"/>
      <c r="D287" s="2"/>
      <c r="E287" s="3"/>
      <c r="F287" s="3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 ht="12.75" customHeight="1" x14ac:dyDescent="0.2">
      <c r="A288" s="2"/>
      <c r="B288" s="2"/>
      <c r="C288" s="2"/>
      <c r="D288" s="2"/>
      <c r="E288" s="3"/>
      <c r="F288" s="3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 ht="12.75" customHeight="1" x14ac:dyDescent="0.2">
      <c r="A289" s="2"/>
      <c r="B289" s="2"/>
      <c r="C289" s="2"/>
      <c r="D289" s="2"/>
      <c r="E289" s="3"/>
      <c r="F289" s="3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 ht="12.75" customHeight="1" x14ac:dyDescent="0.2">
      <c r="A290" s="2"/>
      <c r="B290" s="2"/>
      <c r="C290" s="2"/>
      <c r="D290" s="2"/>
      <c r="E290" s="3"/>
      <c r="F290" s="3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 ht="12.75" customHeight="1" x14ac:dyDescent="0.2">
      <c r="A291" s="2"/>
      <c r="B291" s="2"/>
      <c r="C291" s="2"/>
      <c r="D291" s="2"/>
      <c r="E291" s="3"/>
      <c r="F291" s="3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 ht="12.75" customHeight="1" x14ac:dyDescent="0.2">
      <c r="A292" s="2"/>
      <c r="B292" s="2"/>
      <c r="C292" s="2"/>
      <c r="D292" s="2"/>
      <c r="E292" s="3"/>
      <c r="F292" s="3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 ht="12.75" customHeight="1" x14ac:dyDescent="0.2">
      <c r="A293" s="2"/>
      <c r="B293" s="2"/>
      <c r="C293" s="2"/>
      <c r="D293" s="2"/>
      <c r="E293" s="3"/>
      <c r="F293" s="3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 ht="12.75" customHeight="1" x14ac:dyDescent="0.2">
      <c r="A294" s="2"/>
      <c r="B294" s="2"/>
      <c r="C294" s="2"/>
      <c r="D294" s="2"/>
      <c r="E294" s="3"/>
      <c r="F294" s="3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 ht="12.75" customHeight="1" x14ac:dyDescent="0.2">
      <c r="A295" s="2"/>
      <c r="B295" s="2"/>
      <c r="C295" s="2"/>
      <c r="D295" s="2"/>
      <c r="E295" s="3"/>
      <c r="F295" s="3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 ht="12.75" customHeight="1" x14ac:dyDescent="0.2">
      <c r="A296" s="2"/>
      <c r="B296" s="2"/>
      <c r="C296" s="2"/>
      <c r="D296" s="2"/>
      <c r="E296" s="3"/>
      <c r="F296" s="3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 ht="12.75" customHeight="1" x14ac:dyDescent="0.2">
      <c r="A297" s="2"/>
      <c r="B297" s="2"/>
      <c r="C297" s="2"/>
      <c r="D297" s="2"/>
      <c r="E297" s="3"/>
      <c r="F297" s="3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 ht="12.75" customHeight="1" x14ac:dyDescent="0.2">
      <c r="A298" s="2"/>
      <c r="B298" s="2"/>
      <c r="C298" s="2"/>
      <c r="D298" s="2"/>
      <c r="E298" s="3"/>
      <c r="F298" s="3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 ht="12.75" customHeight="1" x14ac:dyDescent="0.2">
      <c r="A299" s="2"/>
      <c r="B299" s="2"/>
      <c r="C299" s="2"/>
      <c r="D299" s="2"/>
      <c r="E299" s="3"/>
      <c r="F299" s="3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 ht="12.75" customHeight="1" x14ac:dyDescent="0.2">
      <c r="A300" s="2"/>
      <c r="B300" s="2"/>
      <c r="C300" s="2"/>
      <c r="D300" s="2"/>
      <c r="E300" s="3"/>
      <c r="F300" s="3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 ht="12.75" customHeight="1" x14ac:dyDescent="0.2">
      <c r="A301" s="2"/>
      <c r="B301" s="2"/>
      <c r="C301" s="2"/>
      <c r="D301" s="2"/>
      <c r="E301" s="3"/>
      <c r="F301" s="3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 ht="12.75" customHeight="1" x14ac:dyDescent="0.2">
      <c r="A302" s="2"/>
      <c r="B302" s="2"/>
      <c r="C302" s="2"/>
      <c r="D302" s="2"/>
      <c r="E302" s="3"/>
      <c r="F302" s="3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 ht="12.75" customHeight="1" x14ac:dyDescent="0.2">
      <c r="A303" s="2"/>
      <c r="B303" s="2"/>
      <c r="C303" s="2"/>
      <c r="D303" s="2"/>
      <c r="E303" s="3"/>
      <c r="F303" s="3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 ht="12.75" customHeight="1" x14ac:dyDescent="0.2">
      <c r="A304" s="2"/>
      <c r="B304" s="2"/>
      <c r="C304" s="2"/>
      <c r="D304" s="2"/>
      <c r="E304" s="3"/>
      <c r="F304" s="3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 ht="12.75" customHeight="1" x14ac:dyDescent="0.2">
      <c r="A305" s="2"/>
      <c r="B305" s="2"/>
      <c r="C305" s="2"/>
      <c r="D305" s="2"/>
      <c r="E305" s="3"/>
      <c r="F305" s="3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 ht="12.75" customHeight="1" x14ac:dyDescent="0.2">
      <c r="A306" s="2"/>
      <c r="B306" s="2"/>
      <c r="C306" s="2"/>
      <c r="D306" s="2"/>
      <c r="E306" s="3"/>
      <c r="F306" s="3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 ht="12.75" customHeight="1" x14ac:dyDescent="0.2">
      <c r="A307" s="2"/>
      <c r="B307" s="2"/>
      <c r="C307" s="2"/>
      <c r="D307" s="2"/>
      <c r="E307" s="3"/>
      <c r="F307" s="3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 ht="12.75" customHeight="1" x14ac:dyDescent="0.2">
      <c r="A308" s="2"/>
      <c r="B308" s="2"/>
      <c r="C308" s="2"/>
      <c r="D308" s="2"/>
      <c r="E308" s="3"/>
      <c r="F308" s="3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 ht="12.75" customHeight="1" x14ac:dyDescent="0.2">
      <c r="A309" s="2"/>
      <c r="B309" s="2"/>
      <c r="C309" s="2"/>
      <c r="D309" s="2"/>
      <c r="E309" s="3"/>
      <c r="F309" s="3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 ht="12.75" customHeight="1" x14ac:dyDescent="0.2">
      <c r="A310" s="2"/>
      <c r="B310" s="2"/>
      <c r="C310" s="2"/>
      <c r="D310" s="2"/>
      <c r="E310" s="3"/>
      <c r="F310" s="3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 ht="12.75" customHeight="1" x14ac:dyDescent="0.2">
      <c r="A311" s="2"/>
      <c r="B311" s="2"/>
      <c r="C311" s="2"/>
      <c r="D311" s="2"/>
      <c r="E311" s="3"/>
      <c r="F311" s="3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 ht="12.75" customHeight="1" x14ac:dyDescent="0.2">
      <c r="A312" s="2"/>
      <c r="B312" s="2"/>
      <c r="C312" s="2"/>
      <c r="D312" s="2"/>
      <c r="E312" s="3"/>
      <c r="F312" s="3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 ht="12.75" customHeight="1" x14ac:dyDescent="0.2">
      <c r="A313" s="2"/>
      <c r="B313" s="2"/>
      <c r="C313" s="2"/>
      <c r="D313" s="2"/>
      <c r="E313" s="3"/>
      <c r="F313" s="3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 ht="12.75" customHeight="1" x14ac:dyDescent="0.2">
      <c r="A314" s="2"/>
      <c r="B314" s="2"/>
      <c r="C314" s="2"/>
      <c r="D314" s="2"/>
      <c r="E314" s="3"/>
      <c r="F314" s="3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 ht="12.75" customHeight="1" x14ac:dyDescent="0.2">
      <c r="A315" s="2"/>
      <c r="B315" s="2"/>
      <c r="C315" s="2"/>
      <c r="D315" s="2"/>
      <c r="E315" s="3"/>
      <c r="F315" s="3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 ht="12.75" customHeight="1" x14ac:dyDescent="0.2">
      <c r="A316" s="2"/>
      <c r="B316" s="2"/>
      <c r="C316" s="2"/>
      <c r="D316" s="2"/>
      <c r="E316" s="3"/>
      <c r="F316" s="3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 ht="12.75" customHeight="1" x14ac:dyDescent="0.2">
      <c r="A317" s="2"/>
      <c r="B317" s="2"/>
      <c r="C317" s="2"/>
      <c r="D317" s="2"/>
      <c r="E317" s="3"/>
      <c r="F317" s="3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 ht="12.75" customHeight="1" x14ac:dyDescent="0.2">
      <c r="A318" s="2"/>
      <c r="B318" s="2"/>
      <c r="C318" s="2"/>
      <c r="D318" s="2"/>
      <c r="E318" s="3"/>
      <c r="F318" s="3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 ht="12.75" customHeight="1" x14ac:dyDescent="0.2">
      <c r="A319" s="2"/>
      <c r="B319" s="2"/>
      <c r="C319" s="2"/>
      <c r="D319" s="2"/>
      <c r="E319" s="3"/>
      <c r="F319" s="3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 ht="12.75" customHeight="1" x14ac:dyDescent="0.2">
      <c r="A320" s="2"/>
      <c r="B320" s="2"/>
      <c r="C320" s="2"/>
      <c r="D320" s="2"/>
      <c r="E320" s="3"/>
      <c r="F320" s="3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 ht="12.75" customHeight="1" x14ac:dyDescent="0.2">
      <c r="A321" s="2"/>
      <c r="B321" s="2"/>
      <c r="C321" s="2"/>
      <c r="D321" s="2"/>
      <c r="E321" s="3"/>
      <c r="F321" s="3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 ht="12.75" customHeight="1" x14ac:dyDescent="0.2">
      <c r="A322" s="2"/>
      <c r="B322" s="2"/>
      <c r="C322" s="2"/>
      <c r="D322" s="2"/>
      <c r="E322" s="3"/>
      <c r="F322" s="3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 ht="12.75" customHeight="1" x14ac:dyDescent="0.2">
      <c r="A323" s="2"/>
      <c r="B323" s="2"/>
      <c r="C323" s="2"/>
      <c r="D323" s="2"/>
      <c r="E323" s="3"/>
      <c r="F323" s="3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 ht="12.75" customHeight="1" x14ac:dyDescent="0.2">
      <c r="A324" s="2"/>
      <c r="B324" s="2"/>
      <c r="C324" s="2"/>
      <c r="D324" s="2"/>
      <c r="E324" s="3"/>
      <c r="F324" s="3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 ht="12.75" customHeight="1" x14ac:dyDescent="0.2">
      <c r="A325" s="2"/>
      <c r="B325" s="2"/>
      <c r="C325" s="2"/>
      <c r="D325" s="2"/>
      <c r="E325" s="3"/>
      <c r="F325" s="3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 ht="12.75" customHeight="1" x14ac:dyDescent="0.2">
      <c r="A326" s="2"/>
      <c r="B326" s="2"/>
      <c r="C326" s="2"/>
      <c r="D326" s="2"/>
      <c r="E326" s="3"/>
      <c r="F326" s="3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 ht="12.75" customHeight="1" x14ac:dyDescent="0.2">
      <c r="A327" s="2"/>
      <c r="B327" s="2"/>
      <c r="C327" s="2"/>
      <c r="D327" s="2"/>
      <c r="E327" s="3"/>
      <c r="F327" s="3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 ht="12.75" customHeight="1" x14ac:dyDescent="0.2">
      <c r="A328" s="2"/>
      <c r="B328" s="2"/>
      <c r="C328" s="2"/>
      <c r="D328" s="2"/>
      <c r="E328" s="3"/>
      <c r="F328" s="3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 ht="12.75" customHeight="1" x14ac:dyDescent="0.2">
      <c r="A329" s="2"/>
      <c r="B329" s="2"/>
      <c r="C329" s="2"/>
      <c r="D329" s="2"/>
      <c r="E329" s="3"/>
      <c r="F329" s="3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 ht="12.75" customHeight="1" x14ac:dyDescent="0.2">
      <c r="A330" s="2"/>
      <c r="B330" s="2"/>
      <c r="C330" s="2"/>
      <c r="D330" s="2"/>
      <c r="E330" s="3"/>
      <c r="F330" s="3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 ht="12.75" customHeight="1" x14ac:dyDescent="0.2">
      <c r="A331" s="2"/>
      <c r="B331" s="2"/>
      <c r="C331" s="2"/>
      <c r="D331" s="2"/>
      <c r="E331" s="3"/>
      <c r="F331" s="3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 ht="12.75" customHeight="1" x14ac:dyDescent="0.2">
      <c r="A332" s="2"/>
      <c r="B332" s="2"/>
      <c r="C332" s="2"/>
      <c r="D332" s="2"/>
      <c r="E332" s="3"/>
      <c r="F332" s="3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 ht="12.75" customHeight="1" x14ac:dyDescent="0.2">
      <c r="A333" s="2"/>
      <c r="B333" s="2"/>
      <c r="C333" s="2"/>
      <c r="D333" s="2"/>
      <c r="E333" s="3"/>
      <c r="F333" s="3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 ht="12.75" customHeight="1" x14ac:dyDescent="0.2">
      <c r="A334" s="2"/>
      <c r="B334" s="2"/>
      <c r="C334" s="2"/>
      <c r="D334" s="2"/>
      <c r="E334" s="3"/>
      <c r="F334" s="3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 ht="12.75" customHeight="1" x14ac:dyDescent="0.2">
      <c r="A335" s="2"/>
      <c r="B335" s="2"/>
      <c r="C335" s="2"/>
      <c r="D335" s="2"/>
      <c r="E335" s="3"/>
      <c r="F335" s="3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 ht="12.75" customHeight="1" x14ac:dyDescent="0.2">
      <c r="A336" s="2"/>
      <c r="B336" s="2"/>
      <c r="C336" s="2"/>
      <c r="D336" s="2"/>
      <c r="E336" s="3"/>
      <c r="F336" s="3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 ht="12.75" customHeight="1" x14ac:dyDescent="0.2">
      <c r="A337" s="2"/>
      <c r="B337" s="2"/>
      <c r="C337" s="2"/>
      <c r="D337" s="2"/>
      <c r="E337" s="3"/>
      <c r="F337" s="3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 ht="12.75" customHeight="1" x14ac:dyDescent="0.2">
      <c r="A338" s="2"/>
      <c r="B338" s="2"/>
      <c r="C338" s="2"/>
      <c r="D338" s="2"/>
      <c r="E338" s="3"/>
      <c r="F338" s="3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 ht="12.75" customHeight="1" x14ac:dyDescent="0.2">
      <c r="A339" s="2"/>
      <c r="B339" s="2"/>
      <c r="C339" s="2"/>
      <c r="D339" s="2"/>
      <c r="E339" s="3"/>
      <c r="F339" s="3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 ht="12.75" customHeight="1" x14ac:dyDescent="0.2">
      <c r="A340" s="2"/>
      <c r="B340" s="2"/>
      <c r="C340" s="2"/>
      <c r="D340" s="2"/>
      <c r="E340" s="3"/>
      <c r="F340" s="3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 ht="12.75" customHeight="1" x14ac:dyDescent="0.2">
      <c r="A341" s="2"/>
      <c r="B341" s="2"/>
      <c r="C341" s="2"/>
      <c r="D341" s="2"/>
      <c r="E341" s="3"/>
      <c r="F341" s="3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 ht="12.75" customHeight="1" x14ac:dyDescent="0.2">
      <c r="A342" s="2"/>
      <c r="B342" s="2"/>
      <c r="C342" s="2"/>
      <c r="D342" s="2"/>
      <c r="E342" s="3"/>
      <c r="F342" s="3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 ht="12.75" customHeight="1" x14ac:dyDescent="0.2">
      <c r="A343" s="2"/>
      <c r="B343" s="2"/>
      <c r="C343" s="2"/>
      <c r="D343" s="2"/>
      <c r="E343" s="3"/>
      <c r="F343" s="3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 ht="12.75" customHeight="1" x14ac:dyDescent="0.2">
      <c r="A344" s="2"/>
      <c r="B344" s="2"/>
      <c r="C344" s="2"/>
      <c r="D344" s="2"/>
      <c r="E344" s="3"/>
      <c r="F344" s="3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 ht="12.75" customHeight="1" x14ac:dyDescent="0.2">
      <c r="A345" s="2"/>
      <c r="B345" s="2"/>
      <c r="C345" s="2"/>
      <c r="D345" s="2"/>
      <c r="E345" s="3"/>
      <c r="F345" s="3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 ht="12.75" customHeight="1" x14ac:dyDescent="0.2">
      <c r="A346" s="2"/>
      <c r="B346" s="2"/>
      <c r="C346" s="2"/>
      <c r="D346" s="2"/>
      <c r="E346" s="3"/>
      <c r="F346" s="3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 ht="12.75" customHeight="1" x14ac:dyDescent="0.2">
      <c r="A347" s="2"/>
      <c r="B347" s="2"/>
      <c r="C347" s="2"/>
      <c r="D347" s="2"/>
      <c r="E347" s="3"/>
      <c r="F347" s="3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 ht="12.75" customHeight="1" x14ac:dyDescent="0.2">
      <c r="A348" s="2"/>
      <c r="B348" s="2"/>
      <c r="C348" s="2"/>
      <c r="D348" s="2"/>
      <c r="E348" s="3"/>
      <c r="F348" s="3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 ht="12.75" customHeight="1" x14ac:dyDescent="0.2">
      <c r="A349" s="2"/>
      <c r="B349" s="2"/>
      <c r="C349" s="2"/>
      <c r="D349" s="2"/>
      <c r="E349" s="3"/>
      <c r="F349" s="3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 ht="12.75" customHeight="1" x14ac:dyDescent="0.2">
      <c r="A350" s="2"/>
      <c r="B350" s="2"/>
      <c r="C350" s="2"/>
      <c r="D350" s="2"/>
      <c r="E350" s="3"/>
      <c r="F350" s="3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 ht="12.75" customHeight="1" x14ac:dyDescent="0.2">
      <c r="A351" s="2"/>
      <c r="B351" s="2"/>
      <c r="C351" s="2"/>
      <c r="D351" s="2"/>
      <c r="E351" s="3"/>
      <c r="F351" s="3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 ht="12.75" customHeight="1" x14ac:dyDescent="0.2">
      <c r="A352" s="2"/>
      <c r="B352" s="2"/>
      <c r="C352" s="2"/>
      <c r="D352" s="2"/>
      <c r="E352" s="3"/>
      <c r="F352" s="3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 ht="12.75" customHeight="1" x14ac:dyDescent="0.2">
      <c r="A353" s="2"/>
      <c r="B353" s="2"/>
      <c r="C353" s="2"/>
      <c r="D353" s="2"/>
      <c r="E353" s="3"/>
      <c r="F353" s="3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 ht="12.75" customHeight="1" x14ac:dyDescent="0.2">
      <c r="A354" s="2"/>
      <c r="B354" s="2"/>
      <c r="C354" s="2"/>
      <c r="D354" s="2"/>
      <c r="E354" s="3"/>
      <c r="F354" s="3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 ht="12.75" customHeight="1" x14ac:dyDescent="0.2">
      <c r="A355" s="2"/>
      <c r="B355" s="2"/>
      <c r="C355" s="2"/>
      <c r="D355" s="2"/>
      <c r="E355" s="3"/>
      <c r="F355" s="3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 ht="12.75" customHeight="1" x14ac:dyDescent="0.2">
      <c r="A356" s="2"/>
      <c r="B356" s="2"/>
      <c r="C356" s="2"/>
      <c r="D356" s="2"/>
      <c r="E356" s="3"/>
      <c r="F356" s="3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 ht="12.75" customHeight="1" x14ac:dyDescent="0.2">
      <c r="A357" s="2"/>
      <c r="B357" s="2"/>
      <c r="C357" s="2"/>
      <c r="D357" s="2"/>
      <c r="E357" s="3"/>
      <c r="F357" s="3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 ht="12.75" customHeight="1" x14ac:dyDescent="0.2">
      <c r="A358" s="2"/>
      <c r="B358" s="2"/>
      <c r="C358" s="2"/>
      <c r="D358" s="2"/>
      <c r="E358" s="3"/>
      <c r="F358" s="3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 ht="12.75" customHeight="1" x14ac:dyDescent="0.2">
      <c r="A359" s="2"/>
      <c r="B359" s="2"/>
      <c r="C359" s="2"/>
      <c r="D359" s="2"/>
      <c r="E359" s="3"/>
      <c r="F359" s="3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 ht="12.75" customHeight="1" x14ac:dyDescent="0.2">
      <c r="A360" s="2"/>
      <c r="B360" s="2"/>
      <c r="C360" s="2"/>
      <c r="D360" s="2"/>
      <c r="E360" s="3"/>
      <c r="F360" s="3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 ht="12.75" customHeight="1" x14ac:dyDescent="0.2">
      <c r="A361" s="2"/>
      <c r="B361" s="2"/>
      <c r="C361" s="2"/>
      <c r="D361" s="2"/>
      <c r="E361" s="3"/>
      <c r="F361" s="3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 ht="12.75" customHeight="1" x14ac:dyDescent="0.2">
      <c r="A362" s="2"/>
      <c r="B362" s="2"/>
      <c r="C362" s="2"/>
      <c r="D362" s="2"/>
      <c r="E362" s="3"/>
      <c r="F362" s="3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 ht="12.75" customHeight="1" x14ac:dyDescent="0.2">
      <c r="A363" s="2"/>
      <c r="B363" s="2"/>
      <c r="C363" s="2"/>
      <c r="D363" s="2"/>
      <c r="E363" s="3"/>
      <c r="F363" s="3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 ht="12.75" customHeight="1" x14ac:dyDescent="0.2">
      <c r="A364" s="2"/>
      <c r="B364" s="2"/>
      <c r="C364" s="2"/>
      <c r="D364" s="2"/>
      <c r="E364" s="3"/>
      <c r="F364" s="3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 ht="12.75" customHeight="1" x14ac:dyDescent="0.2">
      <c r="A365" s="2"/>
      <c r="B365" s="2"/>
      <c r="C365" s="2"/>
      <c r="D365" s="2"/>
      <c r="E365" s="3"/>
      <c r="F365" s="3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 ht="12.75" customHeight="1" x14ac:dyDescent="0.2">
      <c r="A366" s="2"/>
      <c r="B366" s="2"/>
      <c r="C366" s="2"/>
      <c r="D366" s="2"/>
      <c r="E366" s="3"/>
      <c r="F366" s="3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 ht="12.75" customHeight="1" x14ac:dyDescent="0.2">
      <c r="A367" s="2"/>
      <c r="B367" s="2"/>
      <c r="C367" s="2"/>
      <c r="D367" s="2"/>
      <c r="E367" s="3"/>
      <c r="F367" s="3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 ht="12.75" customHeight="1" x14ac:dyDescent="0.2">
      <c r="A368" s="2"/>
      <c r="B368" s="2"/>
      <c r="C368" s="2"/>
      <c r="D368" s="2"/>
      <c r="E368" s="3"/>
      <c r="F368" s="3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 ht="12.75" customHeight="1" x14ac:dyDescent="0.2">
      <c r="A369" s="2"/>
      <c r="B369" s="2"/>
      <c r="C369" s="2"/>
      <c r="D369" s="2"/>
      <c r="E369" s="3"/>
      <c r="F369" s="3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 ht="12.75" customHeight="1" x14ac:dyDescent="0.2">
      <c r="A370" s="2"/>
      <c r="B370" s="2"/>
      <c r="C370" s="2"/>
      <c r="D370" s="2"/>
      <c r="E370" s="3"/>
      <c r="F370" s="3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 ht="12.75" customHeight="1" x14ac:dyDescent="0.2">
      <c r="A371" s="2"/>
      <c r="B371" s="2"/>
      <c r="C371" s="2"/>
      <c r="D371" s="2"/>
      <c r="E371" s="3"/>
      <c r="F371" s="3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 ht="12.75" customHeight="1" x14ac:dyDescent="0.2">
      <c r="A372" s="2"/>
      <c r="B372" s="2"/>
      <c r="C372" s="2"/>
      <c r="D372" s="2"/>
      <c r="E372" s="3"/>
      <c r="F372" s="3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 ht="12.75" customHeight="1" x14ac:dyDescent="0.2">
      <c r="A373" s="2"/>
      <c r="B373" s="2"/>
      <c r="C373" s="2"/>
      <c r="D373" s="2"/>
      <c r="E373" s="3"/>
      <c r="F373" s="3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 ht="12.75" customHeight="1" x14ac:dyDescent="0.2">
      <c r="A374" s="2"/>
      <c r="B374" s="2"/>
      <c r="C374" s="2"/>
      <c r="D374" s="2"/>
      <c r="E374" s="3"/>
      <c r="F374" s="3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 ht="12.75" customHeight="1" x14ac:dyDescent="0.2">
      <c r="A375" s="2"/>
      <c r="B375" s="2"/>
      <c r="C375" s="2"/>
      <c r="D375" s="2"/>
      <c r="E375" s="3"/>
      <c r="F375" s="3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 ht="12.75" customHeight="1" x14ac:dyDescent="0.2">
      <c r="A376" s="2"/>
      <c r="B376" s="2"/>
      <c r="C376" s="2"/>
      <c r="D376" s="2"/>
      <c r="E376" s="3"/>
      <c r="F376" s="3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 ht="12.75" customHeight="1" x14ac:dyDescent="0.2">
      <c r="A377" s="2"/>
      <c r="B377" s="2"/>
      <c r="C377" s="2"/>
      <c r="D377" s="2"/>
      <c r="E377" s="3"/>
      <c r="F377" s="3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 ht="12.75" customHeight="1" x14ac:dyDescent="0.2">
      <c r="A378" s="2"/>
      <c r="B378" s="2"/>
      <c r="C378" s="2"/>
      <c r="D378" s="2"/>
      <c r="E378" s="3"/>
      <c r="F378" s="3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 ht="12.75" customHeight="1" x14ac:dyDescent="0.2">
      <c r="A379" s="2"/>
      <c r="B379" s="2"/>
      <c r="C379" s="2"/>
      <c r="D379" s="2"/>
      <c r="E379" s="3"/>
      <c r="F379" s="3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 ht="12.75" customHeight="1" x14ac:dyDescent="0.2">
      <c r="A380" s="2"/>
      <c r="B380" s="2"/>
      <c r="C380" s="2"/>
      <c r="D380" s="2"/>
      <c r="E380" s="3"/>
      <c r="F380" s="3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 ht="12.75" customHeight="1" x14ac:dyDescent="0.2">
      <c r="A381" s="2"/>
      <c r="B381" s="2"/>
      <c r="C381" s="2"/>
      <c r="D381" s="2"/>
      <c r="E381" s="3"/>
      <c r="F381" s="3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 ht="12.75" customHeight="1" x14ac:dyDescent="0.2">
      <c r="A382" s="2"/>
      <c r="B382" s="2"/>
      <c r="C382" s="2"/>
      <c r="D382" s="2"/>
      <c r="E382" s="3"/>
      <c r="F382" s="3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 ht="12.75" customHeight="1" x14ac:dyDescent="0.2">
      <c r="A383" s="2"/>
      <c r="B383" s="2"/>
      <c r="C383" s="2"/>
      <c r="D383" s="2"/>
      <c r="E383" s="3"/>
      <c r="F383" s="3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 ht="12.75" customHeight="1" x14ac:dyDescent="0.2">
      <c r="A384" s="2"/>
      <c r="B384" s="2"/>
      <c r="C384" s="2"/>
      <c r="D384" s="2"/>
      <c r="E384" s="3"/>
      <c r="F384" s="3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 ht="12.75" customHeight="1" x14ac:dyDescent="0.2">
      <c r="A385" s="2"/>
      <c r="B385" s="2"/>
      <c r="C385" s="2"/>
      <c r="D385" s="2"/>
      <c r="E385" s="3"/>
      <c r="F385" s="3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 ht="12.75" customHeight="1" x14ac:dyDescent="0.2">
      <c r="A386" s="2"/>
      <c r="B386" s="2"/>
      <c r="C386" s="2"/>
      <c r="D386" s="2"/>
      <c r="E386" s="3"/>
      <c r="F386" s="3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 ht="12.75" customHeight="1" x14ac:dyDescent="0.2">
      <c r="A387" s="2"/>
      <c r="B387" s="2"/>
      <c r="C387" s="2"/>
      <c r="D387" s="2"/>
      <c r="E387" s="3"/>
      <c r="F387" s="3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 ht="12.75" customHeight="1" x14ac:dyDescent="0.2">
      <c r="A388" s="2"/>
      <c r="B388" s="2"/>
      <c r="C388" s="2"/>
      <c r="D388" s="2"/>
      <c r="E388" s="3"/>
      <c r="F388" s="3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 ht="12.75" customHeight="1" x14ac:dyDescent="0.2">
      <c r="A389" s="2"/>
      <c r="B389" s="2"/>
      <c r="C389" s="2"/>
      <c r="D389" s="2"/>
      <c r="E389" s="3"/>
      <c r="F389" s="3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 ht="12.75" customHeight="1" x14ac:dyDescent="0.2">
      <c r="A390" s="2"/>
      <c r="B390" s="2"/>
      <c r="C390" s="2"/>
      <c r="D390" s="2"/>
      <c r="E390" s="3"/>
      <c r="F390" s="3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 ht="12.75" customHeight="1" x14ac:dyDescent="0.2">
      <c r="A391" s="2"/>
      <c r="B391" s="2"/>
      <c r="C391" s="2"/>
      <c r="D391" s="2"/>
      <c r="E391" s="3"/>
      <c r="F391" s="3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 ht="12.75" customHeight="1" x14ac:dyDescent="0.2">
      <c r="A392" s="2"/>
      <c r="B392" s="2"/>
      <c r="C392" s="2"/>
      <c r="D392" s="2"/>
      <c r="E392" s="3"/>
      <c r="F392" s="3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 ht="12.75" customHeight="1" x14ac:dyDescent="0.2">
      <c r="A393" s="2"/>
      <c r="B393" s="2"/>
      <c r="C393" s="2"/>
      <c r="D393" s="2"/>
      <c r="E393" s="3"/>
      <c r="F393" s="3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 ht="12.75" customHeight="1" x14ac:dyDescent="0.2">
      <c r="A394" s="2"/>
      <c r="B394" s="2"/>
      <c r="C394" s="2"/>
      <c r="D394" s="2"/>
      <c r="E394" s="3"/>
      <c r="F394" s="3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 ht="12.75" customHeight="1" x14ac:dyDescent="0.2">
      <c r="A395" s="2"/>
      <c r="B395" s="2"/>
      <c r="C395" s="2"/>
      <c r="D395" s="2"/>
      <c r="E395" s="3"/>
      <c r="F395" s="3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 ht="12.75" customHeight="1" x14ac:dyDescent="0.2">
      <c r="A396" s="2"/>
      <c r="B396" s="2"/>
      <c r="C396" s="2"/>
      <c r="D396" s="2"/>
      <c r="E396" s="3"/>
      <c r="F396" s="3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 ht="12.75" customHeight="1" x14ac:dyDescent="0.2">
      <c r="A397" s="2"/>
      <c r="B397" s="2"/>
      <c r="C397" s="2"/>
      <c r="D397" s="2"/>
      <c r="E397" s="3"/>
      <c r="F397" s="3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 ht="12.75" customHeight="1" x14ac:dyDescent="0.2">
      <c r="A398" s="2"/>
      <c r="B398" s="2"/>
      <c r="C398" s="2"/>
      <c r="D398" s="2"/>
      <c r="E398" s="3"/>
      <c r="F398" s="3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 ht="12.75" customHeight="1" x14ac:dyDescent="0.2">
      <c r="A399" s="2"/>
      <c r="B399" s="2"/>
      <c r="C399" s="2"/>
      <c r="D399" s="2"/>
      <c r="E399" s="3"/>
      <c r="F399" s="3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 ht="12.75" customHeight="1" x14ac:dyDescent="0.2">
      <c r="A400" s="2"/>
      <c r="B400" s="2"/>
      <c r="C400" s="2"/>
      <c r="D400" s="2"/>
      <c r="E400" s="3"/>
      <c r="F400" s="3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 ht="12.75" customHeight="1" x14ac:dyDescent="0.2">
      <c r="A401" s="2"/>
      <c r="B401" s="2"/>
      <c r="C401" s="2"/>
      <c r="D401" s="2"/>
      <c r="E401" s="3"/>
      <c r="F401" s="3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 ht="12.75" customHeight="1" x14ac:dyDescent="0.2">
      <c r="A402" s="2"/>
      <c r="B402" s="2"/>
      <c r="C402" s="2"/>
      <c r="D402" s="2"/>
      <c r="E402" s="3"/>
      <c r="F402" s="3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 ht="12.75" customHeight="1" x14ac:dyDescent="0.2">
      <c r="A403" s="2"/>
      <c r="B403" s="2"/>
      <c r="C403" s="2"/>
      <c r="D403" s="2"/>
      <c r="E403" s="3"/>
      <c r="F403" s="3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 ht="12.75" customHeight="1" x14ac:dyDescent="0.2">
      <c r="A404" s="2"/>
      <c r="B404" s="2"/>
      <c r="C404" s="2"/>
      <c r="D404" s="2"/>
      <c r="E404" s="3"/>
      <c r="F404" s="3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 ht="12.75" customHeight="1" x14ac:dyDescent="0.2">
      <c r="A405" s="2"/>
      <c r="B405" s="2"/>
      <c r="C405" s="2"/>
      <c r="D405" s="2"/>
      <c r="E405" s="3"/>
      <c r="F405" s="3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 ht="12.75" customHeight="1" x14ac:dyDescent="0.2">
      <c r="A406" s="2"/>
      <c r="B406" s="2"/>
      <c r="C406" s="2"/>
      <c r="D406" s="2"/>
      <c r="E406" s="3"/>
      <c r="F406" s="3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 ht="12.75" customHeight="1" x14ac:dyDescent="0.2">
      <c r="A407" s="2"/>
      <c r="B407" s="2"/>
      <c r="C407" s="2"/>
      <c r="D407" s="2"/>
      <c r="E407" s="3"/>
      <c r="F407" s="3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 ht="12.75" customHeight="1" x14ac:dyDescent="0.2">
      <c r="A408" s="2"/>
      <c r="B408" s="2"/>
      <c r="C408" s="2"/>
      <c r="D408" s="2"/>
      <c r="E408" s="3"/>
      <c r="F408" s="3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 ht="12.75" customHeight="1" x14ac:dyDescent="0.2">
      <c r="A409" s="2"/>
      <c r="B409" s="2"/>
      <c r="C409" s="2"/>
      <c r="D409" s="2"/>
      <c r="E409" s="3"/>
      <c r="F409" s="3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 ht="12.75" customHeight="1" x14ac:dyDescent="0.2">
      <c r="A410" s="2"/>
      <c r="B410" s="2"/>
      <c r="C410" s="2"/>
      <c r="D410" s="2"/>
      <c r="E410" s="3"/>
      <c r="F410" s="3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 ht="12.75" customHeight="1" x14ac:dyDescent="0.2">
      <c r="A411" s="2"/>
      <c r="B411" s="2"/>
      <c r="C411" s="2"/>
      <c r="D411" s="2"/>
      <c r="E411" s="3"/>
      <c r="F411" s="3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 ht="12.75" customHeight="1" x14ac:dyDescent="0.2">
      <c r="A412" s="2"/>
      <c r="B412" s="2"/>
      <c r="C412" s="2"/>
      <c r="D412" s="2"/>
      <c r="E412" s="3"/>
      <c r="F412" s="3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 ht="12.75" customHeight="1" x14ac:dyDescent="0.2">
      <c r="A413" s="2"/>
      <c r="B413" s="2"/>
      <c r="C413" s="2"/>
      <c r="D413" s="2"/>
      <c r="E413" s="3"/>
      <c r="F413" s="3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 ht="12.75" customHeight="1" x14ac:dyDescent="0.2">
      <c r="A414" s="2"/>
      <c r="B414" s="2"/>
      <c r="C414" s="2"/>
      <c r="D414" s="2"/>
      <c r="E414" s="3"/>
      <c r="F414" s="3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 ht="12.75" customHeight="1" x14ac:dyDescent="0.2">
      <c r="A415" s="2"/>
      <c r="B415" s="2"/>
      <c r="C415" s="2"/>
      <c r="D415" s="2"/>
      <c r="E415" s="3"/>
      <c r="F415" s="3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 ht="12.75" customHeight="1" x14ac:dyDescent="0.2">
      <c r="A416" s="2"/>
      <c r="B416" s="2"/>
      <c r="C416" s="2"/>
      <c r="D416" s="2"/>
      <c r="E416" s="3"/>
      <c r="F416" s="3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 ht="12.75" customHeight="1" x14ac:dyDescent="0.2">
      <c r="A417" s="2"/>
      <c r="B417" s="2"/>
      <c r="C417" s="2"/>
      <c r="D417" s="2"/>
      <c r="E417" s="3"/>
      <c r="F417" s="3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 ht="12.75" customHeight="1" x14ac:dyDescent="0.2">
      <c r="A418" s="2"/>
      <c r="B418" s="2"/>
      <c r="C418" s="2"/>
      <c r="D418" s="2"/>
      <c r="E418" s="3"/>
      <c r="F418" s="3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 ht="12.75" customHeight="1" x14ac:dyDescent="0.2">
      <c r="A419" s="2"/>
      <c r="B419" s="2"/>
      <c r="C419" s="2"/>
      <c r="D419" s="2"/>
      <c r="E419" s="3"/>
      <c r="F419" s="3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 ht="12.75" customHeight="1" x14ac:dyDescent="0.2">
      <c r="A420" s="2"/>
      <c r="B420" s="2"/>
      <c r="C420" s="2"/>
      <c r="D420" s="2"/>
      <c r="E420" s="3"/>
      <c r="F420" s="3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 ht="12.75" customHeight="1" x14ac:dyDescent="0.2">
      <c r="A421" s="2"/>
      <c r="B421" s="2"/>
      <c r="C421" s="2"/>
      <c r="D421" s="2"/>
      <c r="E421" s="3"/>
      <c r="F421" s="3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 ht="12.75" customHeight="1" x14ac:dyDescent="0.2">
      <c r="A422" s="2"/>
      <c r="B422" s="2"/>
      <c r="C422" s="2"/>
      <c r="D422" s="2"/>
      <c r="E422" s="3"/>
      <c r="F422" s="3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 ht="12.75" customHeight="1" x14ac:dyDescent="0.2">
      <c r="A423" s="2"/>
      <c r="B423" s="2"/>
      <c r="C423" s="2"/>
      <c r="D423" s="2"/>
      <c r="E423" s="3"/>
      <c r="F423" s="3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 ht="12.75" customHeight="1" x14ac:dyDescent="0.2">
      <c r="A424" s="2"/>
      <c r="B424" s="2"/>
      <c r="C424" s="2"/>
      <c r="D424" s="2"/>
      <c r="E424" s="3"/>
      <c r="F424" s="3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 ht="12.75" customHeight="1" x14ac:dyDescent="0.2">
      <c r="A425" s="2"/>
      <c r="B425" s="2"/>
      <c r="C425" s="2"/>
      <c r="D425" s="2"/>
      <c r="E425" s="3"/>
      <c r="F425" s="3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 ht="12.75" customHeight="1" x14ac:dyDescent="0.2">
      <c r="A426" s="2"/>
      <c r="B426" s="2"/>
      <c r="C426" s="2"/>
      <c r="D426" s="2"/>
      <c r="E426" s="3"/>
      <c r="F426" s="3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 ht="12.75" customHeight="1" x14ac:dyDescent="0.2">
      <c r="A427" s="2"/>
      <c r="B427" s="2"/>
      <c r="C427" s="2"/>
      <c r="D427" s="2"/>
      <c r="E427" s="3"/>
      <c r="F427" s="3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 ht="12.75" customHeight="1" x14ac:dyDescent="0.2">
      <c r="A428" s="2"/>
      <c r="B428" s="2"/>
      <c r="C428" s="2"/>
      <c r="D428" s="2"/>
      <c r="E428" s="3"/>
      <c r="F428" s="3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 ht="12.75" customHeight="1" x14ac:dyDescent="0.2">
      <c r="A429" s="2"/>
      <c r="B429" s="2"/>
      <c r="C429" s="2"/>
      <c r="D429" s="2"/>
      <c r="E429" s="3"/>
      <c r="F429" s="3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 ht="12.75" customHeight="1" x14ac:dyDescent="0.2">
      <c r="A430" s="2"/>
      <c r="B430" s="2"/>
      <c r="C430" s="2"/>
      <c r="D430" s="2"/>
      <c r="E430" s="3"/>
      <c r="F430" s="3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 ht="12.75" customHeight="1" x14ac:dyDescent="0.2">
      <c r="A431" s="2"/>
      <c r="B431" s="2"/>
      <c r="C431" s="2"/>
      <c r="D431" s="2"/>
      <c r="E431" s="3"/>
      <c r="F431" s="3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 ht="12.75" customHeight="1" x14ac:dyDescent="0.2">
      <c r="A432" s="2"/>
      <c r="B432" s="2"/>
      <c r="C432" s="2"/>
      <c r="D432" s="2"/>
      <c r="E432" s="3"/>
      <c r="F432" s="3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 ht="12.75" customHeight="1" x14ac:dyDescent="0.2">
      <c r="A433" s="2"/>
      <c r="B433" s="2"/>
      <c r="C433" s="2"/>
      <c r="D433" s="2"/>
      <c r="E433" s="3"/>
      <c r="F433" s="3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 ht="12.75" customHeight="1" x14ac:dyDescent="0.2">
      <c r="A434" s="2"/>
      <c r="B434" s="2"/>
      <c r="C434" s="2"/>
      <c r="D434" s="2"/>
      <c r="E434" s="3"/>
      <c r="F434" s="3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 ht="12.75" customHeight="1" x14ac:dyDescent="0.2">
      <c r="A435" s="2"/>
      <c r="B435" s="2"/>
      <c r="C435" s="2"/>
      <c r="D435" s="2"/>
      <c r="E435" s="3"/>
      <c r="F435" s="3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 ht="12.75" customHeight="1" x14ac:dyDescent="0.2">
      <c r="A436" s="2"/>
      <c r="B436" s="2"/>
      <c r="C436" s="2"/>
      <c r="D436" s="2"/>
      <c r="E436" s="3"/>
      <c r="F436" s="3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 ht="12.75" customHeight="1" x14ac:dyDescent="0.2">
      <c r="A437" s="2"/>
      <c r="B437" s="2"/>
      <c r="C437" s="2"/>
      <c r="D437" s="2"/>
      <c r="E437" s="3"/>
      <c r="F437" s="3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 ht="12.75" customHeight="1" x14ac:dyDescent="0.2">
      <c r="A438" s="2"/>
      <c r="B438" s="2"/>
      <c r="C438" s="2"/>
      <c r="D438" s="2"/>
      <c r="E438" s="3"/>
      <c r="F438" s="3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 ht="12.75" customHeight="1" x14ac:dyDescent="0.2">
      <c r="A439" s="2"/>
      <c r="B439" s="2"/>
      <c r="C439" s="2"/>
      <c r="D439" s="2"/>
      <c r="E439" s="3"/>
      <c r="F439" s="3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 ht="12.75" customHeight="1" x14ac:dyDescent="0.2">
      <c r="A440" s="2"/>
      <c r="B440" s="2"/>
      <c r="C440" s="2"/>
      <c r="D440" s="2"/>
      <c r="E440" s="3"/>
      <c r="F440" s="3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 ht="12.75" customHeight="1" x14ac:dyDescent="0.2">
      <c r="A441" s="2"/>
      <c r="B441" s="2"/>
      <c r="C441" s="2"/>
      <c r="D441" s="2"/>
      <c r="E441" s="3"/>
      <c r="F441" s="3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 ht="12.75" customHeight="1" x14ac:dyDescent="0.2">
      <c r="A442" s="2"/>
      <c r="B442" s="2"/>
      <c r="C442" s="2"/>
      <c r="D442" s="2"/>
      <c r="E442" s="3"/>
      <c r="F442" s="3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 ht="12.75" customHeight="1" x14ac:dyDescent="0.2">
      <c r="A443" s="2"/>
      <c r="B443" s="2"/>
      <c r="C443" s="2"/>
      <c r="D443" s="2"/>
      <c r="E443" s="3"/>
      <c r="F443" s="3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 ht="12.75" customHeight="1" x14ac:dyDescent="0.2">
      <c r="A444" s="2"/>
      <c r="B444" s="2"/>
      <c r="C444" s="2"/>
      <c r="D444" s="2"/>
      <c r="E444" s="3"/>
      <c r="F444" s="3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 ht="12.75" customHeight="1" x14ac:dyDescent="0.2">
      <c r="A445" s="2"/>
      <c r="B445" s="2"/>
      <c r="C445" s="2"/>
      <c r="D445" s="2"/>
      <c r="E445" s="3"/>
      <c r="F445" s="3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 ht="12.75" customHeight="1" x14ac:dyDescent="0.2">
      <c r="A446" s="2"/>
      <c r="B446" s="2"/>
      <c r="C446" s="2"/>
      <c r="D446" s="2"/>
      <c r="E446" s="3"/>
      <c r="F446" s="3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 ht="12.75" customHeight="1" x14ac:dyDescent="0.2">
      <c r="A447" s="2"/>
      <c r="B447" s="2"/>
      <c r="C447" s="2"/>
      <c r="D447" s="2"/>
      <c r="E447" s="3"/>
      <c r="F447" s="3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 ht="12.75" customHeight="1" x14ac:dyDescent="0.2">
      <c r="A448" s="2"/>
      <c r="B448" s="2"/>
      <c r="C448" s="2"/>
      <c r="D448" s="2"/>
      <c r="E448" s="3"/>
      <c r="F448" s="3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 ht="12.75" customHeight="1" x14ac:dyDescent="0.2">
      <c r="A449" s="2"/>
      <c r="B449" s="2"/>
      <c r="C449" s="2"/>
      <c r="D449" s="2"/>
      <c r="E449" s="3"/>
      <c r="F449" s="3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 ht="12.75" customHeight="1" x14ac:dyDescent="0.2">
      <c r="A450" s="2"/>
      <c r="B450" s="2"/>
      <c r="C450" s="2"/>
      <c r="D450" s="2"/>
      <c r="E450" s="3"/>
      <c r="F450" s="3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 ht="12.75" customHeight="1" x14ac:dyDescent="0.2">
      <c r="A451" s="2"/>
      <c r="B451" s="2"/>
      <c r="C451" s="2"/>
      <c r="D451" s="2"/>
      <c r="E451" s="3"/>
      <c r="F451" s="3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 ht="12.75" customHeight="1" x14ac:dyDescent="0.2">
      <c r="A452" s="2"/>
      <c r="B452" s="2"/>
      <c r="C452" s="2"/>
      <c r="D452" s="2"/>
      <c r="E452" s="3"/>
      <c r="F452" s="3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 ht="12.75" customHeight="1" x14ac:dyDescent="0.2">
      <c r="A453" s="2"/>
      <c r="B453" s="2"/>
      <c r="C453" s="2"/>
      <c r="D453" s="2"/>
      <c r="E453" s="3"/>
      <c r="F453" s="3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 ht="12.75" customHeight="1" x14ac:dyDescent="0.2">
      <c r="A454" s="2"/>
      <c r="B454" s="2"/>
      <c r="C454" s="2"/>
      <c r="D454" s="2"/>
      <c r="E454" s="3"/>
      <c r="F454" s="3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 ht="12.75" customHeight="1" x14ac:dyDescent="0.2">
      <c r="A455" s="2"/>
      <c r="B455" s="2"/>
      <c r="C455" s="2"/>
      <c r="D455" s="2"/>
      <c r="E455" s="3"/>
      <c r="F455" s="3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 ht="12.75" customHeight="1" x14ac:dyDescent="0.2">
      <c r="A456" s="2"/>
      <c r="B456" s="2"/>
      <c r="C456" s="2"/>
      <c r="D456" s="2"/>
      <c r="E456" s="3"/>
      <c r="F456" s="3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 ht="12.75" customHeight="1" x14ac:dyDescent="0.2">
      <c r="A457" s="2"/>
      <c r="B457" s="2"/>
      <c r="C457" s="2"/>
      <c r="D457" s="2"/>
      <c r="E457" s="3"/>
      <c r="F457" s="3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 ht="12.75" customHeight="1" x14ac:dyDescent="0.2">
      <c r="A458" s="2"/>
      <c r="B458" s="2"/>
      <c r="C458" s="2"/>
      <c r="D458" s="2"/>
      <c r="E458" s="3"/>
      <c r="F458" s="3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 ht="12.75" customHeight="1" x14ac:dyDescent="0.2">
      <c r="A459" s="2"/>
      <c r="B459" s="2"/>
      <c r="C459" s="2"/>
      <c r="D459" s="2"/>
      <c r="E459" s="3"/>
      <c r="F459" s="3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 ht="12.75" customHeight="1" x14ac:dyDescent="0.2">
      <c r="A460" s="2"/>
      <c r="B460" s="2"/>
      <c r="C460" s="2"/>
      <c r="D460" s="2"/>
      <c r="E460" s="3"/>
      <c r="F460" s="3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 ht="12.75" customHeight="1" x14ac:dyDescent="0.2">
      <c r="A461" s="2"/>
      <c r="B461" s="2"/>
      <c r="C461" s="2"/>
      <c r="D461" s="2"/>
      <c r="E461" s="3"/>
      <c r="F461" s="3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 ht="12.75" customHeight="1" x14ac:dyDescent="0.2">
      <c r="A462" s="2"/>
      <c r="B462" s="2"/>
      <c r="C462" s="2"/>
      <c r="D462" s="2"/>
      <c r="E462" s="3"/>
      <c r="F462" s="3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 ht="12.75" customHeight="1" x14ac:dyDescent="0.2">
      <c r="A463" s="2"/>
      <c r="B463" s="2"/>
      <c r="C463" s="2"/>
      <c r="D463" s="2"/>
      <c r="E463" s="3"/>
      <c r="F463" s="3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 ht="12.75" customHeight="1" x14ac:dyDescent="0.2">
      <c r="A464" s="2"/>
      <c r="B464" s="2"/>
      <c r="C464" s="2"/>
      <c r="D464" s="2"/>
      <c r="E464" s="3"/>
      <c r="F464" s="3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 ht="12.75" customHeight="1" x14ac:dyDescent="0.2">
      <c r="A465" s="2"/>
      <c r="B465" s="2"/>
      <c r="C465" s="2"/>
      <c r="D465" s="2"/>
      <c r="E465" s="3"/>
      <c r="F465" s="3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 ht="12.75" customHeight="1" x14ac:dyDescent="0.2">
      <c r="A466" s="2"/>
      <c r="B466" s="2"/>
      <c r="C466" s="2"/>
      <c r="D466" s="2"/>
      <c r="E466" s="3"/>
      <c r="F466" s="3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 ht="12.75" customHeight="1" x14ac:dyDescent="0.2">
      <c r="A467" s="2"/>
      <c r="B467" s="2"/>
      <c r="C467" s="2"/>
      <c r="D467" s="2"/>
      <c r="E467" s="3"/>
      <c r="F467" s="3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 ht="12.75" customHeight="1" x14ac:dyDescent="0.2">
      <c r="A468" s="2"/>
      <c r="B468" s="2"/>
      <c r="C468" s="2"/>
      <c r="D468" s="2"/>
      <c r="E468" s="3"/>
      <c r="F468" s="3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 ht="12.75" customHeight="1" x14ac:dyDescent="0.2">
      <c r="A469" s="2"/>
      <c r="B469" s="2"/>
      <c r="C469" s="2"/>
      <c r="D469" s="2"/>
      <c r="E469" s="3"/>
      <c r="F469" s="3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 ht="12.75" customHeight="1" x14ac:dyDescent="0.2">
      <c r="A470" s="2"/>
      <c r="B470" s="2"/>
      <c r="C470" s="2"/>
      <c r="D470" s="2"/>
      <c r="E470" s="3"/>
      <c r="F470" s="3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 ht="12.75" customHeight="1" x14ac:dyDescent="0.2">
      <c r="A471" s="2"/>
      <c r="B471" s="2"/>
      <c r="C471" s="2"/>
      <c r="D471" s="2"/>
      <c r="E471" s="3"/>
      <c r="F471" s="3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 ht="12.75" customHeight="1" x14ac:dyDescent="0.2">
      <c r="A472" s="2"/>
      <c r="B472" s="2"/>
      <c r="C472" s="2"/>
      <c r="D472" s="2"/>
      <c r="E472" s="3"/>
      <c r="F472" s="3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 ht="12.75" customHeight="1" x14ac:dyDescent="0.2">
      <c r="A473" s="2"/>
      <c r="B473" s="2"/>
      <c r="C473" s="2"/>
      <c r="D473" s="2"/>
      <c r="E473" s="3"/>
      <c r="F473" s="3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 ht="12.75" customHeight="1" x14ac:dyDescent="0.2">
      <c r="A474" s="2"/>
      <c r="B474" s="2"/>
      <c r="C474" s="2"/>
      <c r="D474" s="2"/>
      <c r="E474" s="3"/>
      <c r="F474" s="3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 ht="12.75" customHeight="1" x14ac:dyDescent="0.2">
      <c r="A475" s="2"/>
      <c r="B475" s="2"/>
      <c r="C475" s="2"/>
      <c r="D475" s="2"/>
      <c r="E475" s="3"/>
      <c r="F475" s="3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 ht="12.75" customHeight="1" x14ac:dyDescent="0.2">
      <c r="A476" s="2"/>
      <c r="B476" s="2"/>
      <c r="C476" s="2"/>
      <c r="D476" s="2"/>
      <c r="E476" s="3"/>
      <c r="F476" s="3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 ht="12.75" customHeight="1" x14ac:dyDescent="0.2">
      <c r="A477" s="2"/>
      <c r="B477" s="2"/>
      <c r="C477" s="2"/>
      <c r="D477" s="2"/>
      <c r="E477" s="3"/>
      <c r="F477" s="3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 ht="12.75" customHeight="1" x14ac:dyDescent="0.2">
      <c r="A478" s="2"/>
      <c r="B478" s="2"/>
      <c r="C478" s="2"/>
      <c r="D478" s="2"/>
      <c r="E478" s="3"/>
      <c r="F478" s="3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 ht="12.75" customHeight="1" x14ac:dyDescent="0.2">
      <c r="A479" s="2"/>
      <c r="B479" s="2"/>
      <c r="C479" s="2"/>
      <c r="D479" s="2"/>
      <c r="E479" s="3"/>
      <c r="F479" s="3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 ht="12.75" customHeight="1" x14ac:dyDescent="0.2">
      <c r="A480" s="2"/>
      <c r="B480" s="2"/>
      <c r="C480" s="2"/>
      <c r="D480" s="2"/>
      <c r="E480" s="3"/>
      <c r="F480" s="3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 ht="12.75" customHeight="1" x14ac:dyDescent="0.2">
      <c r="A481" s="2"/>
      <c r="B481" s="2"/>
      <c r="C481" s="2"/>
      <c r="D481" s="2"/>
      <c r="E481" s="3"/>
      <c r="F481" s="3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 ht="12.75" customHeight="1" x14ac:dyDescent="0.2">
      <c r="A482" s="2"/>
      <c r="B482" s="2"/>
      <c r="C482" s="2"/>
      <c r="D482" s="2"/>
      <c r="E482" s="3"/>
      <c r="F482" s="3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 ht="12.75" customHeight="1" x14ac:dyDescent="0.2">
      <c r="A483" s="2"/>
      <c r="B483" s="2"/>
      <c r="C483" s="2"/>
      <c r="D483" s="2"/>
      <c r="E483" s="3"/>
      <c r="F483" s="3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 ht="12.75" customHeight="1" x14ac:dyDescent="0.2">
      <c r="A484" s="2"/>
      <c r="B484" s="2"/>
      <c r="C484" s="2"/>
      <c r="D484" s="2"/>
      <c r="E484" s="3"/>
      <c r="F484" s="3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 ht="12.75" customHeight="1" x14ac:dyDescent="0.2">
      <c r="A485" s="2"/>
      <c r="B485" s="2"/>
      <c r="C485" s="2"/>
      <c r="D485" s="2"/>
      <c r="E485" s="3"/>
      <c r="F485" s="3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 ht="12.75" customHeight="1" x14ac:dyDescent="0.2">
      <c r="A486" s="2"/>
      <c r="B486" s="2"/>
      <c r="C486" s="2"/>
      <c r="D486" s="2"/>
      <c r="E486" s="3"/>
      <c r="F486" s="3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 ht="12.75" customHeight="1" x14ac:dyDescent="0.2">
      <c r="A487" s="2"/>
      <c r="B487" s="2"/>
      <c r="C487" s="2"/>
      <c r="D487" s="2"/>
      <c r="E487" s="3"/>
      <c r="F487" s="3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 ht="12.75" customHeight="1" x14ac:dyDescent="0.2">
      <c r="A488" s="2"/>
      <c r="B488" s="2"/>
      <c r="C488" s="2"/>
      <c r="D488" s="2"/>
      <c r="E488" s="3"/>
      <c r="F488" s="3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 ht="12.75" customHeight="1" x14ac:dyDescent="0.2">
      <c r="A489" s="2"/>
      <c r="B489" s="2"/>
      <c r="C489" s="2"/>
      <c r="D489" s="2"/>
      <c r="E489" s="3"/>
      <c r="F489" s="3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 ht="12.75" customHeight="1" x14ac:dyDescent="0.2">
      <c r="A490" s="2"/>
      <c r="B490" s="2"/>
      <c r="C490" s="2"/>
      <c r="D490" s="2"/>
      <c r="E490" s="3"/>
      <c r="F490" s="3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 ht="12.75" customHeight="1" x14ac:dyDescent="0.2">
      <c r="A491" s="2"/>
      <c r="B491" s="2"/>
      <c r="C491" s="2"/>
      <c r="D491" s="2"/>
      <c r="E491" s="3"/>
      <c r="F491" s="3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 ht="12.75" customHeight="1" x14ac:dyDescent="0.2">
      <c r="A492" s="2"/>
      <c r="B492" s="2"/>
      <c r="C492" s="2"/>
      <c r="D492" s="2"/>
      <c r="E492" s="3"/>
      <c r="F492" s="3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 ht="12.75" customHeight="1" x14ac:dyDescent="0.2">
      <c r="A493" s="2"/>
      <c r="B493" s="2"/>
      <c r="C493" s="2"/>
      <c r="D493" s="2"/>
      <c r="E493" s="3"/>
      <c r="F493" s="3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 ht="12.75" customHeight="1" x14ac:dyDescent="0.2">
      <c r="A494" s="2"/>
      <c r="B494" s="2"/>
      <c r="C494" s="2"/>
      <c r="D494" s="2"/>
      <c r="E494" s="3"/>
      <c r="F494" s="3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 ht="12.75" customHeight="1" x14ac:dyDescent="0.2">
      <c r="A495" s="2"/>
      <c r="B495" s="2"/>
      <c r="C495" s="2"/>
      <c r="D495" s="2"/>
      <c r="E495" s="3"/>
      <c r="F495" s="3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 ht="12.75" customHeight="1" x14ac:dyDescent="0.2">
      <c r="A496" s="2"/>
      <c r="B496" s="2"/>
      <c r="C496" s="2"/>
      <c r="D496" s="2"/>
      <c r="E496" s="3"/>
      <c r="F496" s="3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 ht="12.75" customHeight="1" x14ac:dyDescent="0.2">
      <c r="A497" s="2"/>
      <c r="B497" s="2"/>
      <c r="C497" s="2"/>
      <c r="D497" s="2"/>
      <c r="E497" s="3"/>
      <c r="F497" s="3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 ht="12.75" customHeight="1" x14ac:dyDescent="0.2">
      <c r="A498" s="2"/>
      <c r="B498" s="2"/>
      <c r="C498" s="2"/>
      <c r="D498" s="2"/>
      <c r="E498" s="3"/>
      <c r="F498" s="3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 ht="12.75" customHeight="1" x14ac:dyDescent="0.2">
      <c r="A499" s="2"/>
      <c r="B499" s="2"/>
      <c r="C499" s="2"/>
      <c r="D499" s="2"/>
      <c r="E499" s="3"/>
      <c r="F499" s="3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 ht="12.75" customHeight="1" x14ac:dyDescent="0.2">
      <c r="A500" s="2"/>
      <c r="B500" s="2"/>
      <c r="C500" s="2"/>
      <c r="D500" s="2"/>
      <c r="E500" s="3"/>
      <c r="F500" s="3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 ht="12.75" customHeight="1" x14ac:dyDescent="0.2">
      <c r="A501" s="2"/>
      <c r="B501" s="2"/>
      <c r="C501" s="2"/>
      <c r="D501" s="2"/>
      <c r="E501" s="3"/>
      <c r="F501" s="3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 ht="12.75" customHeight="1" x14ac:dyDescent="0.2">
      <c r="A502" s="2"/>
      <c r="B502" s="2"/>
      <c r="C502" s="2"/>
      <c r="D502" s="2"/>
      <c r="E502" s="3"/>
      <c r="F502" s="3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 ht="12.75" customHeight="1" x14ac:dyDescent="0.2">
      <c r="A503" s="2"/>
      <c r="B503" s="2"/>
      <c r="C503" s="2"/>
      <c r="D503" s="2"/>
      <c r="E503" s="3"/>
      <c r="F503" s="3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 ht="12.75" customHeight="1" x14ac:dyDescent="0.2">
      <c r="A504" s="2"/>
      <c r="B504" s="2"/>
      <c r="C504" s="2"/>
      <c r="D504" s="2"/>
      <c r="E504" s="3"/>
      <c r="F504" s="3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 ht="12.75" customHeight="1" x14ac:dyDescent="0.2">
      <c r="A505" s="2"/>
      <c r="B505" s="2"/>
      <c r="C505" s="2"/>
      <c r="D505" s="2"/>
      <c r="E505" s="3"/>
      <c r="F505" s="3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 ht="12.75" customHeight="1" x14ac:dyDescent="0.2">
      <c r="A506" s="2"/>
      <c r="B506" s="2"/>
      <c r="C506" s="2"/>
      <c r="D506" s="2"/>
      <c r="E506" s="3"/>
      <c r="F506" s="3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 ht="12.75" customHeight="1" x14ac:dyDescent="0.2">
      <c r="A507" s="2"/>
      <c r="B507" s="2"/>
      <c r="C507" s="2"/>
      <c r="D507" s="2"/>
      <c r="E507" s="3"/>
      <c r="F507" s="3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 ht="12.75" customHeight="1" x14ac:dyDescent="0.2">
      <c r="A508" s="2"/>
      <c r="B508" s="2"/>
      <c r="C508" s="2"/>
      <c r="D508" s="2"/>
      <c r="E508" s="3"/>
      <c r="F508" s="3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 ht="12.75" customHeight="1" x14ac:dyDescent="0.2">
      <c r="A509" s="2"/>
      <c r="B509" s="2"/>
      <c r="C509" s="2"/>
      <c r="D509" s="2"/>
      <c r="E509" s="3"/>
      <c r="F509" s="3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 ht="12.75" customHeight="1" x14ac:dyDescent="0.2">
      <c r="A510" s="2"/>
      <c r="B510" s="2"/>
      <c r="C510" s="2"/>
      <c r="D510" s="2"/>
      <c r="E510" s="3"/>
      <c r="F510" s="3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 ht="12.75" customHeight="1" x14ac:dyDescent="0.2">
      <c r="A511" s="2"/>
      <c r="B511" s="2"/>
      <c r="C511" s="2"/>
      <c r="D511" s="2"/>
      <c r="E511" s="3"/>
      <c r="F511" s="3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 ht="12.75" customHeight="1" x14ac:dyDescent="0.2">
      <c r="A512" s="2"/>
      <c r="B512" s="2"/>
      <c r="C512" s="2"/>
      <c r="D512" s="2"/>
      <c r="E512" s="3"/>
      <c r="F512" s="3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 ht="12.75" customHeight="1" x14ac:dyDescent="0.2">
      <c r="A513" s="2"/>
      <c r="B513" s="2"/>
      <c r="C513" s="2"/>
      <c r="D513" s="2"/>
      <c r="E513" s="3"/>
      <c r="F513" s="3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 ht="12.75" customHeight="1" x14ac:dyDescent="0.2">
      <c r="A514" s="2"/>
      <c r="B514" s="2"/>
      <c r="C514" s="2"/>
      <c r="D514" s="2"/>
      <c r="E514" s="3"/>
      <c r="F514" s="3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 ht="12.75" customHeight="1" x14ac:dyDescent="0.2">
      <c r="A515" s="2"/>
      <c r="B515" s="2"/>
      <c r="C515" s="2"/>
      <c r="D515" s="2"/>
      <c r="E515" s="3"/>
      <c r="F515" s="3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 ht="12.75" customHeight="1" x14ac:dyDescent="0.2">
      <c r="A516" s="2"/>
      <c r="B516" s="2"/>
      <c r="C516" s="2"/>
      <c r="D516" s="2"/>
      <c r="E516" s="3"/>
      <c r="F516" s="3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 ht="12.75" customHeight="1" x14ac:dyDescent="0.2">
      <c r="A517" s="2"/>
      <c r="B517" s="2"/>
      <c r="C517" s="2"/>
      <c r="D517" s="2"/>
      <c r="E517" s="3"/>
      <c r="F517" s="3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 ht="12.75" customHeight="1" x14ac:dyDescent="0.2">
      <c r="A518" s="2"/>
      <c r="B518" s="2"/>
      <c r="C518" s="2"/>
      <c r="D518" s="2"/>
      <c r="E518" s="3"/>
      <c r="F518" s="3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 ht="12.75" customHeight="1" x14ac:dyDescent="0.2">
      <c r="A519" s="2"/>
      <c r="B519" s="2"/>
      <c r="C519" s="2"/>
      <c r="D519" s="2"/>
      <c r="E519" s="3"/>
      <c r="F519" s="3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 ht="12.75" customHeight="1" x14ac:dyDescent="0.2">
      <c r="A520" s="2"/>
      <c r="B520" s="2"/>
      <c r="C520" s="2"/>
      <c r="D520" s="2"/>
      <c r="E520" s="3"/>
      <c r="F520" s="3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 ht="12.75" customHeight="1" x14ac:dyDescent="0.2">
      <c r="A521" s="2"/>
      <c r="B521" s="2"/>
      <c r="C521" s="2"/>
      <c r="D521" s="2"/>
      <c r="E521" s="3"/>
      <c r="F521" s="3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 ht="12.75" customHeight="1" x14ac:dyDescent="0.2">
      <c r="A522" s="2"/>
      <c r="B522" s="2"/>
      <c r="C522" s="2"/>
      <c r="D522" s="2"/>
      <c r="E522" s="3"/>
      <c r="F522" s="3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 ht="12.75" customHeight="1" x14ac:dyDescent="0.2">
      <c r="A523" s="2"/>
      <c r="B523" s="2"/>
      <c r="C523" s="2"/>
      <c r="D523" s="2"/>
      <c r="E523" s="3"/>
      <c r="F523" s="3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 ht="12.75" customHeight="1" x14ac:dyDescent="0.2">
      <c r="A524" s="2"/>
      <c r="B524" s="2"/>
      <c r="C524" s="2"/>
      <c r="D524" s="2"/>
      <c r="E524" s="3"/>
      <c r="F524" s="3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 ht="12.75" customHeight="1" x14ac:dyDescent="0.2">
      <c r="A525" s="2"/>
      <c r="B525" s="2"/>
      <c r="C525" s="2"/>
      <c r="D525" s="2"/>
      <c r="E525" s="3"/>
      <c r="F525" s="3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 ht="12.75" customHeight="1" x14ac:dyDescent="0.2">
      <c r="A526" s="2"/>
      <c r="B526" s="2"/>
      <c r="C526" s="2"/>
      <c r="D526" s="2"/>
      <c r="E526" s="3"/>
      <c r="F526" s="3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 ht="12.75" customHeight="1" x14ac:dyDescent="0.2">
      <c r="A527" s="2"/>
      <c r="B527" s="2"/>
      <c r="C527" s="2"/>
      <c r="D527" s="2"/>
      <c r="E527" s="3"/>
      <c r="F527" s="3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 ht="12.75" customHeight="1" x14ac:dyDescent="0.2">
      <c r="A528" s="2"/>
      <c r="B528" s="2"/>
      <c r="C528" s="2"/>
      <c r="D528" s="2"/>
      <c r="E528" s="3"/>
      <c r="F528" s="3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 ht="12.75" customHeight="1" x14ac:dyDescent="0.2">
      <c r="A529" s="2"/>
      <c r="B529" s="2"/>
      <c r="C529" s="2"/>
      <c r="D529" s="2"/>
      <c r="E529" s="3"/>
      <c r="F529" s="3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 ht="12.75" customHeight="1" x14ac:dyDescent="0.2">
      <c r="A530" s="2"/>
      <c r="B530" s="2"/>
      <c r="C530" s="2"/>
      <c r="D530" s="2"/>
      <c r="E530" s="3"/>
      <c r="F530" s="3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 ht="12.75" customHeight="1" x14ac:dyDescent="0.2">
      <c r="A531" s="2"/>
      <c r="B531" s="2"/>
      <c r="C531" s="2"/>
      <c r="D531" s="2"/>
      <c r="E531" s="3"/>
      <c r="F531" s="3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 ht="12.75" customHeight="1" x14ac:dyDescent="0.2">
      <c r="A532" s="2"/>
      <c r="B532" s="2"/>
      <c r="C532" s="2"/>
      <c r="D532" s="2"/>
      <c r="E532" s="3"/>
      <c r="F532" s="3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 ht="12.75" customHeight="1" x14ac:dyDescent="0.2">
      <c r="A533" s="2"/>
      <c r="B533" s="2"/>
      <c r="C533" s="2"/>
      <c r="D533" s="2"/>
      <c r="E533" s="3"/>
      <c r="F533" s="3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 ht="12.75" customHeight="1" x14ac:dyDescent="0.2">
      <c r="A534" s="2"/>
      <c r="B534" s="2"/>
      <c r="C534" s="2"/>
      <c r="D534" s="2"/>
      <c r="E534" s="3"/>
      <c r="F534" s="3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 ht="12.75" customHeight="1" x14ac:dyDescent="0.2">
      <c r="A535" s="2"/>
      <c r="B535" s="2"/>
      <c r="C535" s="2"/>
      <c r="D535" s="2"/>
      <c r="E535" s="3"/>
      <c r="F535" s="3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 ht="12.75" customHeight="1" x14ac:dyDescent="0.2">
      <c r="A536" s="2"/>
      <c r="B536" s="2"/>
      <c r="C536" s="2"/>
      <c r="D536" s="2"/>
      <c r="E536" s="3"/>
      <c r="F536" s="3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 ht="12.75" customHeight="1" x14ac:dyDescent="0.2">
      <c r="A537" s="2"/>
      <c r="B537" s="2"/>
      <c r="C537" s="2"/>
      <c r="D537" s="2"/>
      <c r="E537" s="3"/>
      <c r="F537" s="3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 ht="12.75" customHeight="1" x14ac:dyDescent="0.2">
      <c r="A538" s="2"/>
      <c r="B538" s="2"/>
      <c r="C538" s="2"/>
      <c r="D538" s="2"/>
      <c r="E538" s="3"/>
      <c r="F538" s="3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 ht="12.75" customHeight="1" x14ac:dyDescent="0.2">
      <c r="A539" s="2"/>
      <c r="B539" s="2"/>
      <c r="C539" s="2"/>
      <c r="D539" s="2"/>
      <c r="E539" s="3"/>
      <c r="F539" s="3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 ht="12.75" customHeight="1" x14ac:dyDescent="0.2">
      <c r="A540" s="2"/>
      <c r="B540" s="2"/>
      <c r="C540" s="2"/>
      <c r="D540" s="2"/>
      <c r="E540" s="3"/>
      <c r="F540" s="3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 ht="12.75" customHeight="1" x14ac:dyDescent="0.2">
      <c r="A541" s="2"/>
      <c r="B541" s="2"/>
      <c r="C541" s="2"/>
      <c r="D541" s="2"/>
      <c r="E541" s="3"/>
      <c r="F541" s="3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 ht="12.75" customHeight="1" x14ac:dyDescent="0.2">
      <c r="A542" s="2"/>
      <c r="B542" s="2"/>
      <c r="C542" s="2"/>
      <c r="D542" s="2"/>
      <c r="E542" s="3"/>
      <c r="F542" s="3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 ht="12.75" customHeight="1" x14ac:dyDescent="0.2">
      <c r="A543" s="2"/>
      <c r="B543" s="2"/>
      <c r="C543" s="2"/>
      <c r="D543" s="2"/>
      <c r="E543" s="3"/>
      <c r="F543" s="3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 ht="12.75" customHeight="1" x14ac:dyDescent="0.2">
      <c r="A544" s="2"/>
      <c r="B544" s="2"/>
      <c r="C544" s="2"/>
      <c r="D544" s="2"/>
      <c r="E544" s="3"/>
      <c r="F544" s="3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 ht="12.75" customHeight="1" x14ac:dyDescent="0.2">
      <c r="A545" s="2"/>
      <c r="B545" s="2"/>
      <c r="C545" s="2"/>
      <c r="D545" s="2"/>
      <c r="E545" s="3"/>
      <c r="F545" s="3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 ht="12.75" customHeight="1" x14ac:dyDescent="0.2">
      <c r="A546" s="2"/>
      <c r="B546" s="2"/>
      <c r="C546" s="2"/>
      <c r="D546" s="2"/>
      <c r="E546" s="3"/>
      <c r="F546" s="3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 ht="12.75" customHeight="1" x14ac:dyDescent="0.2">
      <c r="A547" s="2"/>
      <c r="B547" s="2"/>
      <c r="C547" s="2"/>
      <c r="D547" s="2"/>
      <c r="E547" s="3"/>
      <c r="F547" s="3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 ht="12.75" customHeight="1" x14ac:dyDescent="0.2">
      <c r="A548" s="2"/>
      <c r="B548" s="2"/>
      <c r="C548" s="2"/>
      <c r="D548" s="2"/>
      <c r="E548" s="3"/>
      <c r="F548" s="3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 ht="12.75" customHeight="1" x14ac:dyDescent="0.2">
      <c r="A549" s="2"/>
      <c r="B549" s="2"/>
      <c r="C549" s="2"/>
      <c r="D549" s="2"/>
      <c r="E549" s="3"/>
      <c r="F549" s="3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 ht="12.75" customHeight="1" x14ac:dyDescent="0.2">
      <c r="A550" s="2"/>
      <c r="B550" s="2"/>
      <c r="C550" s="2"/>
      <c r="D550" s="2"/>
      <c r="E550" s="3"/>
      <c r="F550" s="3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 ht="12.75" customHeight="1" x14ac:dyDescent="0.2">
      <c r="A551" s="2"/>
      <c r="B551" s="2"/>
      <c r="C551" s="2"/>
      <c r="D551" s="2"/>
      <c r="E551" s="3"/>
      <c r="F551" s="3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 ht="12.75" customHeight="1" x14ac:dyDescent="0.2">
      <c r="A552" s="2"/>
      <c r="B552" s="2"/>
      <c r="C552" s="2"/>
      <c r="D552" s="2"/>
      <c r="E552" s="3"/>
      <c r="F552" s="3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 ht="12.75" customHeight="1" x14ac:dyDescent="0.2">
      <c r="A553" s="2"/>
      <c r="B553" s="2"/>
      <c r="C553" s="2"/>
      <c r="D553" s="2"/>
      <c r="E553" s="3"/>
      <c r="F553" s="3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 ht="12.75" customHeight="1" x14ac:dyDescent="0.2">
      <c r="A554" s="2"/>
      <c r="B554" s="2"/>
      <c r="C554" s="2"/>
      <c r="D554" s="2"/>
      <c r="E554" s="3"/>
      <c r="F554" s="3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 ht="12.75" customHeight="1" x14ac:dyDescent="0.2">
      <c r="A555" s="2"/>
      <c r="B555" s="2"/>
      <c r="C555" s="2"/>
      <c r="D555" s="2"/>
      <c r="E555" s="3"/>
      <c r="F555" s="3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 ht="12.75" customHeight="1" x14ac:dyDescent="0.2">
      <c r="A556" s="2"/>
      <c r="B556" s="2"/>
      <c r="C556" s="2"/>
      <c r="D556" s="2"/>
      <c r="E556" s="3"/>
      <c r="F556" s="3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 ht="12.75" customHeight="1" x14ac:dyDescent="0.2">
      <c r="A557" s="2"/>
      <c r="B557" s="2"/>
      <c r="C557" s="2"/>
      <c r="D557" s="2"/>
      <c r="E557" s="3"/>
      <c r="F557" s="3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 ht="12.75" customHeight="1" x14ac:dyDescent="0.2">
      <c r="A558" s="2"/>
      <c r="B558" s="2"/>
      <c r="C558" s="2"/>
      <c r="D558" s="2"/>
      <c r="E558" s="3"/>
      <c r="F558" s="3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 ht="12.75" customHeight="1" x14ac:dyDescent="0.2">
      <c r="A559" s="2"/>
      <c r="B559" s="2"/>
      <c r="C559" s="2"/>
      <c r="D559" s="2"/>
      <c r="E559" s="3"/>
      <c r="F559" s="3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 ht="12.75" customHeight="1" x14ac:dyDescent="0.2">
      <c r="A560" s="2"/>
      <c r="B560" s="2"/>
      <c r="C560" s="2"/>
      <c r="D560" s="2"/>
      <c r="E560" s="3"/>
      <c r="F560" s="3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 ht="12.75" customHeight="1" x14ac:dyDescent="0.2">
      <c r="A561" s="2"/>
      <c r="B561" s="2"/>
      <c r="C561" s="2"/>
      <c r="D561" s="2"/>
      <c r="E561" s="3"/>
      <c r="F561" s="3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 ht="12.75" customHeight="1" x14ac:dyDescent="0.2">
      <c r="A562" s="2"/>
      <c r="B562" s="2"/>
      <c r="C562" s="2"/>
      <c r="D562" s="2"/>
      <c r="E562" s="3"/>
      <c r="F562" s="3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 ht="12.75" customHeight="1" x14ac:dyDescent="0.2">
      <c r="A563" s="2"/>
      <c r="B563" s="2"/>
      <c r="C563" s="2"/>
      <c r="D563" s="2"/>
      <c r="E563" s="3"/>
      <c r="F563" s="3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 ht="12.75" customHeight="1" x14ac:dyDescent="0.2">
      <c r="A564" s="2"/>
      <c r="B564" s="2"/>
      <c r="C564" s="2"/>
      <c r="D564" s="2"/>
      <c r="E564" s="3"/>
      <c r="F564" s="3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 ht="12.75" customHeight="1" x14ac:dyDescent="0.2">
      <c r="A565" s="2"/>
      <c r="B565" s="2"/>
      <c r="C565" s="2"/>
      <c r="D565" s="2"/>
      <c r="E565" s="3"/>
      <c r="F565" s="3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 ht="12.75" customHeight="1" x14ac:dyDescent="0.2">
      <c r="A566" s="2"/>
      <c r="B566" s="2"/>
      <c r="C566" s="2"/>
      <c r="D566" s="2"/>
      <c r="E566" s="3"/>
      <c r="F566" s="3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 ht="12.75" customHeight="1" x14ac:dyDescent="0.2">
      <c r="A567" s="2"/>
      <c r="B567" s="2"/>
      <c r="C567" s="2"/>
      <c r="D567" s="2"/>
      <c r="E567" s="3"/>
      <c r="F567" s="3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 ht="12.75" customHeight="1" x14ac:dyDescent="0.2">
      <c r="A568" s="2"/>
      <c r="B568" s="2"/>
      <c r="C568" s="2"/>
      <c r="D568" s="2"/>
      <c r="E568" s="3"/>
      <c r="F568" s="3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 ht="12.75" customHeight="1" x14ac:dyDescent="0.2">
      <c r="A569" s="2"/>
      <c r="B569" s="2"/>
      <c r="C569" s="2"/>
      <c r="D569" s="2"/>
      <c r="E569" s="3"/>
      <c r="F569" s="3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 ht="12.75" customHeight="1" x14ac:dyDescent="0.2">
      <c r="A570" s="2"/>
      <c r="B570" s="2"/>
      <c r="C570" s="2"/>
      <c r="D570" s="2"/>
      <c r="E570" s="3"/>
      <c r="F570" s="3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 ht="12.75" customHeight="1" x14ac:dyDescent="0.2">
      <c r="A571" s="2"/>
      <c r="B571" s="2"/>
      <c r="C571" s="2"/>
      <c r="D571" s="2"/>
      <c r="E571" s="3"/>
      <c r="F571" s="3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 ht="12.75" customHeight="1" x14ac:dyDescent="0.2">
      <c r="A572" s="2"/>
      <c r="B572" s="2"/>
      <c r="C572" s="2"/>
      <c r="D572" s="2"/>
      <c r="E572" s="3"/>
      <c r="F572" s="3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 ht="12.75" customHeight="1" x14ac:dyDescent="0.2">
      <c r="A573" s="2"/>
      <c r="B573" s="2"/>
      <c r="C573" s="2"/>
      <c r="D573" s="2"/>
      <c r="E573" s="3"/>
      <c r="F573" s="3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 ht="12.75" customHeight="1" x14ac:dyDescent="0.2">
      <c r="A574" s="2"/>
      <c r="B574" s="2"/>
      <c r="C574" s="2"/>
      <c r="D574" s="2"/>
      <c r="E574" s="3"/>
      <c r="F574" s="3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 ht="12.75" customHeight="1" x14ac:dyDescent="0.2">
      <c r="A575" s="2"/>
      <c r="B575" s="2"/>
      <c r="C575" s="2"/>
      <c r="D575" s="2"/>
      <c r="E575" s="3"/>
      <c r="F575" s="3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 ht="12.75" customHeight="1" x14ac:dyDescent="0.2">
      <c r="A576" s="2"/>
      <c r="B576" s="2"/>
      <c r="C576" s="2"/>
      <c r="D576" s="2"/>
      <c r="E576" s="3"/>
      <c r="F576" s="3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 ht="12.75" customHeight="1" x14ac:dyDescent="0.2">
      <c r="A577" s="2"/>
      <c r="B577" s="2"/>
      <c r="C577" s="2"/>
      <c r="D577" s="2"/>
      <c r="E577" s="3"/>
      <c r="F577" s="3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 ht="12.75" customHeight="1" x14ac:dyDescent="0.2">
      <c r="A578" s="2"/>
      <c r="B578" s="2"/>
      <c r="C578" s="2"/>
      <c r="D578" s="2"/>
      <c r="E578" s="3"/>
      <c r="F578" s="3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 ht="12.75" customHeight="1" x14ac:dyDescent="0.2">
      <c r="A579" s="2"/>
      <c r="B579" s="2"/>
      <c r="C579" s="2"/>
      <c r="D579" s="2"/>
      <c r="E579" s="3"/>
      <c r="F579" s="3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 ht="12.75" customHeight="1" x14ac:dyDescent="0.2">
      <c r="A580" s="2"/>
      <c r="B580" s="2"/>
      <c r="C580" s="2"/>
      <c r="D580" s="2"/>
      <c r="E580" s="3"/>
      <c r="F580" s="3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 ht="12.75" customHeight="1" x14ac:dyDescent="0.2">
      <c r="A581" s="2"/>
      <c r="B581" s="2"/>
      <c r="C581" s="2"/>
      <c r="D581" s="2"/>
      <c r="E581" s="3"/>
      <c r="F581" s="3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 ht="12.75" customHeight="1" x14ac:dyDescent="0.2">
      <c r="A582" s="2"/>
      <c r="B582" s="2"/>
      <c r="C582" s="2"/>
      <c r="D582" s="2"/>
      <c r="E582" s="3"/>
      <c r="F582" s="3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 ht="12.75" customHeight="1" x14ac:dyDescent="0.2">
      <c r="A583" s="2"/>
      <c r="B583" s="2"/>
      <c r="C583" s="2"/>
      <c r="D583" s="2"/>
      <c r="E583" s="3"/>
      <c r="F583" s="3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 ht="12.75" customHeight="1" x14ac:dyDescent="0.2">
      <c r="A584" s="2"/>
      <c r="B584" s="2"/>
      <c r="C584" s="2"/>
      <c r="D584" s="2"/>
      <c r="E584" s="3"/>
      <c r="F584" s="3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 ht="12.75" customHeight="1" x14ac:dyDescent="0.2">
      <c r="A585" s="2"/>
      <c r="B585" s="2"/>
      <c r="C585" s="2"/>
      <c r="D585" s="2"/>
      <c r="E585" s="3"/>
      <c r="F585" s="3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 ht="12.75" customHeight="1" x14ac:dyDescent="0.2">
      <c r="A586" s="2"/>
      <c r="B586" s="2"/>
      <c r="C586" s="2"/>
      <c r="D586" s="2"/>
      <c r="E586" s="3"/>
      <c r="F586" s="3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 ht="12.75" customHeight="1" x14ac:dyDescent="0.2">
      <c r="A587" s="2"/>
      <c r="B587" s="2"/>
      <c r="C587" s="2"/>
      <c r="D587" s="2"/>
      <c r="E587" s="3"/>
      <c r="F587" s="3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 ht="12.75" customHeight="1" x14ac:dyDescent="0.2">
      <c r="A588" s="2"/>
      <c r="B588" s="2"/>
      <c r="C588" s="2"/>
      <c r="D588" s="2"/>
      <c r="E588" s="3"/>
      <c r="F588" s="3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 ht="12.75" customHeight="1" x14ac:dyDescent="0.2">
      <c r="A589" s="2"/>
      <c r="B589" s="2"/>
      <c r="C589" s="2"/>
      <c r="D589" s="2"/>
      <c r="E589" s="3"/>
      <c r="F589" s="3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 ht="12.75" customHeight="1" x14ac:dyDescent="0.2">
      <c r="A590" s="2"/>
      <c r="B590" s="2"/>
      <c r="C590" s="2"/>
      <c r="D590" s="2"/>
      <c r="E590" s="3"/>
      <c r="F590" s="3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 ht="12.75" customHeight="1" x14ac:dyDescent="0.2">
      <c r="A591" s="2"/>
      <c r="B591" s="2"/>
      <c r="C591" s="2"/>
      <c r="D591" s="2"/>
      <c r="E591" s="3"/>
      <c r="F591" s="3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 ht="12.75" customHeight="1" x14ac:dyDescent="0.2">
      <c r="A592" s="2"/>
      <c r="B592" s="2"/>
      <c r="C592" s="2"/>
      <c r="D592" s="2"/>
      <c r="E592" s="3"/>
      <c r="F592" s="3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 ht="12.75" customHeight="1" x14ac:dyDescent="0.2">
      <c r="A593" s="2"/>
      <c r="B593" s="2"/>
      <c r="C593" s="2"/>
      <c r="D593" s="2"/>
      <c r="E593" s="3"/>
      <c r="F593" s="3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 ht="12.75" customHeight="1" x14ac:dyDescent="0.2">
      <c r="A594" s="2"/>
      <c r="B594" s="2"/>
      <c r="C594" s="2"/>
      <c r="D594" s="2"/>
      <c r="E594" s="3"/>
      <c r="F594" s="3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 ht="12.75" customHeight="1" x14ac:dyDescent="0.2">
      <c r="A595" s="2"/>
      <c r="B595" s="2"/>
      <c r="C595" s="2"/>
      <c r="D595" s="2"/>
      <c r="E595" s="3"/>
      <c r="F595" s="3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 ht="12.75" customHeight="1" x14ac:dyDescent="0.2">
      <c r="A596" s="2"/>
      <c r="B596" s="2"/>
      <c r="C596" s="2"/>
      <c r="D596" s="2"/>
      <c r="E596" s="3"/>
      <c r="F596" s="3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 ht="12.75" customHeight="1" x14ac:dyDescent="0.2">
      <c r="A597" s="2"/>
      <c r="B597" s="2"/>
      <c r="C597" s="2"/>
      <c r="D597" s="2"/>
      <c r="E597" s="3"/>
      <c r="F597" s="3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 ht="12.75" customHeight="1" x14ac:dyDescent="0.2">
      <c r="A598" s="2"/>
      <c r="B598" s="2"/>
      <c r="C598" s="2"/>
      <c r="D598" s="2"/>
      <c r="E598" s="3"/>
      <c r="F598" s="3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 ht="12.75" customHeight="1" x14ac:dyDescent="0.2">
      <c r="A599" s="2"/>
      <c r="B599" s="2"/>
      <c r="C599" s="2"/>
      <c r="D599" s="2"/>
      <c r="E599" s="3"/>
      <c r="F599" s="3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 ht="12.75" customHeight="1" x14ac:dyDescent="0.2">
      <c r="A600" s="2"/>
      <c r="B600" s="2"/>
      <c r="C600" s="2"/>
      <c r="D600" s="2"/>
      <c r="E600" s="3"/>
      <c r="F600" s="3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 ht="12.75" customHeight="1" x14ac:dyDescent="0.2">
      <c r="A601" s="2"/>
      <c r="B601" s="2"/>
      <c r="C601" s="2"/>
      <c r="D601" s="2"/>
      <c r="E601" s="3"/>
      <c r="F601" s="3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 ht="12.75" customHeight="1" x14ac:dyDescent="0.2">
      <c r="A602" s="2"/>
      <c r="B602" s="2"/>
      <c r="C602" s="2"/>
      <c r="D602" s="2"/>
      <c r="E602" s="3"/>
      <c r="F602" s="3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 ht="12.75" customHeight="1" x14ac:dyDescent="0.2">
      <c r="A603" s="2"/>
      <c r="B603" s="2"/>
      <c r="C603" s="2"/>
      <c r="D603" s="2"/>
      <c r="E603" s="3"/>
      <c r="F603" s="3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 ht="12.75" customHeight="1" x14ac:dyDescent="0.2">
      <c r="A604" s="2"/>
      <c r="B604" s="2"/>
      <c r="C604" s="2"/>
      <c r="D604" s="2"/>
      <c r="E604" s="3"/>
      <c r="F604" s="3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 ht="12.75" customHeight="1" x14ac:dyDescent="0.2">
      <c r="A605" s="2"/>
      <c r="B605" s="2"/>
      <c r="C605" s="2"/>
      <c r="D605" s="2"/>
      <c r="E605" s="3"/>
      <c r="F605" s="3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 ht="12.75" customHeight="1" x14ac:dyDescent="0.2">
      <c r="A606" s="2"/>
      <c r="B606" s="2"/>
      <c r="C606" s="2"/>
      <c r="D606" s="2"/>
      <c r="E606" s="3"/>
      <c r="F606" s="3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 ht="12.75" customHeight="1" x14ac:dyDescent="0.2">
      <c r="A607" s="2"/>
      <c r="B607" s="2"/>
      <c r="C607" s="2"/>
      <c r="D607" s="2"/>
      <c r="E607" s="3"/>
      <c r="F607" s="3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 ht="12.75" customHeight="1" x14ac:dyDescent="0.2">
      <c r="A608" s="2"/>
      <c r="B608" s="2"/>
      <c r="C608" s="2"/>
      <c r="D608" s="2"/>
      <c r="E608" s="3"/>
      <c r="F608" s="3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 ht="12.75" customHeight="1" x14ac:dyDescent="0.2">
      <c r="A609" s="2"/>
      <c r="B609" s="2"/>
      <c r="C609" s="2"/>
      <c r="D609" s="2"/>
      <c r="E609" s="3"/>
      <c r="F609" s="3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 ht="12.75" customHeight="1" x14ac:dyDescent="0.2">
      <c r="A610" s="2"/>
      <c r="B610" s="2"/>
      <c r="C610" s="2"/>
      <c r="D610" s="2"/>
      <c r="E610" s="3"/>
      <c r="F610" s="3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 ht="12.75" customHeight="1" x14ac:dyDescent="0.2">
      <c r="A611" s="2"/>
      <c r="B611" s="2"/>
      <c r="C611" s="2"/>
      <c r="D611" s="2"/>
      <c r="E611" s="3"/>
      <c r="F611" s="3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 ht="12.75" customHeight="1" x14ac:dyDescent="0.2">
      <c r="A612" s="2"/>
      <c r="B612" s="2"/>
      <c r="C612" s="2"/>
      <c r="D612" s="2"/>
      <c r="E612" s="3"/>
      <c r="F612" s="3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 ht="12.75" customHeight="1" x14ac:dyDescent="0.2">
      <c r="A613" s="2"/>
      <c r="B613" s="2"/>
      <c r="C613" s="2"/>
      <c r="D613" s="2"/>
      <c r="E613" s="3"/>
      <c r="F613" s="3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 ht="12.75" customHeight="1" x14ac:dyDescent="0.2">
      <c r="A614" s="2"/>
      <c r="B614" s="2"/>
      <c r="C614" s="2"/>
      <c r="D614" s="2"/>
      <c r="E614" s="3"/>
      <c r="F614" s="3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 ht="12.75" customHeight="1" x14ac:dyDescent="0.2">
      <c r="A615" s="2"/>
      <c r="B615" s="2"/>
      <c r="C615" s="2"/>
      <c r="D615" s="2"/>
      <c r="E615" s="3"/>
      <c r="F615" s="3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 ht="12.75" customHeight="1" x14ac:dyDescent="0.2">
      <c r="A616" s="2"/>
      <c r="B616" s="2"/>
      <c r="C616" s="2"/>
      <c r="D616" s="2"/>
      <c r="E616" s="3"/>
      <c r="F616" s="3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 ht="12.75" customHeight="1" x14ac:dyDescent="0.2">
      <c r="A617" s="2"/>
      <c r="B617" s="2"/>
      <c r="C617" s="2"/>
      <c r="D617" s="2"/>
      <c r="E617" s="3"/>
      <c r="F617" s="3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 ht="12.75" customHeight="1" x14ac:dyDescent="0.2">
      <c r="A618" s="2"/>
      <c r="B618" s="2"/>
      <c r="C618" s="2"/>
      <c r="D618" s="2"/>
      <c r="E618" s="3"/>
      <c r="F618" s="3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 ht="12.75" customHeight="1" x14ac:dyDescent="0.2">
      <c r="A619" s="2"/>
      <c r="B619" s="2"/>
      <c r="C619" s="2"/>
      <c r="D619" s="2"/>
      <c r="E619" s="3"/>
      <c r="F619" s="3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 ht="12.75" customHeight="1" x14ac:dyDescent="0.2">
      <c r="A620" s="2"/>
      <c r="B620" s="2"/>
      <c r="C620" s="2"/>
      <c r="D620" s="2"/>
      <c r="E620" s="3"/>
      <c r="F620" s="3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 ht="12.75" customHeight="1" x14ac:dyDescent="0.2">
      <c r="A621" s="2"/>
      <c r="B621" s="2"/>
      <c r="C621" s="2"/>
      <c r="D621" s="2"/>
      <c r="E621" s="3"/>
      <c r="F621" s="3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 ht="12.75" customHeight="1" x14ac:dyDescent="0.2">
      <c r="A622" s="2"/>
      <c r="B622" s="2"/>
      <c r="C622" s="2"/>
      <c r="D622" s="2"/>
      <c r="E622" s="3"/>
      <c r="F622" s="3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 ht="12.75" customHeight="1" x14ac:dyDescent="0.2">
      <c r="A623" s="2"/>
      <c r="B623" s="2"/>
      <c r="C623" s="2"/>
      <c r="D623" s="2"/>
      <c r="E623" s="3"/>
      <c r="F623" s="3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 ht="12.75" customHeight="1" x14ac:dyDescent="0.2">
      <c r="A624" s="2"/>
      <c r="B624" s="2"/>
      <c r="C624" s="2"/>
      <c r="D624" s="2"/>
      <c r="E624" s="3"/>
      <c r="F624" s="3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 ht="12.75" customHeight="1" x14ac:dyDescent="0.2">
      <c r="A625" s="2"/>
      <c r="B625" s="2"/>
      <c r="C625" s="2"/>
      <c r="D625" s="2"/>
      <c r="E625" s="3"/>
      <c r="F625" s="3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 ht="12.75" customHeight="1" x14ac:dyDescent="0.2">
      <c r="A626" s="2"/>
      <c r="B626" s="2"/>
      <c r="C626" s="2"/>
      <c r="D626" s="2"/>
      <c r="E626" s="3"/>
      <c r="F626" s="3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 ht="12.75" customHeight="1" x14ac:dyDescent="0.2">
      <c r="A627" s="2"/>
      <c r="B627" s="2"/>
      <c r="C627" s="2"/>
      <c r="D627" s="2"/>
      <c r="E627" s="3"/>
      <c r="F627" s="3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 ht="12.75" customHeight="1" x14ac:dyDescent="0.2">
      <c r="A628" s="2"/>
      <c r="B628" s="2"/>
      <c r="C628" s="2"/>
      <c r="D628" s="2"/>
      <c r="E628" s="3"/>
      <c r="F628" s="3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 ht="12.75" customHeight="1" x14ac:dyDescent="0.2">
      <c r="A629" s="2"/>
      <c r="B629" s="2"/>
      <c r="C629" s="2"/>
      <c r="D629" s="2"/>
      <c r="E629" s="3"/>
      <c r="F629" s="3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 ht="12.75" customHeight="1" x14ac:dyDescent="0.2">
      <c r="A630" s="2"/>
      <c r="B630" s="2"/>
      <c r="C630" s="2"/>
      <c r="D630" s="2"/>
      <c r="E630" s="3"/>
      <c r="F630" s="3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 ht="12.75" customHeight="1" x14ac:dyDescent="0.2">
      <c r="A631" s="2"/>
      <c r="B631" s="2"/>
      <c r="C631" s="2"/>
      <c r="D631" s="2"/>
      <c r="E631" s="3"/>
      <c r="F631" s="3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 ht="12.75" customHeight="1" x14ac:dyDescent="0.2">
      <c r="A632" s="2"/>
      <c r="B632" s="2"/>
      <c r="C632" s="2"/>
      <c r="D632" s="2"/>
      <c r="E632" s="3"/>
      <c r="F632" s="3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 ht="12.75" customHeight="1" x14ac:dyDescent="0.2">
      <c r="A633" s="2"/>
      <c r="B633" s="2"/>
      <c r="C633" s="2"/>
      <c r="D633" s="2"/>
      <c r="E633" s="3"/>
      <c r="F633" s="3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 ht="12.75" customHeight="1" x14ac:dyDescent="0.2">
      <c r="A634" s="2"/>
      <c r="B634" s="2"/>
      <c r="C634" s="2"/>
      <c r="D634" s="2"/>
      <c r="E634" s="3"/>
      <c r="F634" s="3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 ht="12.75" customHeight="1" x14ac:dyDescent="0.2">
      <c r="A635" s="2"/>
      <c r="B635" s="2"/>
      <c r="C635" s="2"/>
      <c r="D635" s="2"/>
      <c r="E635" s="3"/>
      <c r="F635" s="3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 ht="12.75" customHeight="1" x14ac:dyDescent="0.2">
      <c r="A636" s="2"/>
      <c r="B636" s="2"/>
      <c r="C636" s="2"/>
      <c r="D636" s="2"/>
      <c r="E636" s="3"/>
      <c r="F636" s="3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 ht="12.75" customHeight="1" x14ac:dyDescent="0.2">
      <c r="A637" s="2"/>
      <c r="B637" s="2"/>
      <c r="C637" s="2"/>
      <c r="D637" s="2"/>
      <c r="E637" s="3"/>
      <c r="F637" s="3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 ht="12.75" customHeight="1" x14ac:dyDescent="0.2">
      <c r="A638" s="2"/>
      <c r="B638" s="2"/>
      <c r="C638" s="2"/>
      <c r="D638" s="2"/>
      <c r="E638" s="3"/>
      <c r="F638" s="3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 ht="12.75" customHeight="1" x14ac:dyDescent="0.2">
      <c r="A639" s="2"/>
      <c r="B639" s="2"/>
      <c r="C639" s="2"/>
      <c r="D639" s="2"/>
      <c r="E639" s="3"/>
      <c r="F639" s="3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 ht="12.75" customHeight="1" x14ac:dyDescent="0.2">
      <c r="A640" s="2"/>
      <c r="B640" s="2"/>
      <c r="C640" s="2"/>
      <c r="D640" s="2"/>
      <c r="E640" s="3"/>
      <c r="F640" s="3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 ht="12.75" customHeight="1" x14ac:dyDescent="0.2">
      <c r="A641" s="2"/>
      <c r="B641" s="2"/>
      <c r="C641" s="2"/>
      <c r="D641" s="2"/>
      <c r="E641" s="3"/>
      <c r="F641" s="3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 ht="12.75" customHeight="1" x14ac:dyDescent="0.2">
      <c r="A642" s="2"/>
      <c r="B642" s="2"/>
      <c r="C642" s="2"/>
      <c r="D642" s="2"/>
      <c r="E642" s="3"/>
      <c r="F642" s="3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 ht="12.75" customHeight="1" x14ac:dyDescent="0.2">
      <c r="A643" s="2"/>
      <c r="B643" s="2"/>
      <c r="C643" s="2"/>
      <c r="D643" s="2"/>
      <c r="E643" s="3"/>
      <c r="F643" s="3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 ht="12.75" customHeight="1" x14ac:dyDescent="0.2">
      <c r="A644" s="2"/>
      <c r="B644" s="2"/>
      <c r="C644" s="2"/>
      <c r="D644" s="2"/>
      <c r="E644" s="3"/>
      <c r="F644" s="3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 ht="12.75" customHeight="1" x14ac:dyDescent="0.2">
      <c r="A645" s="2"/>
      <c r="B645" s="2"/>
      <c r="C645" s="2"/>
      <c r="D645" s="2"/>
      <c r="E645" s="3"/>
      <c r="F645" s="3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 ht="12.75" customHeight="1" x14ac:dyDescent="0.2">
      <c r="A646" s="2"/>
      <c r="B646" s="2"/>
      <c r="C646" s="2"/>
      <c r="D646" s="2"/>
      <c r="E646" s="3"/>
      <c r="F646" s="3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 ht="12.75" customHeight="1" x14ac:dyDescent="0.2">
      <c r="A647" s="2"/>
      <c r="B647" s="2"/>
      <c r="C647" s="2"/>
      <c r="D647" s="2"/>
      <c r="E647" s="3"/>
      <c r="F647" s="3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 ht="12.75" customHeight="1" x14ac:dyDescent="0.2">
      <c r="A648" s="2"/>
      <c r="B648" s="2"/>
      <c r="C648" s="2"/>
      <c r="D648" s="2"/>
      <c r="E648" s="3"/>
      <c r="F648" s="3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 ht="12.75" customHeight="1" x14ac:dyDescent="0.2">
      <c r="A649" s="2"/>
      <c r="B649" s="2"/>
      <c r="C649" s="2"/>
      <c r="D649" s="2"/>
      <c r="E649" s="3"/>
      <c r="F649" s="3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 ht="12.75" customHeight="1" x14ac:dyDescent="0.2">
      <c r="A650" s="2"/>
      <c r="B650" s="2"/>
      <c r="C650" s="2"/>
      <c r="D650" s="2"/>
      <c r="E650" s="3"/>
      <c r="F650" s="3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 ht="12.75" customHeight="1" x14ac:dyDescent="0.2">
      <c r="A651" s="2"/>
      <c r="B651" s="2"/>
      <c r="C651" s="2"/>
      <c r="D651" s="2"/>
      <c r="E651" s="3"/>
      <c r="F651" s="3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 ht="12.75" customHeight="1" x14ac:dyDescent="0.2">
      <c r="A652" s="2"/>
      <c r="B652" s="2"/>
      <c r="C652" s="2"/>
      <c r="D652" s="2"/>
      <c r="E652" s="3"/>
      <c r="F652" s="3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 ht="12.75" customHeight="1" x14ac:dyDescent="0.2">
      <c r="A653" s="2"/>
      <c r="B653" s="2"/>
      <c r="C653" s="2"/>
      <c r="D653" s="2"/>
      <c r="E653" s="3"/>
      <c r="F653" s="3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 ht="12.75" customHeight="1" x14ac:dyDescent="0.2">
      <c r="A654" s="2"/>
      <c r="B654" s="2"/>
      <c r="C654" s="2"/>
      <c r="D654" s="2"/>
      <c r="E654" s="3"/>
      <c r="F654" s="3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 ht="12.75" customHeight="1" x14ac:dyDescent="0.2">
      <c r="A655" s="2"/>
      <c r="B655" s="2"/>
      <c r="C655" s="2"/>
      <c r="D655" s="2"/>
      <c r="E655" s="3"/>
      <c r="F655" s="3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 ht="12.75" customHeight="1" x14ac:dyDescent="0.2">
      <c r="A656" s="2"/>
      <c r="B656" s="2"/>
      <c r="C656" s="2"/>
      <c r="D656" s="2"/>
      <c r="E656" s="3"/>
      <c r="F656" s="3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 ht="12.75" customHeight="1" x14ac:dyDescent="0.2">
      <c r="A657" s="2"/>
      <c r="B657" s="2"/>
      <c r="C657" s="2"/>
      <c r="D657" s="2"/>
      <c r="E657" s="3"/>
      <c r="F657" s="3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 ht="12.75" customHeight="1" x14ac:dyDescent="0.2">
      <c r="A658" s="2"/>
      <c r="B658" s="2"/>
      <c r="C658" s="2"/>
      <c r="D658" s="2"/>
      <c r="E658" s="3"/>
      <c r="F658" s="3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 ht="12.75" customHeight="1" x14ac:dyDescent="0.2">
      <c r="A659" s="2"/>
      <c r="B659" s="2"/>
      <c r="C659" s="2"/>
      <c r="D659" s="2"/>
      <c r="E659" s="3"/>
      <c r="F659" s="3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 ht="12.75" customHeight="1" x14ac:dyDescent="0.2">
      <c r="A660" s="2"/>
      <c r="B660" s="2"/>
      <c r="C660" s="2"/>
      <c r="D660" s="2"/>
      <c r="E660" s="3"/>
      <c r="F660" s="3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 ht="12.75" customHeight="1" x14ac:dyDescent="0.2">
      <c r="A661" s="2"/>
      <c r="B661" s="2"/>
      <c r="C661" s="2"/>
      <c r="D661" s="2"/>
      <c r="E661" s="3"/>
      <c r="F661" s="3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 ht="12.75" customHeight="1" x14ac:dyDescent="0.2">
      <c r="A662" s="2"/>
      <c r="B662" s="2"/>
      <c r="C662" s="2"/>
      <c r="D662" s="2"/>
      <c r="E662" s="3"/>
      <c r="F662" s="3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 ht="12.75" customHeight="1" x14ac:dyDescent="0.2">
      <c r="A663" s="2"/>
      <c r="B663" s="2"/>
      <c r="C663" s="2"/>
      <c r="D663" s="2"/>
      <c r="E663" s="3"/>
      <c r="F663" s="3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 ht="12.75" customHeight="1" x14ac:dyDescent="0.2">
      <c r="A664" s="2"/>
      <c r="B664" s="2"/>
      <c r="C664" s="2"/>
      <c r="D664" s="2"/>
      <c r="E664" s="3"/>
      <c r="F664" s="3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 ht="12.75" customHeight="1" x14ac:dyDescent="0.2">
      <c r="A665" s="2"/>
      <c r="B665" s="2"/>
      <c r="C665" s="2"/>
      <c r="D665" s="2"/>
      <c r="E665" s="3"/>
      <c r="F665" s="3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 ht="12.75" customHeight="1" x14ac:dyDescent="0.2">
      <c r="A666" s="2"/>
      <c r="B666" s="2"/>
      <c r="C666" s="2"/>
      <c r="D666" s="2"/>
      <c r="E666" s="3"/>
      <c r="F666" s="3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 ht="12.75" customHeight="1" x14ac:dyDescent="0.2">
      <c r="A667" s="2"/>
      <c r="B667" s="2"/>
      <c r="C667" s="2"/>
      <c r="D667" s="2"/>
      <c r="E667" s="3"/>
      <c r="F667" s="3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 ht="12.75" customHeight="1" x14ac:dyDescent="0.2">
      <c r="A668" s="2"/>
      <c r="B668" s="2"/>
      <c r="C668" s="2"/>
      <c r="D668" s="2"/>
      <c r="E668" s="3"/>
      <c r="F668" s="3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 ht="12.75" customHeight="1" x14ac:dyDescent="0.2">
      <c r="A669" s="2"/>
      <c r="B669" s="2"/>
      <c r="C669" s="2"/>
      <c r="D669" s="2"/>
      <c r="E669" s="3"/>
      <c r="F669" s="3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 ht="12.75" customHeight="1" x14ac:dyDescent="0.2">
      <c r="A670" s="2"/>
      <c r="B670" s="2"/>
      <c r="C670" s="2"/>
      <c r="D670" s="2"/>
      <c r="E670" s="3"/>
      <c r="F670" s="3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 ht="12.75" customHeight="1" x14ac:dyDescent="0.2">
      <c r="A671" s="2"/>
      <c r="B671" s="2"/>
      <c r="C671" s="2"/>
      <c r="D671" s="2"/>
      <c r="E671" s="3"/>
      <c r="F671" s="3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 ht="12.75" customHeight="1" x14ac:dyDescent="0.2">
      <c r="A672" s="2"/>
      <c r="B672" s="2"/>
      <c r="C672" s="2"/>
      <c r="D672" s="2"/>
      <c r="E672" s="3"/>
      <c r="F672" s="3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 ht="12.75" customHeight="1" x14ac:dyDescent="0.2">
      <c r="A673" s="2"/>
      <c r="B673" s="2"/>
      <c r="C673" s="2"/>
      <c r="D673" s="2"/>
      <c r="E673" s="3"/>
      <c r="F673" s="3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 ht="12.75" customHeight="1" x14ac:dyDescent="0.2">
      <c r="A674" s="2"/>
      <c r="B674" s="2"/>
      <c r="C674" s="2"/>
      <c r="D674" s="2"/>
      <c r="E674" s="3"/>
      <c r="F674" s="3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 ht="12.75" customHeight="1" x14ac:dyDescent="0.2">
      <c r="A675" s="2"/>
      <c r="B675" s="2"/>
      <c r="C675" s="2"/>
      <c r="D675" s="2"/>
      <c r="E675" s="3"/>
      <c r="F675" s="3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 ht="12.75" customHeight="1" x14ac:dyDescent="0.2">
      <c r="A676" s="2"/>
      <c r="B676" s="2"/>
      <c r="C676" s="2"/>
      <c r="D676" s="2"/>
      <c r="E676" s="3"/>
      <c r="F676" s="3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 ht="12.75" customHeight="1" x14ac:dyDescent="0.2">
      <c r="A677" s="2"/>
      <c r="B677" s="2"/>
      <c r="C677" s="2"/>
      <c r="D677" s="2"/>
      <c r="E677" s="3"/>
      <c r="F677" s="3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 ht="12.75" customHeight="1" x14ac:dyDescent="0.2">
      <c r="A678" s="2"/>
      <c r="B678" s="2"/>
      <c r="C678" s="2"/>
      <c r="D678" s="2"/>
      <c r="E678" s="3"/>
      <c r="F678" s="3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 ht="12.75" customHeight="1" x14ac:dyDescent="0.2">
      <c r="A679" s="2"/>
      <c r="B679" s="2"/>
      <c r="C679" s="2"/>
      <c r="D679" s="2"/>
      <c r="E679" s="3"/>
      <c r="F679" s="3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 ht="12.75" customHeight="1" x14ac:dyDescent="0.2">
      <c r="A680" s="2"/>
      <c r="B680" s="2"/>
      <c r="C680" s="2"/>
      <c r="D680" s="2"/>
      <c r="E680" s="3"/>
      <c r="F680" s="3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 ht="12.75" customHeight="1" x14ac:dyDescent="0.2">
      <c r="A681" s="2"/>
      <c r="B681" s="2"/>
      <c r="C681" s="2"/>
      <c r="D681" s="2"/>
      <c r="E681" s="3"/>
      <c r="F681" s="3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 ht="12.75" customHeight="1" x14ac:dyDescent="0.2">
      <c r="A682" s="2"/>
      <c r="B682" s="2"/>
      <c r="C682" s="2"/>
      <c r="D682" s="2"/>
      <c r="E682" s="3"/>
      <c r="F682" s="3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 ht="12.75" customHeight="1" x14ac:dyDescent="0.2">
      <c r="A683" s="2"/>
      <c r="B683" s="2"/>
      <c r="C683" s="2"/>
      <c r="D683" s="2"/>
      <c r="E683" s="3"/>
      <c r="F683" s="3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 ht="12.75" customHeight="1" x14ac:dyDescent="0.2">
      <c r="A684" s="2"/>
      <c r="B684" s="2"/>
      <c r="C684" s="2"/>
      <c r="D684" s="2"/>
      <c r="E684" s="3"/>
      <c r="F684" s="3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 ht="12.75" customHeight="1" x14ac:dyDescent="0.2">
      <c r="A685" s="2"/>
      <c r="B685" s="2"/>
      <c r="C685" s="2"/>
      <c r="D685" s="2"/>
      <c r="E685" s="3"/>
      <c r="F685" s="3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 ht="12.75" customHeight="1" x14ac:dyDescent="0.2">
      <c r="A686" s="2"/>
      <c r="B686" s="2"/>
      <c r="C686" s="2"/>
      <c r="D686" s="2"/>
      <c r="E686" s="3"/>
      <c r="F686" s="3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 ht="12.75" customHeight="1" x14ac:dyDescent="0.2">
      <c r="A687" s="2"/>
      <c r="B687" s="2"/>
      <c r="C687" s="2"/>
      <c r="D687" s="2"/>
      <c r="E687" s="3"/>
      <c r="F687" s="3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 ht="12.75" customHeight="1" x14ac:dyDescent="0.2">
      <c r="A688" s="2"/>
      <c r="B688" s="2"/>
      <c r="C688" s="2"/>
      <c r="D688" s="2"/>
      <c r="E688" s="3"/>
      <c r="F688" s="3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 ht="12.75" customHeight="1" x14ac:dyDescent="0.2">
      <c r="A689" s="2"/>
      <c r="B689" s="2"/>
      <c r="C689" s="2"/>
      <c r="D689" s="2"/>
      <c r="E689" s="3"/>
      <c r="F689" s="3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 ht="12.75" customHeight="1" x14ac:dyDescent="0.2">
      <c r="A690" s="2"/>
      <c r="B690" s="2"/>
      <c r="C690" s="2"/>
      <c r="D690" s="2"/>
      <c r="E690" s="3"/>
      <c r="F690" s="3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 ht="12.75" customHeight="1" x14ac:dyDescent="0.2">
      <c r="A691" s="2"/>
      <c r="B691" s="2"/>
      <c r="C691" s="2"/>
      <c r="D691" s="2"/>
      <c r="E691" s="3"/>
      <c r="F691" s="3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 ht="12.75" customHeight="1" x14ac:dyDescent="0.2">
      <c r="A692" s="2"/>
      <c r="B692" s="2"/>
      <c r="C692" s="2"/>
      <c r="D692" s="2"/>
      <c r="E692" s="3"/>
      <c r="F692" s="3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 ht="12.75" customHeight="1" x14ac:dyDescent="0.2">
      <c r="A693" s="2"/>
      <c r="B693" s="2"/>
      <c r="C693" s="2"/>
      <c r="D693" s="2"/>
      <c r="E693" s="3"/>
      <c r="F693" s="3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 ht="12.75" customHeight="1" x14ac:dyDescent="0.2">
      <c r="A694" s="2"/>
      <c r="B694" s="2"/>
      <c r="C694" s="2"/>
      <c r="D694" s="2"/>
      <c r="E694" s="3"/>
      <c r="F694" s="3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 ht="12.75" customHeight="1" x14ac:dyDescent="0.2">
      <c r="A695" s="2"/>
      <c r="B695" s="2"/>
      <c r="C695" s="2"/>
      <c r="D695" s="2"/>
      <c r="E695" s="3"/>
      <c r="F695" s="3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 ht="12.75" customHeight="1" x14ac:dyDescent="0.2">
      <c r="A696" s="2"/>
      <c r="B696" s="2"/>
      <c r="C696" s="2"/>
      <c r="D696" s="2"/>
      <c r="E696" s="3"/>
      <c r="F696" s="3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 ht="12.75" customHeight="1" x14ac:dyDescent="0.2">
      <c r="A697" s="2"/>
      <c r="B697" s="2"/>
      <c r="C697" s="2"/>
      <c r="D697" s="2"/>
      <c r="E697" s="3"/>
      <c r="F697" s="3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 ht="12.75" customHeight="1" x14ac:dyDescent="0.2">
      <c r="A698" s="2"/>
      <c r="B698" s="2"/>
      <c r="C698" s="2"/>
      <c r="D698" s="2"/>
      <c r="E698" s="3"/>
      <c r="F698" s="3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 ht="12.75" customHeight="1" x14ac:dyDescent="0.2">
      <c r="A699" s="2"/>
      <c r="B699" s="2"/>
      <c r="C699" s="2"/>
      <c r="D699" s="2"/>
      <c r="E699" s="3"/>
      <c r="F699" s="3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 ht="12.75" customHeight="1" x14ac:dyDescent="0.2">
      <c r="A700" s="2"/>
      <c r="B700" s="2"/>
      <c r="C700" s="2"/>
      <c r="D700" s="2"/>
      <c r="E700" s="3"/>
      <c r="F700" s="3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 ht="12.75" customHeight="1" x14ac:dyDescent="0.2">
      <c r="A701" s="2"/>
      <c r="B701" s="2"/>
      <c r="C701" s="2"/>
      <c r="D701" s="2"/>
      <c r="E701" s="3"/>
      <c r="F701" s="3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 ht="12.75" customHeight="1" x14ac:dyDescent="0.2">
      <c r="A702" s="2"/>
      <c r="B702" s="2"/>
      <c r="C702" s="2"/>
      <c r="D702" s="2"/>
      <c r="E702" s="3"/>
      <c r="F702" s="3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 ht="12.75" customHeight="1" x14ac:dyDescent="0.2">
      <c r="A703" s="2"/>
      <c r="B703" s="2"/>
      <c r="C703" s="2"/>
      <c r="D703" s="2"/>
      <c r="E703" s="3"/>
      <c r="F703" s="3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 ht="12.75" customHeight="1" x14ac:dyDescent="0.2">
      <c r="A704" s="2"/>
      <c r="B704" s="2"/>
      <c r="C704" s="2"/>
      <c r="D704" s="2"/>
      <c r="E704" s="3"/>
      <c r="F704" s="3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 ht="12.75" customHeight="1" x14ac:dyDescent="0.2">
      <c r="A705" s="2"/>
      <c r="B705" s="2"/>
      <c r="C705" s="2"/>
      <c r="D705" s="2"/>
      <c r="E705" s="3"/>
      <c r="F705" s="3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 ht="12.75" customHeight="1" x14ac:dyDescent="0.2">
      <c r="A706" s="2"/>
      <c r="B706" s="2"/>
      <c r="C706" s="2"/>
      <c r="D706" s="2"/>
      <c r="E706" s="3"/>
      <c r="F706" s="3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 ht="12.75" customHeight="1" x14ac:dyDescent="0.2">
      <c r="A707" s="2"/>
      <c r="B707" s="2"/>
      <c r="C707" s="2"/>
      <c r="D707" s="2"/>
      <c r="E707" s="3"/>
      <c r="F707" s="3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 ht="12.75" customHeight="1" x14ac:dyDescent="0.2">
      <c r="A708" s="2"/>
      <c r="B708" s="2"/>
      <c r="C708" s="2"/>
      <c r="D708" s="2"/>
      <c r="E708" s="3"/>
      <c r="F708" s="3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 ht="12.75" customHeight="1" x14ac:dyDescent="0.2">
      <c r="A709" s="2"/>
      <c r="B709" s="2"/>
      <c r="C709" s="2"/>
      <c r="D709" s="2"/>
      <c r="E709" s="3"/>
      <c r="F709" s="3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 ht="12.75" customHeight="1" x14ac:dyDescent="0.2">
      <c r="A710" s="2"/>
      <c r="B710" s="2"/>
      <c r="C710" s="2"/>
      <c r="D710" s="2"/>
      <c r="E710" s="3"/>
      <c r="F710" s="3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 ht="12.75" customHeight="1" x14ac:dyDescent="0.2">
      <c r="A711" s="2"/>
      <c r="B711" s="2"/>
      <c r="C711" s="2"/>
      <c r="D711" s="2"/>
      <c r="E711" s="3"/>
      <c r="F711" s="3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 ht="12.75" customHeight="1" x14ac:dyDescent="0.2">
      <c r="A712" s="2"/>
      <c r="B712" s="2"/>
      <c r="C712" s="2"/>
      <c r="D712" s="2"/>
      <c r="E712" s="3"/>
      <c r="F712" s="3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 ht="12.75" customHeight="1" x14ac:dyDescent="0.2">
      <c r="A713" s="2"/>
      <c r="B713" s="2"/>
      <c r="C713" s="2"/>
      <c r="D713" s="2"/>
      <c r="E713" s="3"/>
      <c r="F713" s="3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 ht="12.75" customHeight="1" x14ac:dyDescent="0.2">
      <c r="A714" s="2"/>
      <c r="B714" s="2"/>
      <c r="C714" s="2"/>
      <c r="D714" s="2"/>
      <c r="E714" s="3"/>
      <c r="F714" s="3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 ht="12.75" customHeight="1" x14ac:dyDescent="0.2">
      <c r="A715" s="2"/>
      <c r="B715" s="2"/>
      <c r="C715" s="2"/>
      <c r="D715" s="2"/>
      <c r="E715" s="3"/>
      <c r="F715" s="3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 ht="12.75" customHeight="1" x14ac:dyDescent="0.2">
      <c r="A716" s="2"/>
      <c r="B716" s="2"/>
      <c r="C716" s="2"/>
      <c r="D716" s="2"/>
      <c r="E716" s="3"/>
      <c r="F716" s="3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 ht="12.75" customHeight="1" x14ac:dyDescent="0.2">
      <c r="A717" s="2"/>
      <c r="B717" s="2"/>
      <c r="C717" s="2"/>
      <c r="D717" s="2"/>
      <c r="E717" s="3"/>
      <c r="F717" s="3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 ht="12.75" customHeight="1" x14ac:dyDescent="0.2">
      <c r="A718" s="2"/>
      <c r="B718" s="2"/>
      <c r="C718" s="2"/>
      <c r="D718" s="2"/>
      <c r="E718" s="3"/>
      <c r="F718" s="3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 ht="12.75" customHeight="1" x14ac:dyDescent="0.2">
      <c r="A719" s="2"/>
      <c r="B719" s="2"/>
      <c r="C719" s="2"/>
      <c r="D719" s="2"/>
      <c r="E719" s="3"/>
      <c r="F719" s="3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 ht="12.75" customHeight="1" x14ac:dyDescent="0.2">
      <c r="A720" s="2"/>
      <c r="B720" s="2"/>
      <c r="C720" s="2"/>
      <c r="D720" s="2"/>
      <c r="E720" s="3"/>
      <c r="F720" s="3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 ht="12.75" customHeight="1" x14ac:dyDescent="0.2">
      <c r="A721" s="2"/>
      <c r="B721" s="2"/>
      <c r="C721" s="2"/>
      <c r="D721" s="2"/>
      <c r="E721" s="3"/>
      <c r="F721" s="3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 ht="12.75" customHeight="1" x14ac:dyDescent="0.2">
      <c r="A722" s="2"/>
      <c r="B722" s="2"/>
      <c r="C722" s="2"/>
      <c r="D722" s="2"/>
      <c r="E722" s="3"/>
      <c r="F722" s="3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 ht="12.75" customHeight="1" x14ac:dyDescent="0.2">
      <c r="A723" s="2"/>
      <c r="B723" s="2"/>
      <c r="C723" s="2"/>
      <c r="D723" s="2"/>
      <c r="E723" s="3"/>
      <c r="F723" s="3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 ht="12.75" customHeight="1" x14ac:dyDescent="0.2">
      <c r="A724" s="2"/>
      <c r="B724" s="2"/>
      <c r="C724" s="2"/>
      <c r="D724" s="2"/>
      <c r="E724" s="3"/>
      <c r="F724" s="3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 ht="12.75" customHeight="1" x14ac:dyDescent="0.2">
      <c r="A725" s="2"/>
      <c r="B725" s="2"/>
      <c r="C725" s="2"/>
      <c r="D725" s="2"/>
      <c r="E725" s="3"/>
      <c r="F725" s="3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 ht="12.75" customHeight="1" x14ac:dyDescent="0.2">
      <c r="A726" s="2"/>
      <c r="B726" s="2"/>
      <c r="C726" s="2"/>
      <c r="D726" s="2"/>
      <c r="E726" s="3"/>
      <c r="F726" s="3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 ht="12.75" customHeight="1" x14ac:dyDescent="0.2">
      <c r="A727" s="2"/>
      <c r="B727" s="2"/>
      <c r="C727" s="2"/>
      <c r="D727" s="2"/>
      <c r="E727" s="3"/>
      <c r="F727" s="3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 ht="12.75" customHeight="1" x14ac:dyDescent="0.2">
      <c r="A728" s="2"/>
      <c r="B728" s="2"/>
      <c r="C728" s="2"/>
      <c r="D728" s="2"/>
      <c r="E728" s="3"/>
      <c r="F728" s="3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 ht="12.75" customHeight="1" x14ac:dyDescent="0.2">
      <c r="A729" s="2"/>
      <c r="B729" s="2"/>
      <c r="C729" s="2"/>
      <c r="D729" s="2"/>
      <c r="E729" s="3"/>
      <c r="F729" s="3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 ht="12.75" customHeight="1" x14ac:dyDescent="0.2">
      <c r="A730" s="2"/>
      <c r="B730" s="2"/>
      <c r="C730" s="2"/>
      <c r="D730" s="2"/>
      <c r="E730" s="3"/>
      <c r="F730" s="3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 ht="12.75" customHeight="1" x14ac:dyDescent="0.2">
      <c r="A731" s="2"/>
      <c r="B731" s="2"/>
      <c r="C731" s="2"/>
      <c r="D731" s="2"/>
      <c r="E731" s="3"/>
      <c r="F731" s="3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 ht="12.75" customHeight="1" x14ac:dyDescent="0.2">
      <c r="A732" s="2"/>
      <c r="B732" s="2"/>
      <c r="C732" s="2"/>
      <c r="D732" s="2"/>
      <c r="E732" s="3"/>
      <c r="F732" s="3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 ht="12.75" customHeight="1" x14ac:dyDescent="0.2">
      <c r="A733" s="2"/>
      <c r="B733" s="2"/>
      <c r="C733" s="2"/>
      <c r="D733" s="2"/>
      <c r="E733" s="3"/>
      <c r="F733" s="3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 ht="12.75" customHeight="1" x14ac:dyDescent="0.2">
      <c r="A734" s="2"/>
      <c r="B734" s="2"/>
      <c r="C734" s="2"/>
      <c r="D734" s="2"/>
      <c r="E734" s="3"/>
      <c r="F734" s="3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 ht="12.75" customHeight="1" x14ac:dyDescent="0.2">
      <c r="A735" s="2"/>
      <c r="B735" s="2"/>
      <c r="C735" s="2"/>
      <c r="D735" s="2"/>
      <c r="E735" s="3"/>
      <c r="F735" s="3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 ht="12.75" customHeight="1" x14ac:dyDescent="0.2">
      <c r="A736" s="2"/>
      <c r="B736" s="2"/>
      <c r="C736" s="2"/>
      <c r="D736" s="2"/>
      <c r="E736" s="3"/>
      <c r="F736" s="3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 ht="12.75" customHeight="1" x14ac:dyDescent="0.2">
      <c r="A737" s="2"/>
      <c r="B737" s="2"/>
      <c r="C737" s="2"/>
      <c r="D737" s="2"/>
      <c r="E737" s="3"/>
      <c r="F737" s="3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 ht="12.75" customHeight="1" x14ac:dyDescent="0.2">
      <c r="A738" s="2"/>
      <c r="B738" s="2"/>
      <c r="C738" s="2"/>
      <c r="D738" s="2"/>
      <c r="E738" s="3"/>
      <c r="F738" s="3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 ht="12.75" customHeight="1" x14ac:dyDescent="0.2">
      <c r="A739" s="2"/>
      <c r="B739" s="2"/>
      <c r="C739" s="2"/>
      <c r="D739" s="2"/>
      <c r="E739" s="3"/>
      <c r="F739" s="3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 ht="12.75" customHeight="1" x14ac:dyDescent="0.2">
      <c r="A740" s="2"/>
      <c r="B740" s="2"/>
      <c r="C740" s="2"/>
      <c r="D740" s="2"/>
      <c r="E740" s="3"/>
      <c r="F740" s="3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 ht="12.75" customHeight="1" x14ac:dyDescent="0.2">
      <c r="A741" s="2"/>
      <c r="B741" s="2"/>
      <c r="C741" s="2"/>
      <c r="D741" s="2"/>
      <c r="E741" s="3"/>
      <c r="F741" s="3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 ht="12.75" customHeight="1" x14ac:dyDescent="0.2">
      <c r="A742" s="2"/>
      <c r="B742" s="2"/>
      <c r="C742" s="2"/>
      <c r="D742" s="2"/>
      <c r="E742" s="3"/>
      <c r="F742" s="3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 ht="12.75" customHeight="1" x14ac:dyDescent="0.2">
      <c r="A743" s="2"/>
      <c r="B743" s="2"/>
      <c r="C743" s="2"/>
      <c r="D743" s="2"/>
      <c r="E743" s="3"/>
      <c r="F743" s="3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 ht="12.75" customHeight="1" x14ac:dyDescent="0.2">
      <c r="A744" s="2"/>
      <c r="B744" s="2"/>
      <c r="C744" s="2"/>
      <c r="D744" s="2"/>
      <c r="E744" s="3"/>
      <c r="F744" s="3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 ht="12.75" customHeight="1" x14ac:dyDescent="0.2">
      <c r="A745" s="2"/>
      <c r="B745" s="2"/>
      <c r="C745" s="2"/>
      <c r="D745" s="2"/>
      <c r="E745" s="3"/>
      <c r="F745" s="3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 ht="12.75" customHeight="1" x14ac:dyDescent="0.2">
      <c r="A746" s="2"/>
      <c r="B746" s="2"/>
      <c r="C746" s="2"/>
      <c r="D746" s="2"/>
      <c r="E746" s="3"/>
      <c r="F746" s="3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 ht="12.75" customHeight="1" x14ac:dyDescent="0.2">
      <c r="A747" s="2"/>
      <c r="B747" s="2"/>
      <c r="C747" s="2"/>
      <c r="D747" s="2"/>
      <c r="E747" s="3"/>
      <c r="F747" s="3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 ht="12.75" customHeight="1" x14ac:dyDescent="0.2">
      <c r="A748" s="2"/>
      <c r="B748" s="2"/>
      <c r="C748" s="2"/>
      <c r="D748" s="2"/>
      <c r="E748" s="3"/>
      <c r="F748" s="3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 ht="12.75" customHeight="1" x14ac:dyDescent="0.2">
      <c r="A749" s="2"/>
      <c r="B749" s="2"/>
      <c r="C749" s="2"/>
      <c r="D749" s="2"/>
      <c r="E749" s="3"/>
      <c r="F749" s="3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 ht="12.75" customHeight="1" x14ac:dyDescent="0.2">
      <c r="A750" s="2"/>
      <c r="B750" s="2"/>
      <c r="C750" s="2"/>
      <c r="D750" s="2"/>
      <c r="E750" s="3"/>
      <c r="F750" s="3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 ht="12.75" customHeight="1" x14ac:dyDescent="0.2">
      <c r="A751" s="2"/>
      <c r="B751" s="2"/>
      <c r="C751" s="2"/>
      <c r="D751" s="2"/>
      <c r="E751" s="3"/>
      <c r="F751" s="3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 ht="12.75" customHeight="1" x14ac:dyDescent="0.2">
      <c r="A752" s="2"/>
      <c r="B752" s="2"/>
      <c r="C752" s="2"/>
      <c r="D752" s="2"/>
      <c r="E752" s="3"/>
      <c r="F752" s="3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 ht="12.75" customHeight="1" x14ac:dyDescent="0.2">
      <c r="A753" s="2"/>
      <c r="B753" s="2"/>
      <c r="C753" s="2"/>
      <c r="D753" s="2"/>
      <c r="E753" s="3"/>
      <c r="F753" s="3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 ht="12.75" customHeight="1" x14ac:dyDescent="0.2">
      <c r="A754" s="2"/>
      <c r="B754" s="2"/>
      <c r="C754" s="2"/>
      <c r="D754" s="2"/>
      <c r="E754" s="3"/>
      <c r="F754" s="3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 ht="12.75" customHeight="1" x14ac:dyDescent="0.2">
      <c r="A755" s="2"/>
      <c r="B755" s="2"/>
      <c r="C755" s="2"/>
      <c r="D755" s="2"/>
      <c r="E755" s="3"/>
      <c r="F755" s="3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 ht="12.75" customHeight="1" x14ac:dyDescent="0.2">
      <c r="A756" s="2"/>
      <c r="B756" s="2"/>
      <c r="C756" s="2"/>
      <c r="D756" s="2"/>
      <c r="E756" s="3"/>
      <c r="F756" s="3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 ht="12.75" customHeight="1" x14ac:dyDescent="0.2">
      <c r="A757" s="2"/>
      <c r="B757" s="2"/>
      <c r="C757" s="2"/>
      <c r="D757" s="2"/>
      <c r="E757" s="3"/>
      <c r="F757" s="3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 ht="12.75" customHeight="1" x14ac:dyDescent="0.2">
      <c r="A758" s="2"/>
      <c r="B758" s="2"/>
      <c r="C758" s="2"/>
      <c r="D758" s="2"/>
      <c r="E758" s="3"/>
      <c r="F758" s="3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 ht="12.75" customHeight="1" x14ac:dyDescent="0.2">
      <c r="A759" s="2"/>
      <c r="B759" s="2"/>
      <c r="C759" s="2"/>
      <c r="D759" s="2"/>
      <c r="E759" s="3"/>
      <c r="F759" s="3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 ht="12.75" customHeight="1" x14ac:dyDescent="0.2">
      <c r="A760" s="2"/>
      <c r="B760" s="2"/>
      <c r="C760" s="2"/>
      <c r="D760" s="2"/>
      <c r="E760" s="3"/>
      <c r="F760" s="3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 ht="12.75" customHeight="1" x14ac:dyDescent="0.2">
      <c r="A761" s="2"/>
      <c r="B761" s="2"/>
      <c r="C761" s="2"/>
      <c r="D761" s="2"/>
      <c r="E761" s="3"/>
      <c r="F761" s="3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 ht="12.75" customHeight="1" x14ac:dyDescent="0.2">
      <c r="A762" s="2"/>
      <c r="B762" s="2"/>
      <c r="C762" s="2"/>
      <c r="D762" s="2"/>
      <c r="E762" s="3"/>
      <c r="F762" s="3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 ht="12.75" customHeight="1" x14ac:dyDescent="0.2">
      <c r="A763" s="2"/>
      <c r="B763" s="2"/>
      <c r="C763" s="2"/>
      <c r="D763" s="2"/>
      <c r="E763" s="3"/>
      <c r="F763" s="3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 ht="12.75" customHeight="1" x14ac:dyDescent="0.2">
      <c r="A764" s="2"/>
      <c r="B764" s="2"/>
      <c r="C764" s="2"/>
      <c r="D764" s="2"/>
      <c r="E764" s="3"/>
      <c r="F764" s="3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 ht="12.75" customHeight="1" x14ac:dyDescent="0.2">
      <c r="A765" s="2"/>
      <c r="B765" s="2"/>
      <c r="C765" s="2"/>
      <c r="D765" s="2"/>
      <c r="E765" s="3"/>
      <c r="F765" s="3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 ht="12.75" customHeight="1" x14ac:dyDescent="0.2">
      <c r="A766" s="2"/>
      <c r="B766" s="2"/>
      <c r="C766" s="2"/>
      <c r="D766" s="2"/>
      <c r="E766" s="3"/>
      <c r="F766" s="3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 ht="12.75" customHeight="1" x14ac:dyDescent="0.2">
      <c r="A767" s="2"/>
      <c r="B767" s="2"/>
      <c r="C767" s="2"/>
      <c r="D767" s="2"/>
      <c r="E767" s="3"/>
      <c r="F767" s="3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 ht="12.75" customHeight="1" x14ac:dyDescent="0.2">
      <c r="A768" s="2"/>
      <c r="B768" s="2"/>
      <c r="C768" s="2"/>
      <c r="D768" s="2"/>
      <c r="E768" s="3"/>
      <c r="F768" s="3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 ht="12.75" customHeight="1" x14ac:dyDescent="0.2">
      <c r="A769" s="2"/>
      <c r="B769" s="2"/>
      <c r="C769" s="2"/>
      <c r="D769" s="2"/>
      <c r="E769" s="3"/>
      <c r="F769" s="3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 ht="12.75" customHeight="1" x14ac:dyDescent="0.2">
      <c r="A770" s="2"/>
      <c r="B770" s="2"/>
      <c r="C770" s="2"/>
      <c r="D770" s="2"/>
      <c r="E770" s="3"/>
      <c r="F770" s="3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 ht="12.75" customHeight="1" x14ac:dyDescent="0.2">
      <c r="A771" s="2"/>
      <c r="B771" s="2"/>
      <c r="C771" s="2"/>
      <c r="D771" s="2"/>
      <c r="E771" s="3"/>
      <c r="F771" s="3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 ht="12.75" customHeight="1" x14ac:dyDescent="0.2">
      <c r="A772" s="2"/>
      <c r="B772" s="2"/>
      <c r="C772" s="2"/>
      <c r="D772" s="2"/>
      <c r="E772" s="3"/>
      <c r="F772" s="3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 ht="12.75" customHeight="1" x14ac:dyDescent="0.2">
      <c r="A773" s="2"/>
      <c r="B773" s="2"/>
      <c r="C773" s="2"/>
      <c r="D773" s="2"/>
      <c r="E773" s="3"/>
      <c r="F773" s="3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 ht="12.75" customHeight="1" x14ac:dyDescent="0.2">
      <c r="A774" s="2"/>
      <c r="B774" s="2"/>
      <c r="C774" s="2"/>
      <c r="D774" s="2"/>
      <c r="E774" s="3"/>
      <c r="F774" s="3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 ht="12.75" customHeight="1" x14ac:dyDescent="0.2">
      <c r="A775" s="2"/>
      <c r="B775" s="2"/>
      <c r="C775" s="2"/>
      <c r="D775" s="2"/>
      <c r="E775" s="3"/>
      <c r="F775" s="3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 ht="12.75" customHeight="1" x14ac:dyDescent="0.2">
      <c r="A776" s="2"/>
      <c r="B776" s="2"/>
      <c r="C776" s="2"/>
      <c r="D776" s="2"/>
      <c r="E776" s="3"/>
      <c r="F776" s="3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 ht="12.75" customHeight="1" x14ac:dyDescent="0.2">
      <c r="A777" s="2"/>
      <c r="B777" s="2"/>
      <c r="C777" s="2"/>
      <c r="D777" s="2"/>
      <c r="E777" s="3"/>
      <c r="F777" s="3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 ht="12.75" customHeight="1" x14ac:dyDescent="0.2">
      <c r="A778" s="2"/>
      <c r="B778" s="2"/>
      <c r="C778" s="2"/>
      <c r="D778" s="2"/>
      <c r="E778" s="3"/>
      <c r="F778" s="3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 ht="12.75" customHeight="1" x14ac:dyDescent="0.2">
      <c r="A779" s="2"/>
      <c r="B779" s="2"/>
      <c r="C779" s="2"/>
      <c r="D779" s="2"/>
      <c r="E779" s="3"/>
      <c r="F779" s="3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 ht="12.75" customHeight="1" x14ac:dyDescent="0.2">
      <c r="A780" s="2"/>
      <c r="B780" s="2"/>
      <c r="C780" s="2"/>
      <c r="D780" s="2"/>
      <c r="E780" s="3"/>
      <c r="F780" s="3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 ht="12.75" customHeight="1" x14ac:dyDescent="0.2">
      <c r="A781" s="2"/>
      <c r="B781" s="2"/>
      <c r="C781" s="2"/>
      <c r="D781" s="2"/>
      <c r="E781" s="3"/>
      <c r="F781" s="3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 ht="12.75" customHeight="1" x14ac:dyDescent="0.2">
      <c r="A782" s="2"/>
      <c r="B782" s="2"/>
      <c r="C782" s="2"/>
      <c r="D782" s="2"/>
      <c r="E782" s="3"/>
      <c r="F782" s="3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 ht="12.75" customHeight="1" x14ac:dyDescent="0.2">
      <c r="A783" s="2"/>
      <c r="B783" s="2"/>
      <c r="C783" s="2"/>
      <c r="D783" s="2"/>
      <c r="E783" s="3"/>
      <c r="F783" s="3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 ht="12.75" customHeight="1" x14ac:dyDescent="0.2">
      <c r="A784" s="2"/>
      <c r="B784" s="2"/>
      <c r="C784" s="2"/>
      <c r="D784" s="2"/>
      <c r="E784" s="3"/>
      <c r="F784" s="3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 ht="12.75" customHeight="1" x14ac:dyDescent="0.2">
      <c r="A785" s="2"/>
      <c r="B785" s="2"/>
      <c r="C785" s="2"/>
      <c r="D785" s="2"/>
      <c r="E785" s="3"/>
      <c r="F785" s="3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 ht="12.75" customHeight="1" x14ac:dyDescent="0.2">
      <c r="A786" s="2"/>
      <c r="B786" s="2"/>
      <c r="C786" s="2"/>
      <c r="D786" s="2"/>
      <c r="E786" s="3"/>
      <c r="F786" s="3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 ht="12.75" customHeight="1" x14ac:dyDescent="0.2">
      <c r="A787" s="2"/>
      <c r="B787" s="2"/>
      <c r="C787" s="2"/>
      <c r="D787" s="2"/>
      <c r="E787" s="3"/>
      <c r="F787" s="3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 ht="12.75" customHeight="1" x14ac:dyDescent="0.2">
      <c r="A788" s="2"/>
      <c r="B788" s="2"/>
      <c r="C788" s="2"/>
      <c r="D788" s="2"/>
      <c r="E788" s="3"/>
      <c r="F788" s="3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 ht="12.75" customHeight="1" x14ac:dyDescent="0.2">
      <c r="A789" s="2"/>
      <c r="B789" s="2"/>
      <c r="C789" s="2"/>
      <c r="D789" s="2"/>
      <c r="E789" s="3"/>
      <c r="F789" s="3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 ht="12.75" customHeight="1" x14ac:dyDescent="0.2">
      <c r="A790" s="2"/>
      <c r="B790" s="2"/>
      <c r="C790" s="2"/>
      <c r="D790" s="2"/>
      <c r="E790" s="3"/>
      <c r="F790" s="3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 ht="12.75" customHeight="1" x14ac:dyDescent="0.2">
      <c r="A791" s="2"/>
      <c r="B791" s="2"/>
      <c r="C791" s="2"/>
      <c r="D791" s="2"/>
      <c r="E791" s="3"/>
      <c r="F791" s="3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 ht="12.75" customHeight="1" x14ac:dyDescent="0.2">
      <c r="A792" s="2"/>
      <c r="B792" s="2"/>
      <c r="C792" s="2"/>
      <c r="D792" s="2"/>
      <c r="E792" s="3"/>
      <c r="F792" s="3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 ht="12.75" customHeight="1" x14ac:dyDescent="0.2">
      <c r="A793" s="2"/>
      <c r="B793" s="2"/>
      <c r="C793" s="2"/>
      <c r="D793" s="2"/>
      <c r="E793" s="3"/>
      <c r="F793" s="3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 ht="12.75" customHeight="1" x14ac:dyDescent="0.2">
      <c r="A794" s="2"/>
      <c r="B794" s="2"/>
      <c r="C794" s="2"/>
      <c r="D794" s="2"/>
      <c r="E794" s="3"/>
      <c r="F794" s="3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 ht="12.75" customHeight="1" x14ac:dyDescent="0.2">
      <c r="A795" s="2"/>
      <c r="B795" s="2"/>
      <c r="C795" s="2"/>
      <c r="D795" s="2"/>
      <c r="E795" s="3"/>
      <c r="F795" s="3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 ht="12.75" customHeight="1" x14ac:dyDescent="0.2">
      <c r="A796" s="2"/>
      <c r="B796" s="2"/>
      <c r="C796" s="2"/>
      <c r="D796" s="2"/>
      <c r="E796" s="3"/>
      <c r="F796" s="3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 ht="12.75" customHeight="1" x14ac:dyDescent="0.2">
      <c r="A797" s="2"/>
      <c r="B797" s="2"/>
      <c r="C797" s="2"/>
      <c r="D797" s="2"/>
      <c r="E797" s="3"/>
      <c r="F797" s="3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 ht="12.75" customHeight="1" x14ac:dyDescent="0.2">
      <c r="A798" s="2"/>
      <c r="B798" s="2"/>
      <c r="C798" s="2"/>
      <c r="D798" s="2"/>
      <c r="E798" s="3"/>
      <c r="F798" s="3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 ht="12.75" customHeight="1" x14ac:dyDescent="0.2">
      <c r="A799" s="2"/>
      <c r="B799" s="2"/>
      <c r="C799" s="2"/>
      <c r="D799" s="2"/>
      <c r="E799" s="3"/>
      <c r="F799" s="3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 ht="12.75" customHeight="1" x14ac:dyDescent="0.2">
      <c r="A800" s="2"/>
      <c r="B800" s="2"/>
      <c r="C800" s="2"/>
      <c r="D800" s="2"/>
      <c r="E800" s="3"/>
      <c r="F800" s="3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 ht="12.75" customHeight="1" x14ac:dyDescent="0.2">
      <c r="A801" s="2"/>
      <c r="B801" s="2"/>
      <c r="C801" s="2"/>
      <c r="D801" s="2"/>
      <c r="E801" s="3"/>
      <c r="F801" s="3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 ht="12.75" customHeight="1" x14ac:dyDescent="0.2">
      <c r="A802" s="2"/>
      <c r="B802" s="2"/>
      <c r="C802" s="2"/>
      <c r="D802" s="2"/>
      <c r="E802" s="3"/>
      <c r="F802" s="3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 ht="12.75" customHeight="1" x14ac:dyDescent="0.2">
      <c r="A803" s="2"/>
      <c r="B803" s="2"/>
      <c r="C803" s="2"/>
      <c r="D803" s="2"/>
      <c r="E803" s="3"/>
      <c r="F803" s="3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  <row r="804" spans="1:29" ht="12.75" customHeight="1" x14ac:dyDescent="0.2">
      <c r="A804" s="2"/>
      <c r="B804" s="2"/>
      <c r="C804" s="2"/>
      <c r="D804" s="2"/>
      <c r="E804" s="3"/>
      <c r="F804" s="3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</row>
    <row r="805" spans="1:29" ht="12.75" customHeight="1" x14ac:dyDescent="0.2">
      <c r="A805" s="2"/>
      <c r="B805" s="2"/>
      <c r="C805" s="2"/>
      <c r="D805" s="2"/>
      <c r="E805" s="3"/>
      <c r="F805" s="3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</row>
    <row r="806" spans="1:29" ht="12.75" customHeight="1" x14ac:dyDescent="0.2">
      <c r="A806" s="2"/>
      <c r="B806" s="2"/>
      <c r="C806" s="2"/>
      <c r="D806" s="2"/>
      <c r="E806" s="3"/>
      <c r="F806" s="3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</row>
    <row r="807" spans="1:29" ht="12.75" customHeight="1" x14ac:dyDescent="0.2">
      <c r="A807" s="2"/>
      <c r="B807" s="2"/>
      <c r="C807" s="2"/>
      <c r="D807" s="2"/>
      <c r="E807" s="3"/>
      <c r="F807" s="3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</row>
    <row r="808" spans="1:29" ht="12.75" customHeight="1" x14ac:dyDescent="0.2">
      <c r="A808" s="2"/>
      <c r="B808" s="2"/>
      <c r="C808" s="2"/>
      <c r="D808" s="2"/>
      <c r="E808" s="3"/>
      <c r="F808" s="3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</row>
    <row r="809" spans="1:29" ht="12.75" customHeight="1" x14ac:dyDescent="0.2">
      <c r="A809" s="2"/>
      <c r="B809" s="2"/>
      <c r="C809" s="2"/>
      <c r="D809" s="2"/>
      <c r="E809" s="3"/>
      <c r="F809" s="3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</row>
    <row r="810" spans="1:29" ht="12.75" customHeight="1" x14ac:dyDescent="0.2">
      <c r="A810" s="2"/>
      <c r="B810" s="2"/>
      <c r="C810" s="2"/>
      <c r="D810" s="2"/>
      <c r="E810" s="3"/>
      <c r="F810" s="3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</row>
    <row r="811" spans="1:29" ht="12.75" customHeight="1" x14ac:dyDescent="0.2">
      <c r="A811" s="2"/>
      <c r="B811" s="2"/>
      <c r="C811" s="2"/>
      <c r="D811" s="2"/>
      <c r="E811" s="3"/>
      <c r="F811" s="3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</row>
    <row r="812" spans="1:29" ht="12.75" customHeight="1" x14ac:dyDescent="0.2">
      <c r="A812" s="2"/>
      <c r="B812" s="2"/>
      <c r="C812" s="2"/>
      <c r="D812" s="2"/>
      <c r="E812" s="3"/>
      <c r="F812" s="3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</row>
    <row r="813" spans="1:29" ht="12.75" customHeight="1" x14ac:dyDescent="0.2">
      <c r="A813" s="2"/>
      <c r="B813" s="2"/>
      <c r="C813" s="2"/>
      <c r="D813" s="2"/>
      <c r="E813" s="3"/>
      <c r="F813" s="3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</row>
    <row r="814" spans="1:29" ht="12.75" customHeight="1" x14ac:dyDescent="0.2">
      <c r="A814" s="2"/>
      <c r="B814" s="2"/>
      <c r="C814" s="2"/>
      <c r="D814" s="2"/>
      <c r="E814" s="3"/>
      <c r="F814" s="3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</row>
    <row r="815" spans="1:29" ht="12.75" customHeight="1" x14ac:dyDescent="0.2">
      <c r="A815" s="2"/>
      <c r="B815" s="2"/>
      <c r="C815" s="2"/>
      <c r="D815" s="2"/>
      <c r="E815" s="3"/>
      <c r="F815" s="3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</row>
    <row r="816" spans="1:29" ht="12.75" customHeight="1" x14ac:dyDescent="0.2">
      <c r="A816" s="2"/>
      <c r="B816" s="2"/>
      <c r="C816" s="2"/>
      <c r="D816" s="2"/>
      <c r="E816" s="3"/>
      <c r="F816" s="3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</row>
    <row r="817" spans="1:29" ht="12.75" customHeight="1" x14ac:dyDescent="0.2">
      <c r="A817" s="2"/>
      <c r="B817" s="2"/>
      <c r="C817" s="2"/>
      <c r="D817" s="2"/>
      <c r="E817" s="3"/>
      <c r="F817" s="3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</row>
    <row r="818" spans="1:29" ht="12.75" customHeight="1" x14ac:dyDescent="0.2">
      <c r="A818" s="2"/>
      <c r="B818" s="2"/>
      <c r="C818" s="2"/>
      <c r="D818" s="2"/>
      <c r="E818" s="3"/>
      <c r="F818" s="3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</row>
    <row r="819" spans="1:29" ht="12.75" customHeight="1" x14ac:dyDescent="0.2">
      <c r="A819" s="2"/>
      <c r="B819" s="2"/>
      <c r="C819" s="2"/>
      <c r="D819" s="2"/>
      <c r="E819" s="3"/>
      <c r="F819" s="3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</row>
    <row r="820" spans="1:29" ht="12.75" customHeight="1" x14ac:dyDescent="0.2">
      <c r="A820" s="2"/>
      <c r="B820" s="2"/>
      <c r="C820" s="2"/>
      <c r="D820" s="2"/>
      <c r="E820" s="3"/>
      <c r="F820" s="3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</row>
    <row r="821" spans="1:29" ht="12.75" customHeight="1" x14ac:dyDescent="0.2">
      <c r="A821" s="2"/>
      <c r="B821" s="2"/>
      <c r="C821" s="2"/>
      <c r="D821" s="2"/>
      <c r="E821" s="3"/>
      <c r="F821" s="3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</row>
    <row r="822" spans="1:29" ht="12.75" customHeight="1" x14ac:dyDescent="0.2">
      <c r="A822" s="2"/>
      <c r="B822" s="2"/>
      <c r="C822" s="2"/>
      <c r="D822" s="2"/>
      <c r="E822" s="3"/>
      <c r="F822" s="3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</row>
    <row r="823" spans="1:29" ht="12.75" customHeight="1" x14ac:dyDescent="0.2">
      <c r="A823" s="2"/>
      <c r="B823" s="2"/>
      <c r="C823" s="2"/>
      <c r="D823" s="2"/>
      <c r="E823" s="3"/>
      <c r="F823" s="3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</row>
    <row r="824" spans="1:29" ht="12.75" customHeight="1" x14ac:dyDescent="0.2">
      <c r="A824" s="2"/>
      <c r="B824" s="2"/>
      <c r="C824" s="2"/>
      <c r="D824" s="2"/>
      <c r="E824" s="3"/>
      <c r="F824" s="3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</row>
    <row r="825" spans="1:29" ht="12.75" customHeight="1" x14ac:dyDescent="0.2">
      <c r="A825" s="2"/>
      <c r="B825" s="2"/>
      <c r="C825" s="2"/>
      <c r="D825" s="2"/>
      <c r="E825" s="3"/>
      <c r="F825" s="3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</row>
    <row r="826" spans="1:29" ht="12.75" customHeight="1" x14ac:dyDescent="0.2">
      <c r="A826" s="2"/>
      <c r="B826" s="2"/>
      <c r="C826" s="2"/>
      <c r="D826" s="2"/>
      <c r="E826" s="3"/>
      <c r="F826" s="3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</row>
    <row r="827" spans="1:29" ht="12.75" customHeight="1" x14ac:dyDescent="0.2">
      <c r="A827" s="2"/>
      <c r="B827" s="2"/>
      <c r="C827" s="2"/>
      <c r="D827" s="2"/>
      <c r="E827" s="3"/>
      <c r="F827" s="3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</row>
    <row r="828" spans="1:29" ht="12.75" customHeight="1" x14ac:dyDescent="0.2">
      <c r="A828" s="2"/>
      <c r="B828" s="2"/>
      <c r="C828" s="2"/>
      <c r="D828" s="2"/>
      <c r="E828" s="3"/>
      <c r="F828" s="3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</row>
    <row r="829" spans="1:29" ht="12.75" customHeight="1" x14ac:dyDescent="0.2">
      <c r="A829" s="2"/>
      <c r="B829" s="2"/>
      <c r="C829" s="2"/>
      <c r="D829" s="2"/>
      <c r="E829" s="3"/>
      <c r="F829" s="3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</row>
    <row r="830" spans="1:29" ht="12.75" customHeight="1" x14ac:dyDescent="0.2">
      <c r="A830" s="2"/>
      <c r="B830" s="2"/>
      <c r="C830" s="2"/>
      <c r="D830" s="2"/>
      <c r="E830" s="3"/>
      <c r="F830" s="3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</row>
    <row r="831" spans="1:29" ht="12.75" customHeight="1" x14ac:dyDescent="0.2">
      <c r="A831" s="2"/>
      <c r="B831" s="2"/>
      <c r="C831" s="2"/>
      <c r="D831" s="2"/>
      <c r="E831" s="3"/>
      <c r="F831" s="3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</row>
    <row r="832" spans="1:29" ht="12.75" customHeight="1" x14ac:dyDescent="0.2">
      <c r="A832" s="2"/>
      <c r="B832" s="2"/>
      <c r="C832" s="2"/>
      <c r="D832" s="2"/>
      <c r="E832" s="3"/>
      <c r="F832" s="3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</row>
    <row r="833" spans="1:29" ht="12.75" customHeight="1" x14ac:dyDescent="0.2">
      <c r="A833" s="2"/>
      <c r="B833" s="2"/>
      <c r="C833" s="2"/>
      <c r="D833" s="2"/>
      <c r="E833" s="3"/>
      <c r="F833" s="3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</row>
    <row r="834" spans="1:29" ht="12.75" customHeight="1" x14ac:dyDescent="0.2">
      <c r="A834" s="2"/>
      <c r="B834" s="2"/>
      <c r="C834" s="2"/>
      <c r="D834" s="2"/>
      <c r="E834" s="3"/>
      <c r="F834" s="3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</row>
    <row r="835" spans="1:29" ht="12.75" customHeight="1" x14ac:dyDescent="0.2">
      <c r="A835" s="2"/>
      <c r="B835" s="2"/>
      <c r="C835" s="2"/>
      <c r="D835" s="2"/>
      <c r="E835" s="3"/>
      <c r="F835" s="3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</row>
    <row r="836" spans="1:29" ht="12.75" customHeight="1" x14ac:dyDescent="0.2">
      <c r="A836" s="2"/>
      <c r="B836" s="2"/>
      <c r="C836" s="2"/>
      <c r="D836" s="2"/>
      <c r="E836" s="3"/>
      <c r="F836" s="3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</row>
    <row r="837" spans="1:29" ht="12.75" customHeight="1" x14ac:dyDescent="0.2">
      <c r="A837" s="2"/>
      <c r="B837" s="2"/>
      <c r="C837" s="2"/>
      <c r="D837" s="2"/>
      <c r="E837" s="3"/>
      <c r="F837" s="3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</row>
    <row r="838" spans="1:29" ht="12.75" customHeight="1" x14ac:dyDescent="0.2">
      <c r="A838" s="2"/>
      <c r="B838" s="2"/>
      <c r="C838" s="2"/>
      <c r="D838" s="2"/>
      <c r="E838" s="3"/>
      <c r="F838" s="3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</row>
    <row r="839" spans="1:29" ht="12.75" customHeight="1" x14ac:dyDescent="0.2">
      <c r="A839" s="2"/>
      <c r="B839" s="2"/>
      <c r="C839" s="2"/>
      <c r="D839" s="2"/>
      <c r="E839" s="3"/>
      <c r="F839" s="3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</row>
    <row r="840" spans="1:29" ht="12.75" customHeight="1" x14ac:dyDescent="0.2">
      <c r="A840" s="2"/>
      <c r="B840" s="2"/>
      <c r="C840" s="2"/>
      <c r="D840" s="2"/>
      <c r="E840" s="3"/>
      <c r="F840" s="3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</row>
    <row r="841" spans="1:29" ht="12.75" customHeight="1" x14ac:dyDescent="0.2">
      <c r="A841" s="2"/>
      <c r="B841" s="2"/>
      <c r="C841" s="2"/>
      <c r="D841" s="2"/>
      <c r="E841" s="3"/>
      <c r="F841" s="3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</row>
    <row r="842" spans="1:29" ht="12.75" customHeight="1" x14ac:dyDescent="0.2">
      <c r="A842" s="2"/>
      <c r="B842" s="2"/>
      <c r="C842" s="2"/>
      <c r="D842" s="2"/>
      <c r="E842" s="3"/>
      <c r="F842" s="3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</row>
    <row r="843" spans="1:29" ht="12.75" customHeight="1" x14ac:dyDescent="0.2">
      <c r="A843" s="2"/>
      <c r="B843" s="2"/>
      <c r="C843" s="2"/>
      <c r="D843" s="2"/>
      <c r="E843" s="3"/>
      <c r="F843" s="3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</row>
    <row r="844" spans="1:29" ht="12.75" customHeight="1" x14ac:dyDescent="0.2">
      <c r="A844" s="2"/>
      <c r="B844" s="2"/>
      <c r="C844" s="2"/>
      <c r="D844" s="2"/>
      <c r="E844" s="3"/>
      <c r="F844" s="3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</row>
    <row r="845" spans="1:29" ht="12.75" customHeight="1" x14ac:dyDescent="0.2">
      <c r="A845" s="2"/>
      <c r="B845" s="2"/>
      <c r="C845" s="2"/>
      <c r="D845" s="2"/>
      <c r="E845" s="3"/>
      <c r="F845" s="3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</row>
    <row r="846" spans="1:29" ht="12.75" customHeight="1" x14ac:dyDescent="0.2">
      <c r="A846" s="2"/>
      <c r="B846" s="2"/>
      <c r="C846" s="2"/>
      <c r="D846" s="2"/>
      <c r="E846" s="3"/>
      <c r="F846" s="3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</row>
    <row r="847" spans="1:29" ht="12.75" customHeight="1" x14ac:dyDescent="0.2">
      <c r="A847" s="2"/>
      <c r="B847" s="2"/>
      <c r="C847" s="2"/>
      <c r="D847" s="2"/>
      <c r="E847" s="3"/>
      <c r="F847" s="3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</row>
    <row r="848" spans="1:29" ht="12.75" customHeight="1" x14ac:dyDescent="0.2">
      <c r="A848" s="2"/>
      <c r="B848" s="2"/>
      <c r="C848" s="2"/>
      <c r="D848" s="2"/>
      <c r="E848" s="3"/>
      <c r="F848" s="3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</row>
    <row r="849" spans="1:29" ht="12.75" customHeight="1" x14ac:dyDescent="0.2">
      <c r="A849" s="2"/>
      <c r="B849" s="2"/>
      <c r="C849" s="2"/>
      <c r="D849" s="2"/>
      <c r="E849" s="3"/>
      <c r="F849" s="3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</row>
    <row r="850" spans="1:29" ht="12.75" customHeight="1" x14ac:dyDescent="0.2">
      <c r="A850" s="2"/>
      <c r="B850" s="2"/>
      <c r="C850" s="2"/>
      <c r="D850" s="2"/>
      <c r="E850" s="3"/>
      <c r="F850" s="3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</row>
    <row r="851" spans="1:29" ht="12.75" customHeight="1" x14ac:dyDescent="0.2">
      <c r="A851" s="2"/>
      <c r="B851" s="2"/>
      <c r="C851" s="2"/>
      <c r="D851" s="2"/>
      <c r="E851" s="3"/>
      <c r="F851" s="3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</row>
    <row r="852" spans="1:29" ht="12.75" customHeight="1" x14ac:dyDescent="0.2">
      <c r="A852" s="2"/>
      <c r="B852" s="2"/>
      <c r="C852" s="2"/>
      <c r="D852" s="2"/>
      <c r="E852" s="3"/>
      <c r="F852" s="3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</row>
    <row r="853" spans="1:29" ht="12.75" customHeight="1" x14ac:dyDescent="0.2">
      <c r="A853" s="2"/>
      <c r="B853" s="2"/>
      <c r="C853" s="2"/>
      <c r="D853" s="2"/>
      <c r="E853" s="3"/>
      <c r="F853" s="3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</row>
    <row r="854" spans="1:29" ht="12.75" customHeight="1" x14ac:dyDescent="0.2">
      <c r="A854" s="2"/>
      <c r="B854" s="2"/>
      <c r="C854" s="2"/>
      <c r="D854" s="2"/>
      <c r="E854" s="3"/>
      <c r="F854" s="3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</row>
    <row r="855" spans="1:29" ht="12.75" customHeight="1" x14ac:dyDescent="0.2">
      <c r="A855" s="2"/>
      <c r="B855" s="2"/>
      <c r="C855" s="2"/>
      <c r="D855" s="2"/>
      <c r="E855" s="3"/>
      <c r="F855" s="3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</row>
    <row r="856" spans="1:29" ht="12.75" customHeight="1" x14ac:dyDescent="0.2">
      <c r="A856" s="2"/>
      <c r="B856" s="2"/>
      <c r="C856" s="2"/>
      <c r="D856" s="2"/>
      <c r="E856" s="3"/>
      <c r="F856" s="3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</row>
    <row r="857" spans="1:29" ht="12.75" customHeight="1" x14ac:dyDescent="0.2">
      <c r="A857" s="2"/>
      <c r="B857" s="2"/>
      <c r="C857" s="2"/>
      <c r="D857" s="2"/>
      <c r="E857" s="3"/>
      <c r="F857" s="3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</row>
    <row r="858" spans="1:29" ht="12.75" customHeight="1" x14ac:dyDescent="0.2">
      <c r="A858" s="2"/>
      <c r="B858" s="2"/>
      <c r="C858" s="2"/>
      <c r="D858" s="2"/>
      <c r="E858" s="3"/>
      <c r="F858" s="3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</row>
    <row r="859" spans="1:29" ht="12.75" customHeight="1" x14ac:dyDescent="0.2">
      <c r="A859" s="2"/>
      <c r="B859" s="2"/>
      <c r="C859" s="2"/>
      <c r="D859" s="2"/>
      <c r="E859" s="3"/>
      <c r="F859" s="3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</row>
    <row r="860" spans="1:29" ht="12.75" customHeight="1" x14ac:dyDescent="0.2">
      <c r="A860" s="2"/>
      <c r="B860" s="2"/>
      <c r="C860" s="2"/>
      <c r="D860" s="2"/>
      <c r="E860" s="3"/>
      <c r="F860" s="3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</row>
    <row r="861" spans="1:29" ht="12.75" customHeight="1" x14ac:dyDescent="0.2">
      <c r="A861" s="2"/>
      <c r="B861" s="2"/>
      <c r="C861" s="2"/>
      <c r="D861" s="2"/>
      <c r="E861" s="3"/>
      <c r="F861" s="3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</row>
    <row r="862" spans="1:29" ht="12.75" customHeight="1" x14ac:dyDescent="0.2">
      <c r="A862" s="2"/>
      <c r="B862" s="2"/>
      <c r="C862" s="2"/>
      <c r="D862" s="2"/>
      <c r="E862" s="3"/>
      <c r="F862" s="3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</row>
    <row r="863" spans="1:29" ht="12.75" customHeight="1" x14ac:dyDescent="0.2">
      <c r="A863" s="2"/>
      <c r="B863" s="2"/>
      <c r="C863" s="2"/>
      <c r="D863" s="2"/>
      <c r="E863" s="3"/>
      <c r="F863" s="3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</row>
    <row r="864" spans="1:29" ht="12.75" customHeight="1" x14ac:dyDescent="0.2">
      <c r="A864" s="2"/>
      <c r="B864" s="2"/>
      <c r="C864" s="2"/>
      <c r="D864" s="2"/>
      <c r="E864" s="3"/>
      <c r="F864" s="3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</row>
    <row r="865" spans="1:29" ht="12.75" customHeight="1" x14ac:dyDescent="0.2">
      <c r="A865" s="2"/>
      <c r="B865" s="2"/>
      <c r="C865" s="2"/>
      <c r="D865" s="2"/>
      <c r="E865" s="3"/>
      <c r="F865" s="3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</row>
    <row r="866" spans="1:29" ht="12.75" customHeight="1" x14ac:dyDescent="0.2">
      <c r="A866" s="2"/>
      <c r="B866" s="2"/>
      <c r="C866" s="2"/>
      <c r="D866" s="2"/>
      <c r="E866" s="3"/>
      <c r="F866" s="3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</row>
    <row r="867" spans="1:29" ht="12.75" customHeight="1" x14ac:dyDescent="0.2">
      <c r="A867" s="2"/>
      <c r="B867" s="2"/>
      <c r="C867" s="2"/>
      <c r="D867" s="2"/>
      <c r="E867" s="3"/>
      <c r="F867" s="3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</row>
    <row r="868" spans="1:29" ht="12.75" customHeight="1" x14ac:dyDescent="0.2">
      <c r="A868" s="2"/>
      <c r="B868" s="2"/>
      <c r="C868" s="2"/>
      <c r="D868" s="2"/>
      <c r="E868" s="3"/>
      <c r="F868" s="3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</row>
    <row r="869" spans="1:29" ht="12.75" customHeight="1" x14ac:dyDescent="0.2">
      <c r="A869" s="2"/>
      <c r="B869" s="2"/>
      <c r="C869" s="2"/>
      <c r="D869" s="2"/>
      <c r="E869" s="3"/>
      <c r="F869" s="3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</row>
    <row r="870" spans="1:29" ht="12.75" customHeight="1" x14ac:dyDescent="0.2">
      <c r="A870" s="2"/>
      <c r="B870" s="2"/>
      <c r="C870" s="2"/>
      <c r="D870" s="2"/>
      <c r="E870" s="3"/>
      <c r="F870" s="3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</row>
    <row r="871" spans="1:29" ht="12.75" customHeight="1" x14ac:dyDescent="0.2">
      <c r="A871" s="2"/>
      <c r="B871" s="2"/>
      <c r="C871" s="2"/>
      <c r="D871" s="2"/>
      <c r="E871" s="3"/>
      <c r="F871" s="3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</row>
    <row r="872" spans="1:29" ht="12.75" customHeight="1" x14ac:dyDescent="0.2">
      <c r="A872" s="2"/>
      <c r="B872" s="2"/>
      <c r="C872" s="2"/>
      <c r="D872" s="2"/>
      <c r="E872" s="3"/>
      <c r="F872" s="3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</row>
    <row r="873" spans="1:29" ht="12.75" customHeight="1" x14ac:dyDescent="0.2">
      <c r="A873" s="2"/>
      <c r="B873" s="2"/>
      <c r="C873" s="2"/>
      <c r="D873" s="2"/>
      <c r="E873" s="3"/>
      <c r="F873" s="3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</row>
    <row r="874" spans="1:29" ht="12.75" customHeight="1" x14ac:dyDescent="0.2">
      <c r="A874" s="2"/>
      <c r="B874" s="2"/>
      <c r="C874" s="2"/>
      <c r="D874" s="2"/>
      <c r="E874" s="3"/>
      <c r="F874" s="3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</row>
    <row r="875" spans="1:29" ht="12.75" customHeight="1" x14ac:dyDescent="0.2">
      <c r="A875" s="2"/>
      <c r="B875" s="2"/>
      <c r="C875" s="2"/>
      <c r="D875" s="2"/>
      <c r="E875" s="3"/>
      <c r="F875" s="3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</row>
    <row r="876" spans="1:29" ht="12.75" customHeight="1" x14ac:dyDescent="0.2">
      <c r="A876" s="2"/>
      <c r="B876" s="2"/>
      <c r="C876" s="2"/>
      <c r="D876" s="2"/>
      <c r="E876" s="3"/>
      <c r="F876" s="3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</row>
    <row r="877" spans="1:29" ht="12.75" customHeight="1" x14ac:dyDescent="0.2">
      <c r="A877" s="2"/>
      <c r="B877" s="2"/>
      <c r="C877" s="2"/>
      <c r="D877" s="2"/>
      <c r="E877" s="3"/>
      <c r="F877" s="3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</row>
    <row r="878" spans="1:29" ht="12.75" customHeight="1" x14ac:dyDescent="0.2">
      <c r="A878" s="2"/>
      <c r="B878" s="2"/>
      <c r="C878" s="2"/>
      <c r="D878" s="2"/>
      <c r="E878" s="3"/>
      <c r="F878" s="3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</row>
    <row r="879" spans="1:29" ht="12.75" customHeight="1" x14ac:dyDescent="0.2">
      <c r="A879" s="2"/>
      <c r="B879" s="2"/>
      <c r="C879" s="2"/>
      <c r="D879" s="2"/>
      <c r="E879" s="3"/>
      <c r="F879" s="3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</row>
    <row r="880" spans="1:29" ht="12.75" customHeight="1" x14ac:dyDescent="0.2">
      <c r="A880" s="2"/>
      <c r="B880" s="2"/>
      <c r="C880" s="2"/>
      <c r="D880" s="2"/>
      <c r="E880" s="3"/>
      <c r="F880" s="3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</row>
    <row r="881" spans="1:29" ht="12.75" customHeight="1" x14ac:dyDescent="0.2">
      <c r="A881" s="2"/>
      <c r="B881" s="2"/>
      <c r="C881" s="2"/>
      <c r="D881" s="2"/>
      <c r="E881" s="3"/>
      <c r="F881" s="3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</row>
    <row r="882" spans="1:29" ht="12.75" customHeight="1" x14ac:dyDescent="0.2">
      <c r="A882" s="2"/>
      <c r="B882" s="2"/>
      <c r="C882" s="2"/>
      <c r="D882" s="2"/>
      <c r="E882" s="3"/>
      <c r="F882" s="3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</row>
    <row r="883" spans="1:29" ht="12.75" customHeight="1" x14ac:dyDescent="0.2">
      <c r="A883" s="2"/>
      <c r="B883" s="2"/>
      <c r="C883" s="2"/>
      <c r="D883" s="2"/>
      <c r="E883" s="3"/>
      <c r="F883" s="3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</row>
    <row r="884" spans="1:29" ht="12.75" customHeight="1" x14ac:dyDescent="0.2">
      <c r="A884" s="2"/>
      <c r="B884" s="2"/>
      <c r="C884" s="2"/>
      <c r="D884" s="2"/>
      <c r="E884" s="3"/>
      <c r="F884" s="3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</row>
    <row r="885" spans="1:29" ht="12.75" customHeight="1" x14ac:dyDescent="0.2">
      <c r="A885" s="2"/>
      <c r="B885" s="2"/>
      <c r="C885" s="2"/>
      <c r="D885" s="2"/>
      <c r="E885" s="3"/>
      <c r="F885" s="3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</row>
    <row r="886" spans="1:29" ht="12.75" customHeight="1" x14ac:dyDescent="0.2">
      <c r="A886" s="2"/>
      <c r="B886" s="2"/>
      <c r="C886" s="2"/>
      <c r="D886" s="2"/>
      <c r="E886" s="3"/>
      <c r="F886" s="3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</row>
    <row r="887" spans="1:29" ht="12.75" customHeight="1" x14ac:dyDescent="0.2">
      <c r="A887" s="2"/>
      <c r="B887" s="2"/>
      <c r="C887" s="2"/>
      <c r="D887" s="2"/>
      <c r="E887" s="3"/>
      <c r="F887" s="3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</row>
    <row r="888" spans="1:29" ht="12.75" customHeight="1" x14ac:dyDescent="0.2">
      <c r="A888" s="2"/>
      <c r="B888" s="2"/>
      <c r="C888" s="2"/>
      <c r="D888" s="2"/>
      <c r="E888" s="3"/>
      <c r="F888" s="3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</row>
    <row r="889" spans="1:29" ht="12.75" customHeight="1" x14ac:dyDescent="0.2">
      <c r="A889" s="2"/>
      <c r="B889" s="2"/>
      <c r="C889" s="2"/>
      <c r="D889" s="2"/>
      <c r="E889" s="3"/>
      <c r="F889" s="3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</row>
    <row r="890" spans="1:29" ht="12.75" customHeight="1" x14ac:dyDescent="0.2">
      <c r="A890" s="2"/>
      <c r="B890" s="2"/>
      <c r="C890" s="2"/>
      <c r="D890" s="2"/>
      <c r="E890" s="3"/>
      <c r="F890" s="3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</row>
    <row r="891" spans="1:29" ht="12.75" customHeight="1" x14ac:dyDescent="0.2">
      <c r="A891" s="2"/>
      <c r="B891" s="2"/>
      <c r="C891" s="2"/>
      <c r="D891" s="2"/>
      <c r="E891" s="3"/>
      <c r="F891" s="3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</row>
    <row r="892" spans="1:29" ht="12.75" customHeight="1" x14ac:dyDescent="0.2">
      <c r="A892" s="2"/>
      <c r="B892" s="2"/>
      <c r="C892" s="2"/>
      <c r="D892" s="2"/>
      <c r="E892" s="3"/>
      <c r="F892" s="3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</row>
    <row r="893" spans="1:29" ht="12.75" customHeight="1" x14ac:dyDescent="0.2">
      <c r="A893" s="2"/>
      <c r="B893" s="2"/>
      <c r="C893" s="2"/>
      <c r="D893" s="2"/>
      <c r="E893" s="3"/>
      <c r="F893" s="3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</row>
    <row r="894" spans="1:29" ht="12.75" customHeight="1" x14ac:dyDescent="0.2">
      <c r="A894" s="2"/>
      <c r="B894" s="2"/>
      <c r="C894" s="2"/>
      <c r="D894" s="2"/>
      <c r="E894" s="3"/>
      <c r="F894" s="3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</row>
    <row r="895" spans="1:29" ht="12.75" customHeight="1" x14ac:dyDescent="0.2">
      <c r="A895" s="2"/>
      <c r="B895" s="2"/>
      <c r="C895" s="2"/>
      <c r="D895" s="2"/>
      <c r="E895" s="3"/>
      <c r="F895" s="3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</row>
    <row r="896" spans="1:29" ht="12.75" customHeight="1" x14ac:dyDescent="0.2">
      <c r="A896" s="2"/>
      <c r="B896" s="2"/>
      <c r="C896" s="2"/>
      <c r="D896" s="2"/>
      <c r="E896" s="3"/>
      <c r="F896" s="3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</row>
    <row r="897" spans="1:29" ht="12.75" customHeight="1" x14ac:dyDescent="0.2">
      <c r="A897" s="2"/>
      <c r="B897" s="2"/>
      <c r="C897" s="2"/>
      <c r="D897" s="2"/>
      <c r="E897" s="3"/>
      <c r="F897" s="3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</row>
    <row r="898" spans="1:29" ht="12.75" customHeight="1" x14ac:dyDescent="0.2">
      <c r="A898" s="2"/>
      <c r="B898" s="2"/>
      <c r="C898" s="2"/>
      <c r="D898" s="2"/>
      <c r="E898" s="3"/>
      <c r="F898" s="3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</row>
    <row r="899" spans="1:29" ht="12.75" customHeight="1" x14ac:dyDescent="0.2">
      <c r="A899" s="2"/>
      <c r="B899" s="2"/>
      <c r="C899" s="2"/>
      <c r="D899" s="2"/>
      <c r="E899" s="3"/>
      <c r="F899" s="3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</row>
    <row r="900" spans="1:29" ht="12.75" customHeight="1" x14ac:dyDescent="0.2">
      <c r="A900" s="2"/>
      <c r="B900" s="2"/>
      <c r="C900" s="2"/>
      <c r="D900" s="2"/>
      <c r="E900" s="3"/>
      <c r="F900" s="3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</row>
    <row r="901" spans="1:29" ht="12.75" customHeight="1" x14ac:dyDescent="0.2">
      <c r="A901" s="2"/>
      <c r="B901" s="2"/>
      <c r="C901" s="2"/>
      <c r="D901" s="2"/>
      <c r="E901" s="3"/>
      <c r="F901" s="3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</row>
    <row r="902" spans="1:29" ht="12.75" customHeight="1" x14ac:dyDescent="0.2">
      <c r="A902" s="2"/>
      <c r="B902" s="2"/>
      <c r="C902" s="2"/>
      <c r="D902" s="2"/>
      <c r="E902" s="3"/>
      <c r="F902" s="3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</row>
    <row r="903" spans="1:29" ht="12.75" customHeight="1" x14ac:dyDescent="0.2">
      <c r="A903" s="2"/>
      <c r="B903" s="2"/>
      <c r="C903" s="2"/>
      <c r="D903" s="2"/>
      <c r="E903" s="3"/>
      <c r="F903" s="3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</row>
    <row r="904" spans="1:29" ht="12.75" customHeight="1" x14ac:dyDescent="0.2">
      <c r="A904" s="2"/>
      <c r="B904" s="2"/>
      <c r="C904" s="2"/>
      <c r="D904" s="2"/>
      <c r="E904" s="3"/>
      <c r="F904" s="3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</row>
    <row r="905" spans="1:29" ht="12.75" customHeight="1" x14ac:dyDescent="0.2">
      <c r="A905" s="2"/>
      <c r="B905" s="2"/>
      <c r="C905" s="2"/>
      <c r="D905" s="2"/>
      <c r="E905" s="3"/>
      <c r="F905" s="3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</row>
    <row r="906" spans="1:29" ht="12.75" customHeight="1" x14ac:dyDescent="0.2">
      <c r="A906" s="2"/>
      <c r="B906" s="2"/>
      <c r="C906" s="2"/>
      <c r="D906" s="2"/>
      <c r="E906" s="3"/>
      <c r="F906" s="3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</row>
    <row r="907" spans="1:29" ht="12.75" customHeight="1" x14ac:dyDescent="0.2">
      <c r="A907" s="2"/>
      <c r="B907" s="2"/>
      <c r="C907" s="2"/>
      <c r="D907" s="2"/>
      <c r="E907" s="3"/>
      <c r="F907" s="3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</row>
    <row r="908" spans="1:29" ht="12.75" customHeight="1" x14ac:dyDescent="0.2">
      <c r="A908" s="2"/>
      <c r="B908" s="2"/>
      <c r="C908" s="2"/>
      <c r="D908" s="2"/>
      <c r="E908" s="3"/>
      <c r="F908" s="3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</row>
    <row r="909" spans="1:29" ht="12.75" customHeight="1" x14ac:dyDescent="0.2">
      <c r="A909" s="2"/>
      <c r="B909" s="2"/>
      <c r="C909" s="2"/>
      <c r="D909" s="2"/>
      <c r="E909" s="3"/>
      <c r="F909" s="3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</row>
    <row r="910" spans="1:29" ht="12.75" customHeight="1" x14ac:dyDescent="0.2">
      <c r="A910" s="2"/>
      <c r="B910" s="2"/>
      <c r="C910" s="2"/>
      <c r="D910" s="2"/>
      <c r="E910" s="3"/>
      <c r="F910" s="3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</row>
    <row r="911" spans="1:29" ht="12.75" customHeight="1" x14ac:dyDescent="0.2">
      <c r="A911" s="2"/>
      <c r="B911" s="2"/>
      <c r="C911" s="2"/>
      <c r="D911" s="2"/>
      <c r="E911" s="3"/>
      <c r="F911" s="3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</row>
    <row r="912" spans="1:29" ht="12.75" customHeight="1" x14ac:dyDescent="0.2">
      <c r="A912" s="2"/>
      <c r="B912" s="2"/>
      <c r="C912" s="2"/>
      <c r="D912" s="2"/>
      <c r="E912" s="3"/>
      <c r="F912" s="3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</row>
    <row r="913" spans="1:29" ht="12.75" customHeight="1" x14ac:dyDescent="0.2">
      <c r="A913" s="2"/>
      <c r="B913" s="2"/>
      <c r="C913" s="2"/>
      <c r="D913" s="2"/>
      <c r="E913" s="3"/>
      <c r="F913" s="3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</row>
    <row r="914" spans="1:29" ht="12.75" customHeight="1" x14ac:dyDescent="0.2">
      <c r="A914" s="2"/>
      <c r="B914" s="2"/>
      <c r="C914" s="2"/>
      <c r="D914" s="2"/>
      <c r="E914" s="3"/>
      <c r="F914" s="3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</row>
    <row r="915" spans="1:29" ht="12.75" customHeight="1" x14ac:dyDescent="0.2">
      <c r="A915" s="2"/>
      <c r="B915" s="2"/>
      <c r="C915" s="2"/>
      <c r="D915" s="2"/>
      <c r="E915" s="3"/>
      <c r="F915" s="3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</row>
    <row r="916" spans="1:29" ht="12.75" customHeight="1" x14ac:dyDescent="0.2">
      <c r="A916" s="2"/>
      <c r="B916" s="2"/>
      <c r="C916" s="2"/>
      <c r="D916" s="2"/>
      <c r="E916" s="3"/>
      <c r="F916" s="3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</row>
    <row r="917" spans="1:29" ht="12.75" customHeight="1" x14ac:dyDescent="0.2">
      <c r="A917" s="2"/>
      <c r="B917" s="2"/>
      <c r="C917" s="2"/>
      <c r="D917" s="2"/>
      <c r="E917" s="3"/>
      <c r="F917" s="3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</row>
    <row r="918" spans="1:29" ht="12.75" customHeight="1" x14ac:dyDescent="0.2">
      <c r="A918" s="2"/>
      <c r="B918" s="2"/>
      <c r="C918" s="2"/>
      <c r="D918" s="2"/>
      <c r="E918" s="3"/>
      <c r="F918" s="3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</row>
    <row r="919" spans="1:29" ht="12.75" customHeight="1" x14ac:dyDescent="0.2">
      <c r="A919" s="2"/>
      <c r="B919" s="2"/>
      <c r="C919" s="2"/>
      <c r="D919" s="2"/>
      <c r="E919" s="3"/>
      <c r="F919" s="3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</row>
    <row r="920" spans="1:29" ht="12.75" customHeight="1" x14ac:dyDescent="0.2">
      <c r="A920" s="2"/>
      <c r="B920" s="2"/>
      <c r="C920" s="2"/>
      <c r="D920" s="2"/>
      <c r="E920" s="3"/>
      <c r="F920" s="3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</row>
    <row r="921" spans="1:29" ht="12.75" customHeight="1" x14ac:dyDescent="0.2">
      <c r="A921" s="2"/>
      <c r="B921" s="2"/>
      <c r="C921" s="2"/>
      <c r="D921" s="2"/>
      <c r="E921" s="3"/>
      <c r="F921" s="3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</row>
    <row r="922" spans="1:29" ht="12.75" customHeight="1" x14ac:dyDescent="0.2">
      <c r="A922" s="2"/>
      <c r="B922" s="2"/>
      <c r="C922" s="2"/>
      <c r="D922" s="2"/>
      <c r="E922" s="3"/>
      <c r="F922" s="3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</row>
    <row r="923" spans="1:29" ht="12.75" customHeight="1" x14ac:dyDescent="0.2">
      <c r="A923" s="2"/>
      <c r="B923" s="2"/>
      <c r="C923" s="2"/>
      <c r="D923" s="2"/>
      <c r="E923" s="3"/>
      <c r="F923" s="3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</row>
    <row r="924" spans="1:29" ht="12.75" customHeight="1" x14ac:dyDescent="0.2">
      <c r="A924" s="2"/>
      <c r="B924" s="2"/>
      <c r="C924" s="2"/>
      <c r="D924" s="2"/>
      <c r="E924" s="3"/>
      <c r="F924" s="3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</row>
    <row r="925" spans="1:29" ht="12.75" customHeight="1" x14ac:dyDescent="0.2">
      <c r="A925" s="2"/>
      <c r="B925" s="2"/>
      <c r="C925" s="2"/>
      <c r="D925" s="2"/>
      <c r="E925" s="3"/>
      <c r="F925" s="3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</row>
    <row r="926" spans="1:29" ht="12.75" customHeight="1" x14ac:dyDescent="0.2">
      <c r="A926" s="2"/>
      <c r="B926" s="2"/>
      <c r="C926" s="2"/>
      <c r="D926" s="2"/>
      <c r="E926" s="3"/>
      <c r="F926" s="3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</row>
    <row r="927" spans="1:29" ht="12.75" customHeight="1" x14ac:dyDescent="0.2">
      <c r="A927" s="2"/>
      <c r="B927" s="2"/>
      <c r="C927" s="2"/>
      <c r="D927" s="2"/>
      <c r="E927" s="3"/>
      <c r="F927" s="3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</row>
    <row r="928" spans="1:29" ht="12.75" customHeight="1" x14ac:dyDescent="0.2">
      <c r="A928" s="2"/>
      <c r="B928" s="2"/>
      <c r="C928" s="2"/>
      <c r="D928" s="2"/>
      <c r="E928" s="3"/>
      <c r="F928" s="3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</row>
    <row r="929" spans="1:29" ht="12.75" customHeight="1" x14ac:dyDescent="0.2">
      <c r="A929" s="2"/>
      <c r="B929" s="2"/>
      <c r="C929" s="2"/>
      <c r="D929" s="2"/>
      <c r="E929" s="3"/>
      <c r="F929" s="3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</row>
    <row r="930" spans="1:29" ht="12.75" customHeight="1" x14ac:dyDescent="0.2">
      <c r="A930" s="2"/>
      <c r="B930" s="2"/>
      <c r="C930" s="2"/>
      <c r="D930" s="2"/>
      <c r="E930" s="3"/>
      <c r="F930" s="3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</row>
    <row r="931" spans="1:29" ht="12.75" customHeight="1" x14ac:dyDescent="0.2">
      <c r="A931" s="2"/>
      <c r="B931" s="2"/>
      <c r="C931" s="2"/>
      <c r="D931" s="2"/>
      <c r="E931" s="3"/>
      <c r="F931" s="3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</row>
    <row r="932" spans="1:29" ht="12.75" customHeight="1" x14ac:dyDescent="0.2">
      <c r="A932" s="2"/>
      <c r="B932" s="2"/>
      <c r="C932" s="2"/>
      <c r="D932" s="2"/>
      <c r="E932" s="3"/>
      <c r="F932" s="3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</row>
    <row r="933" spans="1:29" ht="12.75" customHeight="1" x14ac:dyDescent="0.2">
      <c r="A933" s="2"/>
      <c r="B933" s="2"/>
      <c r="C933" s="2"/>
      <c r="D933" s="2"/>
      <c r="E933" s="3"/>
      <c r="F933" s="3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</row>
    <row r="934" spans="1:29" ht="12.75" customHeight="1" x14ac:dyDescent="0.2">
      <c r="A934" s="2"/>
      <c r="B934" s="2"/>
      <c r="C934" s="2"/>
      <c r="D934" s="2"/>
      <c r="E934" s="3"/>
      <c r="F934" s="3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</row>
    <row r="935" spans="1:29" ht="12.75" customHeight="1" x14ac:dyDescent="0.2">
      <c r="A935" s="2"/>
      <c r="B935" s="2"/>
      <c r="C935" s="2"/>
      <c r="D935" s="2"/>
      <c r="E935" s="3"/>
      <c r="F935" s="3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</row>
    <row r="936" spans="1:29" ht="12.75" customHeight="1" x14ac:dyDescent="0.2">
      <c r="A936" s="2"/>
      <c r="B936" s="2"/>
      <c r="C936" s="2"/>
      <c r="D936" s="2"/>
      <c r="E936" s="3"/>
      <c r="F936" s="3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</row>
    <row r="937" spans="1:29" ht="12.75" customHeight="1" x14ac:dyDescent="0.2">
      <c r="A937" s="2"/>
      <c r="B937" s="2"/>
      <c r="C937" s="2"/>
      <c r="D937" s="2"/>
      <c r="E937" s="3"/>
      <c r="F937" s="3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</row>
    <row r="938" spans="1:29" ht="12.75" customHeight="1" x14ac:dyDescent="0.2">
      <c r="A938" s="2"/>
      <c r="B938" s="2"/>
      <c r="C938" s="2"/>
      <c r="D938" s="2"/>
      <c r="E938" s="3"/>
      <c r="F938" s="3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</row>
    <row r="939" spans="1:29" ht="12.75" customHeight="1" x14ac:dyDescent="0.2">
      <c r="A939" s="2"/>
      <c r="B939" s="2"/>
      <c r="C939" s="2"/>
      <c r="D939" s="2"/>
      <c r="E939" s="3"/>
      <c r="F939" s="3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</row>
    <row r="940" spans="1:29" ht="12.75" customHeight="1" x14ac:dyDescent="0.2">
      <c r="A940" s="2"/>
      <c r="B940" s="2"/>
      <c r="C940" s="2"/>
      <c r="D940" s="2"/>
      <c r="E940" s="3"/>
      <c r="F940" s="3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</row>
    <row r="941" spans="1:29" ht="12.75" customHeight="1" x14ac:dyDescent="0.2">
      <c r="A941" s="2"/>
      <c r="B941" s="2"/>
      <c r="C941" s="2"/>
      <c r="D941" s="2"/>
      <c r="E941" s="3"/>
      <c r="F941" s="3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</row>
    <row r="942" spans="1:29" ht="12.75" customHeight="1" x14ac:dyDescent="0.2">
      <c r="A942" s="2"/>
      <c r="B942" s="2"/>
      <c r="C942" s="2"/>
      <c r="D942" s="2"/>
      <c r="E942" s="3"/>
      <c r="F942" s="3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</row>
    <row r="943" spans="1:29" ht="12.75" customHeight="1" x14ac:dyDescent="0.2">
      <c r="A943" s="2"/>
      <c r="B943" s="2"/>
      <c r="C943" s="2"/>
      <c r="D943" s="2"/>
      <c r="E943" s="3"/>
      <c r="F943" s="3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</row>
    <row r="944" spans="1:29" ht="12.75" customHeight="1" x14ac:dyDescent="0.2">
      <c r="A944" s="2"/>
      <c r="B944" s="2"/>
      <c r="C944" s="2"/>
      <c r="D944" s="2"/>
      <c r="E944" s="3"/>
      <c r="F944" s="3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</row>
    <row r="945" spans="1:29" ht="12.75" customHeight="1" x14ac:dyDescent="0.2">
      <c r="A945" s="2"/>
      <c r="B945" s="2"/>
      <c r="C945" s="2"/>
      <c r="D945" s="2"/>
      <c r="E945" s="3"/>
      <c r="F945" s="3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</row>
    <row r="946" spans="1:29" ht="12.75" customHeight="1" x14ac:dyDescent="0.2">
      <c r="A946" s="2"/>
      <c r="B946" s="2"/>
      <c r="C946" s="2"/>
      <c r="D946" s="2"/>
      <c r="E946" s="3"/>
      <c r="F946" s="3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</row>
    <row r="947" spans="1:29" ht="12.75" customHeight="1" x14ac:dyDescent="0.2">
      <c r="A947" s="2"/>
      <c r="B947" s="2"/>
      <c r="C947" s="2"/>
      <c r="D947" s="2"/>
      <c r="E947" s="3"/>
      <c r="F947" s="3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</row>
    <row r="948" spans="1:29" ht="12.75" customHeight="1" x14ac:dyDescent="0.2">
      <c r="A948" s="2"/>
      <c r="B948" s="2"/>
      <c r="C948" s="2"/>
      <c r="D948" s="2"/>
      <c r="E948" s="3"/>
      <c r="F948" s="3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</row>
    <row r="949" spans="1:29" ht="12.75" customHeight="1" x14ac:dyDescent="0.2">
      <c r="A949" s="2"/>
      <c r="B949" s="2"/>
      <c r="C949" s="2"/>
      <c r="D949" s="2"/>
      <c r="E949" s="3"/>
      <c r="F949" s="3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</row>
    <row r="950" spans="1:29" ht="12.75" customHeight="1" x14ac:dyDescent="0.2">
      <c r="A950" s="2"/>
      <c r="B950" s="2"/>
      <c r="C950" s="2"/>
      <c r="D950" s="2"/>
      <c r="E950" s="3"/>
      <c r="F950" s="3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</row>
    <row r="951" spans="1:29" ht="12.75" customHeight="1" x14ac:dyDescent="0.2">
      <c r="A951" s="2"/>
      <c r="B951" s="2"/>
      <c r="C951" s="2"/>
      <c r="D951" s="2"/>
      <c r="E951" s="3"/>
      <c r="F951" s="3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</row>
    <row r="952" spans="1:29" ht="12.75" customHeight="1" x14ac:dyDescent="0.2">
      <c r="A952" s="2"/>
      <c r="B952" s="2"/>
      <c r="C952" s="2"/>
      <c r="D952" s="2"/>
      <c r="E952" s="3"/>
      <c r="F952" s="3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</row>
    <row r="953" spans="1:29" ht="12.75" customHeight="1" x14ac:dyDescent="0.2">
      <c r="A953" s="2"/>
      <c r="B953" s="2"/>
      <c r="C953" s="2"/>
      <c r="D953" s="2"/>
      <c r="E953" s="3"/>
      <c r="F953" s="3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</row>
    <row r="954" spans="1:29" ht="12.75" customHeight="1" x14ac:dyDescent="0.2">
      <c r="A954" s="2"/>
      <c r="B954" s="2"/>
      <c r="C954" s="2"/>
      <c r="D954" s="2"/>
      <c r="E954" s="3"/>
      <c r="F954" s="3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</row>
    <row r="955" spans="1:29" ht="12.75" customHeight="1" x14ac:dyDescent="0.2">
      <c r="A955" s="2"/>
      <c r="B955" s="2"/>
      <c r="C955" s="2"/>
      <c r="D955" s="2"/>
      <c r="E955" s="3"/>
      <c r="F955" s="3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</row>
    <row r="956" spans="1:29" ht="12.75" customHeight="1" x14ac:dyDescent="0.2">
      <c r="A956" s="2"/>
      <c r="B956" s="2"/>
      <c r="C956" s="2"/>
      <c r="D956" s="2"/>
      <c r="E956" s="3"/>
      <c r="F956" s="3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</row>
    <row r="957" spans="1:29" ht="12.75" customHeight="1" x14ac:dyDescent="0.2">
      <c r="A957" s="2"/>
      <c r="B957" s="2"/>
      <c r="C957" s="2"/>
      <c r="D957" s="2"/>
      <c r="E957" s="3"/>
      <c r="F957" s="3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</row>
    <row r="958" spans="1:29" ht="12.75" customHeight="1" x14ac:dyDescent="0.2">
      <c r="A958" s="2"/>
      <c r="B958" s="2"/>
      <c r="C958" s="2"/>
      <c r="D958" s="2"/>
      <c r="E958" s="3"/>
      <c r="F958" s="3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</row>
    <row r="959" spans="1:29" ht="12.75" customHeight="1" x14ac:dyDescent="0.2">
      <c r="A959" s="2"/>
      <c r="B959" s="2"/>
      <c r="C959" s="2"/>
      <c r="D959" s="2"/>
      <c r="E959" s="3"/>
      <c r="F959" s="3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</row>
    <row r="960" spans="1:29" ht="12.75" customHeight="1" x14ac:dyDescent="0.2">
      <c r="A960" s="2"/>
      <c r="B960" s="2"/>
      <c r="C960" s="2"/>
      <c r="D960" s="2"/>
      <c r="E960" s="3"/>
      <c r="F960" s="3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</row>
    <row r="961" spans="1:29" ht="12.75" customHeight="1" x14ac:dyDescent="0.2">
      <c r="A961" s="2"/>
      <c r="B961" s="2"/>
      <c r="C961" s="2"/>
      <c r="D961" s="2"/>
      <c r="E961" s="3"/>
      <c r="F961" s="3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</row>
    <row r="962" spans="1:29" ht="12.75" customHeight="1" x14ac:dyDescent="0.2">
      <c r="A962" s="2"/>
      <c r="B962" s="2"/>
      <c r="C962" s="2"/>
      <c r="D962" s="2"/>
      <c r="E962" s="3"/>
      <c r="F962" s="3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</row>
    <row r="963" spans="1:29" ht="12.75" customHeight="1" x14ac:dyDescent="0.2">
      <c r="A963" s="2"/>
      <c r="B963" s="2"/>
      <c r="C963" s="2"/>
      <c r="D963" s="2"/>
      <c r="E963" s="3"/>
      <c r="F963" s="3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</row>
    <row r="964" spans="1:29" ht="12.75" customHeight="1" x14ac:dyDescent="0.2">
      <c r="A964" s="2"/>
      <c r="B964" s="2"/>
      <c r="C964" s="2"/>
      <c r="D964" s="2"/>
      <c r="E964" s="3"/>
      <c r="F964" s="3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</row>
    <row r="965" spans="1:29" ht="12.75" customHeight="1" x14ac:dyDescent="0.2">
      <c r="A965" s="2"/>
      <c r="B965" s="2"/>
      <c r="C965" s="2"/>
      <c r="D965" s="2"/>
      <c r="E965" s="3"/>
      <c r="F965" s="3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</row>
    <row r="966" spans="1:29" ht="12.75" customHeight="1" x14ac:dyDescent="0.2">
      <c r="A966" s="2"/>
      <c r="B966" s="2"/>
      <c r="C966" s="2"/>
      <c r="D966" s="2"/>
      <c r="E966" s="3"/>
      <c r="F966" s="3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</row>
    <row r="967" spans="1:29" ht="12.75" customHeight="1" x14ac:dyDescent="0.2">
      <c r="A967" s="2"/>
      <c r="B967" s="2"/>
      <c r="C967" s="2"/>
      <c r="D967" s="2"/>
      <c r="E967" s="3"/>
      <c r="F967" s="3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</row>
    <row r="968" spans="1:29" ht="12.75" customHeight="1" x14ac:dyDescent="0.2">
      <c r="A968" s="2"/>
      <c r="B968" s="2"/>
      <c r="C968" s="2"/>
      <c r="D968" s="2"/>
      <c r="E968" s="3"/>
      <c r="F968" s="3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</row>
    <row r="969" spans="1:29" ht="12.75" customHeight="1" x14ac:dyDescent="0.2">
      <c r="A969" s="2"/>
      <c r="B969" s="2"/>
      <c r="C969" s="2"/>
      <c r="D969" s="2"/>
      <c r="E969" s="3"/>
      <c r="F969" s="3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</row>
    <row r="970" spans="1:29" ht="12.75" customHeight="1" x14ac:dyDescent="0.2">
      <c r="A970" s="2"/>
      <c r="B970" s="2"/>
      <c r="C970" s="2"/>
      <c r="D970" s="2"/>
      <c r="E970" s="3"/>
      <c r="F970" s="3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</row>
    <row r="971" spans="1:29" ht="12.75" customHeight="1" x14ac:dyDescent="0.2">
      <c r="A971" s="2"/>
      <c r="B971" s="2"/>
      <c r="C971" s="2"/>
      <c r="D971" s="2"/>
      <c r="E971" s="3"/>
      <c r="F971" s="3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</row>
    <row r="972" spans="1:29" ht="12.75" customHeight="1" x14ac:dyDescent="0.2">
      <c r="A972" s="2"/>
      <c r="B972" s="2"/>
      <c r="C972" s="2"/>
      <c r="D972" s="2"/>
      <c r="E972" s="3"/>
      <c r="F972" s="3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</row>
    <row r="973" spans="1:29" ht="12.75" customHeight="1" x14ac:dyDescent="0.2">
      <c r="A973" s="2"/>
      <c r="B973" s="2"/>
      <c r="C973" s="2"/>
      <c r="D973" s="2"/>
      <c r="E973" s="3"/>
      <c r="F973" s="3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</row>
    <row r="974" spans="1:29" ht="12.75" customHeight="1" x14ac:dyDescent="0.2">
      <c r="A974" s="2"/>
      <c r="B974" s="2"/>
      <c r="C974" s="2"/>
      <c r="D974" s="2"/>
      <c r="E974" s="3"/>
      <c r="F974" s="3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</row>
    <row r="975" spans="1:29" ht="12.75" customHeight="1" x14ac:dyDescent="0.2">
      <c r="A975" s="2"/>
      <c r="B975" s="2"/>
      <c r="C975" s="2"/>
      <c r="D975" s="2"/>
      <c r="E975" s="3"/>
      <c r="F975" s="3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</row>
    <row r="976" spans="1:29" ht="12.75" customHeight="1" x14ac:dyDescent="0.2">
      <c r="A976" s="2"/>
      <c r="B976" s="2"/>
      <c r="C976" s="2"/>
      <c r="D976" s="2"/>
      <c r="E976" s="3"/>
      <c r="F976" s="3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</row>
    <row r="977" spans="1:29" ht="12.75" customHeight="1" x14ac:dyDescent="0.2">
      <c r="A977" s="2"/>
      <c r="B977" s="2"/>
      <c r="C977" s="2"/>
      <c r="D977" s="2"/>
      <c r="E977" s="3"/>
      <c r="F977" s="3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</row>
    <row r="978" spans="1:29" ht="12.75" customHeight="1" x14ac:dyDescent="0.2">
      <c r="A978" s="2"/>
      <c r="B978" s="2"/>
      <c r="C978" s="2"/>
      <c r="D978" s="2"/>
      <c r="E978" s="3"/>
      <c r="F978" s="3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</row>
    <row r="979" spans="1:29" ht="12.75" customHeight="1" x14ac:dyDescent="0.2">
      <c r="A979" s="2"/>
      <c r="B979" s="2"/>
      <c r="C979" s="2"/>
      <c r="D979" s="2"/>
      <c r="E979" s="3"/>
      <c r="F979" s="3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</row>
    <row r="980" spans="1:29" ht="12.75" customHeight="1" x14ac:dyDescent="0.2">
      <c r="A980" s="2"/>
      <c r="B980" s="2"/>
      <c r="C980" s="2"/>
      <c r="D980" s="2"/>
      <c r="E980" s="3"/>
      <c r="F980" s="3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</row>
    <row r="981" spans="1:29" ht="12.75" customHeight="1" x14ac:dyDescent="0.2">
      <c r="A981" s="2"/>
      <c r="B981" s="2"/>
      <c r="C981" s="2"/>
      <c r="D981" s="2"/>
      <c r="E981" s="3"/>
      <c r="F981" s="3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</row>
    <row r="982" spans="1:29" ht="12.75" customHeight="1" x14ac:dyDescent="0.2">
      <c r="A982" s="2"/>
      <c r="B982" s="2"/>
      <c r="C982" s="2"/>
      <c r="D982" s="2"/>
      <c r="E982" s="3"/>
      <c r="F982" s="3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</row>
    <row r="983" spans="1:29" ht="12.75" customHeight="1" x14ac:dyDescent="0.2">
      <c r="A983" s="2"/>
      <c r="B983" s="2"/>
      <c r="C983" s="2"/>
      <c r="D983" s="2"/>
      <c r="E983" s="3"/>
      <c r="F983" s="3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</row>
    <row r="984" spans="1:29" ht="12.75" customHeight="1" x14ac:dyDescent="0.2">
      <c r="A984" s="2"/>
      <c r="B984" s="2"/>
      <c r="C984" s="2"/>
      <c r="D984" s="2"/>
      <c r="E984" s="3"/>
      <c r="F984" s="3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</row>
    <row r="985" spans="1:29" ht="12.75" customHeight="1" x14ac:dyDescent="0.2">
      <c r="A985" s="2"/>
      <c r="B985" s="2"/>
      <c r="C985" s="2"/>
      <c r="D985" s="2"/>
      <c r="E985" s="3"/>
      <c r="F985" s="3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</row>
    <row r="986" spans="1:29" ht="12.75" customHeight="1" x14ac:dyDescent="0.2">
      <c r="A986" s="2"/>
      <c r="B986" s="2"/>
      <c r="C986" s="2"/>
      <c r="D986" s="2"/>
      <c r="E986" s="3"/>
      <c r="F986" s="3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</row>
    <row r="987" spans="1:29" ht="12.75" customHeight="1" x14ac:dyDescent="0.2">
      <c r="A987" s="2"/>
      <c r="B987" s="2"/>
      <c r="C987" s="2"/>
      <c r="D987" s="2"/>
      <c r="E987" s="3"/>
      <c r="F987" s="3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</row>
    <row r="988" spans="1:29" ht="12.75" customHeight="1" x14ac:dyDescent="0.2">
      <c r="A988" s="2"/>
      <c r="B988" s="2"/>
      <c r="C988" s="2"/>
      <c r="D988" s="2"/>
      <c r="E988" s="3"/>
      <c r="F988" s="3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</row>
    <row r="989" spans="1:29" ht="12.75" customHeight="1" x14ac:dyDescent="0.2">
      <c r="A989" s="2"/>
      <c r="B989" s="2"/>
      <c r="C989" s="2"/>
      <c r="D989" s="2"/>
      <c r="E989" s="3"/>
      <c r="F989" s="3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</row>
    <row r="990" spans="1:29" ht="12.75" customHeight="1" x14ac:dyDescent="0.2">
      <c r="A990" s="2"/>
      <c r="B990" s="2"/>
      <c r="C990" s="2"/>
      <c r="D990" s="2"/>
      <c r="E990" s="3"/>
      <c r="F990" s="3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</row>
    <row r="991" spans="1:29" ht="12.75" customHeight="1" x14ac:dyDescent="0.2">
      <c r="A991" s="2"/>
      <c r="B991" s="2"/>
      <c r="C991" s="2"/>
      <c r="D991" s="2"/>
      <c r="E991" s="3"/>
      <c r="F991" s="3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</row>
    <row r="992" spans="1:29" ht="12.75" customHeight="1" x14ac:dyDescent="0.2">
      <c r="A992" s="2"/>
      <c r="B992" s="2"/>
      <c r="C992" s="2"/>
      <c r="D992" s="2"/>
      <c r="E992" s="3"/>
      <c r="F992" s="3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</row>
    <row r="993" spans="1:29" ht="12.75" customHeight="1" x14ac:dyDescent="0.2">
      <c r="A993" s="2"/>
      <c r="B993" s="2"/>
      <c r="C993" s="2"/>
      <c r="D993" s="2"/>
      <c r="E993" s="3"/>
      <c r="F993" s="3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</row>
    <row r="994" spans="1:29" ht="12.75" customHeight="1" x14ac:dyDescent="0.2">
      <c r="A994" s="2"/>
      <c r="B994" s="2"/>
      <c r="C994" s="2"/>
      <c r="D994" s="2"/>
      <c r="E994" s="3"/>
      <c r="F994" s="3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</row>
    <row r="995" spans="1:29" ht="12.75" customHeight="1" x14ac:dyDescent="0.2">
      <c r="A995" s="2"/>
      <c r="B995" s="2"/>
      <c r="C995" s="2"/>
      <c r="D995" s="2"/>
      <c r="E995" s="3"/>
      <c r="F995" s="3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</row>
    <row r="996" spans="1:29" ht="12.75" customHeight="1" x14ac:dyDescent="0.2">
      <c r="A996" s="2"/>
      <c r="B996" s="2"/>
      <c r="C996" s="2"/>
      <c r="D996" s="2"/>
      <c r="E996" s="3"/>
      <c r="F996" s="3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</row>
    <row r="997" spans="1:29" ht="12.75" customHeight="1" x14ac:dyDescent="0.2">
      <c r="A997" s="2"/>
      <c r="B997" s="2"/>
      <c r="C997" s="2"/>
      <c r="D997" s="2"/>
      <c r="E997" s="3"/>
      <c r="F997" s="3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</row>
    <row r="998" spans="1:29" ht="12.75" customHeight="1" x14ac:dyDescent="0.2">
      <c r="A998" s="2"/>
      <c r="B998" s="2"/>
      <c r="C998" s="2"/>
      <c r="D998" s="2"/>
      <c r="E998" s="3"/>
      <c r="F998" s="3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</row>
    <row r="999" spans="1:29" ht="12.75" customHeight="1" x14ac:dyDescent="0.2">
      <c r="A999" s="2"/>
      <c r="B999" s="2"/>
      <c r="C999" s="2"/>
      <c r="D999" s="2"/>
      <c r="E999" s="3"/>
      <c r="F999" s="3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</row>
    <row r="1000" spans="1:29" ht="12.75" customHeight="1" x14ac:dyDescent="0.2">
      <c r="A1000" s="2"/>
      <c r="B1000" s="2"/>
      <c r="C1000" s="2"/>
      <c r="D1000" s="2"/>
      <c r="E1000" s="3"/>
      <c r="F1000" s="3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</row>
  </sheetData>
  <mergeCells count="144">
    <mergeCell ref="W13:Z13"/>
    <mergeCell ref="AA13:AB13"/>
    <mergeCell ref="A11:L11"/>
    <mergeCell ref="N11:R11"/>
    <mergeCell ref="S11:T11"/>
    <mergeCell ref="U11:Z11"/>
    <mergeCell ref="AA11:AB11"/>
    <mergeCell ref="I12:T12"/>
    <mergeCell ref="A13:E13"/>
    <mergeCell ref="O13:Q13"/>
    <mergeCell ref="R13:T13"/>
    <mergeCell ref="U13:V13"/>
    <mergeCell ref="J17:L17"/>
    <mergeCell ref="J18:L18"/>
    <mergeCell ref="G13:I13"/>
    <mergeCell ref="J13:K13"/>
    <mergeCell ref="A14:E14"/>
    <mergeCell ref="G14:L14"/>
    <mergeCell ref="A17:F17"/>
    <mergeCell ref="G17:I17"/>
    <mergeCell ref="A18:F18"/>
    <mergeCell ref="L13:N13"/>
    <mergeCell ref="M14:Q14"/>
    <mergeCell ref="J30:L30"/>
    <mergeCell ref="J31:L31"/>
    <mergeCell ref="J32:L32"/>
    <mergeCell ref="J33:L33"/>
    <mergeCell ref="A19:F19"/>
    <mergeCell ref="J19:L19"/>
    <mergeCell ref="A20:F20"/>
    <mergeCell ref="J20:L20"/>
    <mergeCell ref="A21:F21"/>
    <mergeCell ref="J21:L21"/>
    <mergeCell ref="J22:L22"/>
    <mergeCell ref="A22:F22"/>
    <mergeCell ref="A23:F23"/>
    <mergeCell ref="J23:L23"/>
    <mergeCell ref="J24:L24"/>
    <mergeCell ref="J25:L25"/>
    <mergeCell ref="J26:L26"/>
    <mergeCell ref="J27:L27"/>
    <mergeCell ref="J28:L28"/>
    <mergeCell ref="J29:L29"/>
    <mergeCell ref="A24:F24"/>
    <mergeCell ref="A25:F25"/>
    <mergeCell ref="A26:F26"/>
    <mergeCell ref="A27:F27"/>
    <mergeCell ref="A28:F28"/>
    <mergeCell ref="P18:S18"/>
    <mergeCell ref="P19:S19"/>
    <mergeCell ref="A36:F36"/>
    <mergeCell ref="A37:F37"/>
    <mergeCell ref="A39:U39"/>
    <mergeCell ref="A40:U42"/>
    <mergeCell ref="A29:F29"/>
    <mergeCell ref="A30:F30"/>
    <mergeCell ref="A31:F31"/>
    <mergeCell ref="A32:F32"/>
    <mergeCell ref="A33:F33"/>
    <mergeCell ref="A34:F34"/>
    <mergeCell ref="A35:F35"/>
    <mergeCell ref="P32:S32"/>
    <mergeCell ref="P33:S33"/>
    <mergeCell ref="P34:S34"/>
    <mergeCell ref="P35:S35"/>
    <mergeCell ref="P36:S36"/>
    <mergeCell ref="P37:S37"/>
    <mergeCell ref="P29:S29"/>
    <mergeCell ref="J34:L34"/>
    <mergeCell ref="J35:L35"/>
    <mergeCell ref="J36:L36"/>
    <mergeCell ref="J37:L37"/>
    <mergeCell ref="W27:Y27"/>
    <mergeCell ref="W28:Y28"/>
    <mergeCell ref="P23:S23"/>
    <mergeCell ref="P24:S24"/>
    <mergeCell ref="P25:S25"/>
    <mergeCell ref="P26:S26"/>
    <mergeCell ref="W26:Y26"/>
    <mergeCell ref="P27:S27"/>
    <mergeCell ref="P28:S28"/>
    <mergeCell ref="W29:Y29"/>
    <mergeCell ref="P30:S30"/>
    <mergeCell ref="W30:Y30"/>
    <mergeCell ref="P31:S31"/>
    <mergeCell ref="W31:Y31"/>
    <mergeCell ref="W32:Y32"/>
    <mergeCell ref="W40:AB40"/>
    <mergeCell ref="W41:AB41"/>
    <mergeCell ref="W33:Y33"/>
    <mergeCell ref="W34:Y34"/>
    <mergeCell ref="W35:Y35"/>
    <mergeCell ref="W36:Y36"/>
    <mergeCell ref="W37:Y37"/>
    <mergeCell ref="W39:AB39"/>
    <mergeCell ref="V41:V42"/>
    <mergeCell ref="W42:AB42"/>
    <mergeCell ref="A8:F8"/>
    <mergeCell ref="G8:M8"/>
    <mergeCell ref="A9:F9"/>
    <mergeCell ref="G9:M9"/>
    <mergeCell ref="A1:A2"/>
    <mergeCell ref="I1:AB1"/>
    <mergeCell ref="I2:O2"/>
    <mergeCell ref="A4:F4"/>
    <mergeCell ref="G4:M4"/>
    <mergeCell ref="N4:T4"/>
    <mergeCell ref="U4:AB4"/>
    <mergeCell ref="N6:T6"/>
    <mergeCell ref="U6:W6"/>
    <mergeCell ref="A5:F5"/>
    <mergeCell ref="G5:M5"/>
    <mergeCell ref="N5:T5"/>
    <mergeCell ref="U5:W5"/>
    <mergeCell ref="Y5:AB5"/>
    <mergeCell ref="G6:M6"/>
    <mergeCell ref="Y6:AB6"/>
    <mergeCell ref="A6:F6"/>
    <mergeCell ref="A7:F7"/>
    <mergeCell ref="G7:M7"/>
    <mergeCell ref="R14:V14"/>
    <mergeCell ref="W14:AB14"/>
    <mergeCell ref="W24:Y24"/>
    <mergeCell ref="W25:Y25"/>
    <mergeCell ref="N7:T7"/>
    <mergeCell ref="U7:AB7"/>
    <mergeCell ref="N8:T8"/>
    <mergeCell ref="U8:AB8"/>
    <mergeCell ref="N9:T9"/>
    <mergeCell ref="U9:AB9"/>
    <mergeCell ref="P20:S20"/>
    <mergeCell ref="W20:Y20"/>
    <mergeCell ref="P21:S21"/>
    <mergeCell ref="W21:Y21"/>
    <mergeCell ref="P22:S22"/>
    <mergeCell ref="W22:Y22"/>
    <mergeCell ref="W23:Y23"/>
    <mergeCell ref="W18:Y18"/>
    <mergeCell ref="W19:Y19"/>
    <mergeCell ref="M17:O17"/>
    <mergeCell ref="P17:S17"/>
    <mergeCell ref="T17:V17"/>
    <mergeCell ref="W17:Y17"/>
    <mergeCell ref="Z17:AB17"/>
  </mergeCells>
  <printOptions horizontalCentered="1"/>
  <pageMargins left="0.19685039370078741" right="0.23622047244094491" top="0.55118110236220474" bottom="0" header="0" footer="0"/>
  <pageSetup scale="72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5.570312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85546875" customWidth="1"/>
    <col min="8" max="8" width="21.7109375" customWidth="1"/>
    <col min="9" max="9" width="8.57031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186</v>
      </c>
      <c r="B1" s="14" t="s">
        <v>187</v>
      </c>
      <c r="C1" s="14" t="s">
        <v>188</v>
      </c>
      <c r="D1" s="14" t="s">
        <v>189</v>
      </c>
      <c r="E1" s="14" t="s">
        <v>190</v>
      </c>
      <c r="F1" s="14" t="s">
        <v>191</v>
      </c>
      <c r="G1" s="14" t="s">
        <v>192</v>
      </c>
      <c r="H1" s="14" t="s">
        <v>193</v>
      </c>
      <c r="I1" s="14" t="s">
        <v>194</v>
      </c>
      <c r="J1" s="14" t="s">
        <v>195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19" t="e">
        <f t="shared" ref="A2:E2" si="0">#REF!</f>
        <v>#REF!</v>
      </c>
      <c r="B2" s="20" t="e">
        <f t="shared" si="0"/>
        <v>#REF!</v>
      </c>
      <c r="C2" s="20" t="e">
        <f t="shared" si="0"/>
        <v>#REF!</v>
      </c>
      <c r="D2" s="20" t="e">
        <f t="shared" si="0"/>
        <v>#REF!</v>
      </c>
      <c r="E2" s="20" t="e">
        <f t="shared" si="0"/>
        <v>#REF!</v>
      </c>
      <c r="F2" s="20" t="e">
        <f>E2*D2</f>
        <v>#REF!</v>
      </c>
      <c r="G2" s="2" t="e">
        <f t="shared" ref="G2:H2" si="1">#REF!</f>
        <v>#REF!</v>
      </c>
      <c r="H2" s="2" t="e">
        <f t="shared" si="1"/>
        <v>#REF!</v>
      </c>
      <c r="I2" s="21" t="e">
        <f t="shared" ref="I2:I81" si="2">((H2*C2)/(F2*B2))*2</f>
        <v>#REF!</v>
      </c>
      <c r="J2" s="21" t="e">
        <f t="shared" ref="J2:J81" si="3">I2*1000</f>
        <v>#REF!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19" t="e">
        <f t="shared" ref="A3:A81" si="4">$A$2</f>
        <v>#REF!</v>
      </c>
      <c r="B3" s="20" t="e">
        <f t="shared" ref="B3:B81" si="5">$B$2</f>
        <v>#REF!</v>
      </c>
      <c r="C3" s="20" t="e">
        <f t="shared" ref="C3:C81" si="6">$C$2</f>
        <v>#REF!</v>
      </c>
      <c r="D3" s="20" t="e">
        <f t="shared" ref="D3:D81" si="7">$D$2</f>
        <v>#REF!</v>
      </c>
      <c r="E3" s="20" t="e">
        <f t="shared" ref="E3:E81" si="8">$E$2</f>
        <v>#REF!</v>
      </c>
      <c r="F3" s="20" t="e">
        <f t="shared" ref="F3:F81" si="9">$F$2</f>
        <v>#REF!</v>
      </c>
      <c r="G3" s="2" t="e">
        <f t="shared" ref="G3:H3" si="10">#REF!</f>
        <v>#REF!</v>
      </c>
      <c r="H3" s="2" t="e">
        <f t="shared" si="10"/>
        <v>#REF!</v>
      </c>
      <c r="I3" s="21" t="e">
        <f t="shared" si="2"/>
        <v>#REF!</v>
      </c>
      <c r="J3" s="21" t="e">
        <f t="shared" si="3"/>
        <v>#REF!</v>
      </c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19" t="e">
        <f t="shared" si="4"/>
        <v>#REF!</v>
      </c>
      <c r="B4" s="20" t="e">
        <f t="shared" si="5"/>
        <v>#REF!</v>
      </c>
      <c r="C4" s="20" t="e">
        <f t="shared" si="6"/>
        <v>#REF!</v>
      </c>
      <c r="D4" s="20" t="e">
        <f t="shared" si="7"/>
        <v>#REF!</v>
      </c>
      <c r="E4" s="20" t="e">
        <f t="shared" si="8"/>
        <v>#REF!</v>
      </c>
      <c r="F4" s="20" t="e">
        <f t="shared" si="9"/>
        <v>#REF!</v>
      </c>
      <c r="G4" s="2" t="e">
        <f t="shared" ref="G4:H4" si="11">#REF!</f>
        <v>#REF!</v>
      </c>
      <c r="H4" s="2" t="e">
        <f t="shared" si="11"/>
        <v>#REF!</v>
      </c>
      <c r="I4" s="21" t="e">
        <f t="shared" si="2"/>
        <v>#REF!</v>
      </c>
      <c r="J4" s="21" t="e">
        <f t="shared" si="3"/>
        <v>#REF!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19" t="e">
        <f t="shared" si="4"/>
        <v>#REF!</v>
      </c>
      <c r="B5" s="20" t="e">
        <f t="shared" si="5"/>
        <v>#REF!</v>
      </c>
      <c r="C5" s="20" t="e">
        <f t="shared" si="6"/>
        <v>#REF!</v>
      </c>
      <c r="D5" s="20" t="e">
        <f t="shared" si="7"/>
        <v>#REF!</v>
      </c>
      <c r="E5" s="20" t="e">
        <f t="shared" si="8"/>
        <v>#REF!</v>
      </c>
      <c r="F5" s="20" t="e">
        <f t="shared" si="9"/>
        <v>#REF!</v>
      </c>
      <c r="G5" s="2" t="e">
        <f t="shared" ref="G5:H5" si="12">#REF!</f>
        <v>#REF!</v>
      </c>
      <c r="H5" s="2" t="e">
        <f t="shared" si="12"/>
        <v>#REF!</v>
      </c>
      <c r="I5" s="21" t="e">
        <f t="shared" si="2"/>
        <v>#REF!</v>
      </c>
      <c r="J5" s="21" t="e">
        <f t="shared" si="3"/>
        <v>#REF!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19" t="e">
        <f t="shared" si="4"/>
        <v>#REF!</v>
      </c>
      <c r="B6" s="20" t="e">
        <f t="shared" si="5"/>
        <v>#REF!</v>
      </c>
      <c r="C6" s="20" t="e">
        <f t="shared" si="6"/>
        <v>#REF!</v>
      </c>
      <c r="D6" s="20" t="e">
        <f t="shared" si="7"/>
        <v>#REF!</v>
      </c>
      <c r="E6" s="20" t="e">
        <f t="shared" si="8"/>
        <v>#REF!</v>
      </c>
      <c r="F6" s="20" t="e">
        <f t="shared" si="9"/>
        <v>#REF!</v>
      </c>
      <c r="G6" s="2" t="e">
        <f t="shared" ref="G6:H6" si="13">#REF!</f>
        <v>#REF!</v>
      </c>
      <c r="H6" s="2" t="e">
        <f t="shared" si="13"/>
        <v>#REF!</v>
      </c>
      <c r="I6" s="21" t="e">
        <f t="shared" si="2"/>
        <v>#REF!</v>
      </c>
      <c r="J6" s="21" t="e">
        <f t="shared" si="3"/>
        <v>#REF!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19" t="e">
        <f t="shared" si="4"/>
        <v>#REF!</v>
      </c>
      <c r="B7" s="20" t="e">
        <f t="shared" si="5"/>
        <v>#REF!</v>
      </c>
      <c r="C7" s="20" t="e">
        <f t="shared" si="6"/>
        <v>#REF!</v>
      </c>
      <c r="D7" s="20" t="e">
        <f t="shared" si="7"/>
        <v>#REF!</v>
      </c>
      <c r="E7" s="20" t="e">
        <f t="shared" si="8"/>
        <v>#REF!</v>
      </c>
      <c r="F7" s="20" t="e">
        <f t="shared" si="9"/>
        <v>#REF!</v>
      </c>
      <c r="G7" s="2" t="e">
        <f t="shared" ref="G7:H7" si="14">#REF!</f>
        <v>#REF!</v>
      </c>
      <c r="H7" s="2" t="e">
        <f t="shared" si="14"/>
        <v>#REF!</v>
      </c>
      <c r="I7" s="21" t="e">
        <f t="shared" si="2"/>
        <v>#REF!</v>
      </c>
      <c r="J7" s="21" t="e">
        <f t="shared" si="3"/>
        <v>#REF!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19" t="e">
        <f t="shared" si="4"/>
        <v>#REF!</v>
      </c>
      <c r="B8" s="20" t="e">
        <f t="shared" si="5"/>
        <v>#REF!</v>
      </c>
      <c r="C8" s="20" t="e">
        <f t="shared" si="6"/>
        <v>#REF!</v>
      </c>
      <c r="D8" s="20" t="e">
        <f t="shared" si="7"/>
        <v>#REF!</v>
      </c>
      <c r="E8" s="20" t="e">
        <f t="shared" si="8"/>
        <v>#REF!</v>
      </c>
      <c r="F8" s="20" t="e">
        <f t="shared" si="9"/>
        <v>#REF!</v>
      </c>
      <c r="G8" s="2" t="e">
        <f t="shared" ref="G8:H8" si="15">#REF!</f>
        <v>#REF!</v>
      </c>
      <c r="H8" s="2" t="e">
        <f t="shared" si="15"/>
        <v>#REF!</v>
      </c>
      <c r="I8" s="21" t="e">
        <f t="shared" si="2"/>
        <v>#REF!</v>
      </c>
      <c r="J8" s="21" t="e">
        <f t="shared" si="3"/>
        <v>#REF!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19" t="e">
        <f t="shared" si="4"/>
        <v>#REF!</v>
      </c>
      <c r="B9" s="20" t="e">
        <f t="shared" si="5"/>
        <v>#REF!</v>
      </c>
      <c r="C9" s="20" t="e">
        <f t="shared" si="6"/>
        <v>#REF!</v>
      </c>
      <c r="D9" s="20" t="e">
        <f t="shared" si="7"/>
        <v>#REF!</v>
      </c>
      <c r="E9" s="20" t="e">
        <f t="shared" si="8"/>
        <v>#REF!</v>
      </c>
      <c r="F9" s="20" t="e">
        <f t="shared" si="9"/>
        <v>#REF!</v>
      </c>
      <c r="G9" s="2" t="e">
        <f t="shared" ref="G9:H9" si="16">#REF!</f>
        <v>#REF!</v>
      </c>
      <c r="H9" s="2" t="e">
        <f t="shared" si="16"/>
        <v>#REF!</v>
      </c>
      <c r="I9" s="21" t="e">
        <f t="shared" si="2"/>
        <v>#REF!</v>
      </c>
      <c r="J9" s="21" t="e">
        <f t="shared" si="3"/>
        <v>#REF!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19" t="e">
        <f t="shared" si="4"/>
        <v>#REF!</v>
      </c>
      <c r="B10" s="20" t="e">
        <f t="shared" si="5"/>
        <v>#REF!</v>
      </c>
      <c r="C10" s="20" t="e">
        <f t="shared" si="6"/>
        <v>#REF!</v>
      </c>
      <c r="D10" s="20" t="e">
        <f t="shared" si="7"/>
        <v>#REF!</v>
      </c>
      <c r="E10" s="20" t="e">
        <f t="shared" si="8"/>
        <v>#REF!</v>
      </c>
      <c r="F10" s="20" t="e">
        <f t="shared" si="9"/>
        <v>#REF!</v>
      </c>
      <c r="G10" s="2" t="e">
        <f t="shared" ref="G10:H10" si="17">#REF!</f>
        <v>#REF!</v>
      </c>
      <c r="H10" s="2" t="e">
        <f t="shared" si="17"/>
        <v>#REF!</v>
      </c>
      <c r="I10" s="21" t="e">
        <f t="shared" si="2"/>
        <v>#REF!</v>
      </c>
      <c r="J10" s="21" t="e">
        <f t="shared" si="3"/>
        <v>#REF!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19" t="e">
        <f t="shared" si="4"/>
        <v>#REF!</v>
      </c>
      <c r="B11" s="20" t="e">
        <f t="shared" si="5"/>
        <v>#REF!</v>
      </c>
      <c r="C11" s="20" t="e">
        <f t="shared" si="6"/>
        <v>#REF!</v>
      </c>
      <c r="D11" s="20" t="e">
        <f t="shared" si="7"/>
        <v>#REF!</v>
      </c>
      <c r="E11" s="20" t="e">
        <f t="shared" si="8"/>
        <v>#REF!</v>
      </c>
      <c r="F11" s="20" t="e">
        <f t="shared" si="9"/>
        <v>#REF!</v>
      </c>
      <c r="G11" s="2" t="e">
        <f t="shared" ref="G11:H11" si="18">#REF!</f>
        <v>#REF!</v>
      </c>
      <c r="H11" s="2" t="e">
        <f t="shared" si="18"/>
        <v>#REF!</v>
      </c>
      <c r="I11" s="21" t="e">
        <f t="shared" si="2"/>
        <v>#REF!</v>
      </c>
      <c r="J11" s="21" t="e">
        <f t="shared" si="3"/>
        <v>#REF!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19" t="e">
        <f t="shared" si="4"/>
        <v>#REF!</v>
      </c>
      <c r="B12" s="20" t="e">
        <f t="shared" si="5"/>
        <v>#REF!</v>
      </c>
      <c r="C12" s="20" t="e">
        <f t="shared" si="6"/>
        <v>#REF!</v>
      </c>
      <c r="D12" s="20" t="e">
        <f t="shared" si="7"/>
        <v>#REF!</v>
      </c>
      <c r="E12" s="20" t="e">
        <f t="shared" si="8"/>
        <v>#REF!</v>
      </c>
      <c r="F12" s="20" t="e">
        <f t="shared" si="9"/>
        <v>#REF!</v>
      </c>
      <c r="G12" s="2" t="e">
        <f t="shared" ref="G12:H12" si="19">#REF!</f>
        <v>#REF!</v>
      </c>
      <c r="H12" s="2" t="e">
        <f t="shared" si="19"/>
        <v>#REF!</v>
      </c>
      <c r="I12" s="21" t="e">
        <f t="shared" si="2"/>
        <v>#REF!</v>
      </c>
      <c r="J12" s="21" t="e">
        <f t="shared" si="3"/>
        <v>#REF!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19" t="e">
        <f t="shared" si="4"/>
        <v>#REF!</v>
      </c>
      <c r="B13" s="20" t="e">
        <f t="shared" si="5"/>
        <v>#REF!</v>
      </c>
      <c r="C13" s="20" t="e">
        <f t="shared" si="6"/>
        <v>#REF!</v>
      </c>
      <c r="D13" s="20" t="e">
        <f t="shared" si="7"/>
        <v>#REF!</v>
      </c>
      <c r="E13" s="20" t="e">
        <f t="shared" si="8"/>
        <v>#REF!</v>
      </c>
      <c r="F13" s="20" t="e">
        <f t="shared" si="9"/>
        <v>#REF!</v>
      </c>
      <c r="G13" s="2" t="e">
        <f t="shared" ref="G13:H13" si="20">#REF!</f>
        <v>#REF!</v>
      </c>
      <c r="H13" s="2" t="e">
        <f t="shared" si="20"/>
        <v>#REF!</v>
      </c>
      <c r="I13" s="21" t="e">
        <f t="shared" si="2"/>
        <v>#REF!</v>
      </c>
      <c r="J13" s="21" t="e">
        <f t="shared" si="3"/>
        <v>#REF!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19" t="e">
        <f t="shared" si="4"/>
        <v>#REF!</v>
      </c>
      <c r="B14" s="20" t="e">
        <f t="shared" si="5"/>
        <v>#REF!</v>
      </c>
      <c r="C14" s="20" t="e">
        <f t="shared" si="6"/>
        <v>#REF!</v>
      </c>
      <c r="D14" s="20" t="e">
        <f t="shared" si="7"/>
        <v>#REF!</v>
      </c>
      <c r="E14" s="20" t="e">
        <f t="shared" si="8"/>
        <v>#REF!</v>
      </c>
      <c r="F14" s="20" t="e">
        <f t="shared" si="9"/>
        <v>#REF!</v>
      </c>
      <c r="G14" s="2" t="e">
        <f t="shared" ref="G14:H14" si="21">#REF!</f>
        <v>#REF!</v>
      </c>
      <c r="H14" s="2" t="e">
        <f t="shared" si="21"/>
        <v>#REF!</v>
      </c>
      <c r="I14" s="21" t="e">
        <f t="shared" si="2"/>
        <v>#REF!</v>
      </c>
      <c r="J14" s="21" t="e">
        <f t="shared" si="3"/>
        <v>#REF!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19" t="e">
        <f t="shared" si="4"/>
        <v>#REF!</v>
      </c>
      <c r="B15" s="20" t="e">
        <f t="shared" si="5"/>
        <v>#REF!</v>
      </c>
      <c r="C15" s="20" t="e">
        <f t="shared" si="6"/>
        <v>#REF!</v>
      </c>
      <c r="D15" s="20" t="e">
        <f t="shared" si="7"/>
        <v>#REF!</v>
      </c>
      <c r="E15" s="20" t="e">
        <f t="shared" si="8"/>
        <v>#REF!</v>
      </c>
      <c r="F15" s="20" t="e">
        <f t="shared" si="9"/>
        <v>#REF!</v>
      </c>
      <c r="G15" s="2" t="e">
        <f t="shared" ref="G15:H15" si="22">#REF!</f>
        <v>#REF!</v>
      </c>
      <c r="H15" s="2" t="e">
        <f t="shared" si="22"/>
        <v>#REF!</v>
      </c>
      <c r="I15" s="21" t="e">
        <f t="shared" si="2"/>
        <v>#REF!</v>
      </c>
      <c r="J15" s="21" t="e">
        <f t="shared" si="3"/>
        <v>#REF!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19" t="e">
        <f t="shared" si="4"/>
        <v>#REF!</v>
      </c>
      <c r="B16" s="20" t="e">
        <f t="shared" si="5"/>
        <v>#REF!</v>
      </c>
      <c r="C16" s="20" t="e">
        <f t="shared" si="6"/>
        <v>#REF!</v>
      </c>
      <c r="D16" s="20" t="e">
        <f t="shared" si="7"/>
        <v>#REF!</v>
      </c>
      <c r="E16" s="20" t="e">
        <f t="shared" si="8"/>
        <v>#REF!</v>
      </c>
      <c r="F16" s="20" t="e">
        <f t="shared" si="9"/>
        <v>#REF!</v>
      </c>
      <c r="G16" s="2" t="e">
        <f t="shared" ref="G16:H16" si="23">#REF!</f>
        <v>#REF!</v>
      </c>
      <c r="H16" s="2" t="e">
        <f t="shared" si="23"/>
        <v>#REF!</v>
      </c>
      <c r="I16" s="21" t="e">
        <f t="shared" si="2"/>
        <v>#REF!</v>
      </c>
      <c r="J16" s="21" t="e">
        <f t="shared" si="3"/>
        <v>#REF!</v>
      </c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19" t="e">
        <f t="shared" si="4"/>
        <v>#REF!</v>
      </c>
      <c r="B17" s="20" t="e">
        <f t="shared" si="5"/>
        <v>#REF!</v>
      </c>
      <c r="C17" s="20" t="e">
        <f t="shared" si="6"/>
        <v>#REF!</v>
      </c>
      <c r="D17" s="20" t="e">
        <f t="shared" si="7"/>
        <v>#REF!</v>
      </c>
      <c r="E17" s="20" t="e">
        <f t="shared" si="8"/>
        <v>#REF!</v>
      </c>
      <c r="F17" s="20" t="e">
        <f t="shared" si="9"/>
        <v>#REF!</v>
      </c>
      <c r="G17" s="2" t="e">
        <f t="shared" ref="G17:H17" si="24">#REF!</f>
        <v>#REF!</v>
      </c>
      <c r="H17" s="2" t="e">
        <f t="shared" si="24"/>
        <v>#REF!</v>
      </c>
      <c r="I17" s="21" t="e">
        <f t="shared" si="2"/>
        <v>#REF!</v>
      </c>
      <c r="J17" s="21" t="e">
        <f t="shared" si="3"/>
        <v>#REF!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19" t="e">
        <f t="shared" si="4"/>
        <v>#REF!</v>
      </c>
      <c r="B18" s="20" t="e">
        <f t="shared" si="5"/>
        <v>#REF!</v>
      </c>
      <c r="C18" s="20" t="e">
        <f t="shared" si="6"/>
        <v>#REF!</v>
      </c>
      <c r="D18" s="20" t="e">
        <f t="shared" si="7"/>
        <v>#REF!</v>
      </c>
      <c r="E18" s="20" t="e">
        <f t="shared" si="8"/>
        <v>#REF!</v>
      </c>
      <c r="F18" s="20" t="e">
        <f t="shared" si="9"/>
        <v>#REF!</v>
      </c>
      <c r="G18" s="2" t="e">
        <f t="shared" ref="G18:H18" si="25">#REF!</f>
        <v>#REF!</v>
      </c>
      <c r="H18" s="2" t="e">
        <f t="shared" si="25"/>
        <v>#REF!</v>
      </c>
      <c r="I18" s="21" t="e">
        <f t="shared" si="2"/>
        <v>#REF!</v>
      </c>
      <c r="J18" s="21" t="e">
        <f t="shared" si="3"/>
        <v>#REF!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19" t="e">
        <f t="shared" si="4"/>
        <v>#REF!</v>
      </c>
      <c r="B19" s="20" t="e">
        <f t="shared" si="5"/>
        <v>#REF!</v>
      </c>
      <c r="C19" s="20" t="e">
        <f t="shared" si="6"/>
        <v>#REF!</v>
      </c>
      <c r="D19" s="20" t="e">
        <f t="shared" si="7"/>
        <v>#REF!</v>
      </c>
      <c r="E19" s="20" t="e">
        <f t="shared" si="8"/>
        <v>#REF!</v>
      </c>
      <c r="F19" s="20" t="e">
        <f t="shared" si="9"/>
        <v>#REF!</v>
      </c>
      <c r="G19" s="2">
        <f>'[1]Densidad de Grupos'!A35</f>
        <v>0</v>
      </c>
      <c r="H19" s="2" t="e">
        <f t="shared" ref="H19:H81" si="26">#REF!</f>
        <v>#REF!</v>
      </c>
      <c r="I19" s="21" t="e">
        <f t="shared" si="2"/>
        <v>#REF!</v>
      </c>
      <c r="J19" s="21" t="e">
        <f t="shared" si="3"/>
        <v>#REF!</v>
      </c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19" t="e">
        <f t="shared" si="4"/>
        <v>#REF!</v>
      </c>
      <c r="B20" s="20" t="e">
        <f t="shared" si="5"/>
        <v>#REF!</v>
      </c>
      <c r="C20" s="20" t="e">
        <f t="shared" si="6"/>
        <v>#REF!</v>
      </c>
      <c r="D20" s="20" t="e">
        <f t="shared" si="7"/>
        <v>#REF!</v>
      </c>
      <c r="E20" s="20" t="e">
        <f t="shared" si="8"/>
        <v>#REF!</v>
      </c>
      <c r="F20" s="20" t="e">
        <f t="shared" si="9"/>
        <v>#REF!</v>
      </c>
      <c r="G20" s="2" t="s">
        <v>197</v>
      </c>
      <c r="H20" s="2" t="e">
        <f t="shared" si="26"/>
        <v>#REF!</v>
      </c>
      <c r="I20" s="21" t="e">
        <f t="shared" si="2"/>
        <v>#REF!</v>
      </c>
      <c r="J20" s="21" t="e">
        <f t="shared" si="3"/>
        <v>#REF!</v>
      </c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19" t="e">
        <f t="shared" si="4"/>
        <v>#REF!</v>
      </c>
      <c r="B21" s="20" t="e">
        <f t="shared" si="5"/>
        <v>#REF!</v>
      </c>
      <c r="C21" s="20" t="e">
        <f t="shared" si="6"/>
        <v>#REF!</v>
      </c>
      <c r="D21" s="20" t="e">
        <f t="shared" si="7"/>
        <v>#REF!</v>
      </c>
      <c r="E21" s="20" t="e">
        <f t="shared" si="8"/>
        <v>#REF!</v>
      </c>
      <c r="F21" s="20" t="e">
        <f t="shared" si="9"/>
        <v>#REF!</v>
      </c>
      <c r="G21" s="2" t="s">
        <v>197</v>
      </c>
      <c r="H21" s="2" t="e">
        <f t="shared" si="26"/>
        <v>#REF!</v>
      </c>
      <c r="I21" s="21" t="e">
        <f t="shared" si="2"/>
        <v>#REF!</v>
      </c>
      <c r="J21" s="21" t="e">
        <f t="shared" si="3"/>
        <v>#REF!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19" t="e">
        <f t="shared" si="4"/>
        <v>#REF!</v>
      </c>
      <c r="B22" s="20" t="e">
        <f t="shared" si="5"/>
        <v>#REF!</v>
      </c>
      <c r="C22" s="20" t="e">
        <f t="shared" si="6"/>
        <v>#REF!</v>
      </c>
      <c r="D22" s="20" t="e">
        <f t="shared" si="7"/>
        <v>#REF!</v>
      </c>
      <c r="E22" s="20" t="e">
        <f t="shared" si="8"/>
        <v>#REF!</v>
      </c>
      <c r="F22" s="20" t="e">
        <f t="shared" si="9"/>
        <v>#REF!</v>
      </c>
      <c r="G22" s="2" t="s">
        <v>197</v>
      </c>
      <c r="H22" s="2" t="e">
        <f t="shared" si="26"/>
        <v>#REF!</v>
      </c>
      <c r="I22" s="21" t="e">
        <f t="shared" si="2"/>
        <v>#REF!</v>
      </c>
      <c r="J22" s="21" t="e">
        <f t="shared" si="3"/>
        <v>#REF!</v>
      </c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19" t="e">
        <f t="shared" si="4"/>
        <v>#REF!</v>
      </c>
      <c r="B23" s="20" t="e">
        <f t="shared" si="5"/>
        <v>#REF!</v>
      </c>
      <c r="C23" s="20" t="e">
        <f t="shared" si="6"/>
        <v>#REF!</v>
      </c>
      <c r="D23" s="20" t="e">
        <f t="shared" si="7"/>
        <v>#REF!</v>
      </c>
      <c r="E23" s="20" t="e">
        <f t="shared" si="8"/>
        <v>#REF!</v>
      </c>
      <c r="F23" s="20" t="e">
        <f t="shared" si="9"/>
        <v>#REF!</v>
      </c>
      <c r="G23" s="2" t="s">
        <v>197</v>
      </c>
      <c r="H23" s="2" t="e">
        <f t="shared" si="26"/>
        <v>#REF!</v>
      </c>
      <c r="I23" s="21" t="e">
        <f t="shared" si="2"/>
        <v>#REF!</v>
      </c>
      <c r="J23" s="21" t="e">
        <f t="shared" si="3"/>
        <v>#REF!</v>
      </c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19" t="e">
        <f t="shared" si="4"/>
        <v>#REF!</v>
      </c>
      <c r="B24" s="20" t="e">
        <f t="shared" si="5"/>
        <v>#REF!</v>
      </c>
      <c r="C24" s="20" t="e">
        <f t="shared" si="6"/>
        <v>#REF!</v>
      </c>
      <c r="D24" s="20" t="e">
        <f t="shared" si="7"/>
        <v>#REF!</v>
      </c>
      <c r="E24" s="20" t="e">
        <f t="shared" si="8"/>
        <v>#REF!</v>
      </c>
      <c r="F24" s="20" t="e">
        <f t="shared" si="9"/>
        <v>#REF!</v>
      </c>
      <c r="G24" s="2" t="s">
        <v>197</v>
      </c>
      <c r="H24" s="2" t="e">
        <f t="shared" si="26"/>
        <v>#REF!</v>
      </c>
      <c r="I24" s="21" t="e">
        <f t="shared" si="2"/>
        <v>#REF!</v>
      </c>
      <c r="J24" s="21" t="e">
        <f t="shared" si="3"/>
        <v>#REF!</v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19" t="e">
        <f t="shared" si="4"/>
        <v>#REF!</v>
      </c>
      <c r="B25" s="20" t="e">
        <f t="shared" si="5"/>
        <v>#REF!</v>
      </c>
      <c r="C25" s="20" t="e">
        <f t="shared" si="6"/>
        <v>#REF!</v>
      </c>
      <c r="D25" s="20" t="e">
        <f t="shared" si="7"/>
        <v>#REF!</v>
      </c>
      <c r="E25" s="20" t="e">
        <f t="shared" si="8"/>
        <v>#REF!</v>
      </c>
      <c r="F25" s="20" t="e">
        <f t="shared" si="9"/>
        <v>#REF!</v>
      </c>
      <c r="G25" s="2" t="s">
        <v>197</v>
      </c>
      <c r="H25" s="2" t="e">
        <f t="shared" si="26"/>
        <v>#REF!</v>
      </c>
      <c r="I25" s="21" t="e">
        <f t="shared" si="2"/>
        <v>#REF!</v>
      </c>
      <c r="J25" s="21" t="e">
        <f t="shared" si="3"/>
        <v>#REF!</v>
      </c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19" t="e">
        <f t="shared" si="4"/>
        <v>#REF!</v>
      </c>
      <c r="B26" s="20" t="e">
        <f t="shared" si="5"/>
        <v>#REF!</v>
      </c>
      <c r="C26" s="20" t="e">
        <f t="shared" si="6"/>
        <v>#REF!</v>
      </c>
      <c r="D26" s="20" t="e">
        <f t="shared" si="7"/>
        <v>#REF!</v>
      </c>
      <c r="E26" s="20" t="e">
        <f t="shared" si="8"/>
        <v>#REF!</v>
      </c>
      <c r="F26" s="20" t="e">
        <f t="shared" si="9"/>
        <v>#REF!</v>
      </c>
      <c r="G26" s="2">
        <f>'[1]Densidad de Grupos'!J22</f>
        <v>0</v>
      </c>
      <c r="H26" s="2" t="e">
        <f t="shared" si="26"/>
        <v>#REF!</v>
      </c>
      <c r="I26" s="21" t="e">
        <f t="shared" si="2"/>
        <v>#REF!</v>
      </c>
      <c r="J26" s="21" t="e">
        <f t="shared" si="3"/>
        <v>#REF!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19" t="e">
        <f t="shared" si="4"/>
        <v>#REF!</v>
      </c>
      <c r="B27" s="20" t="e">
        <f t="shared" si="5"/>
        <v>#REF!</v>
      </c>
      <c r="C27" s="20" t="e">
        <f t="shared" si="6"/>
        <v>#REF!</v>
      </c>
      <c r="D27" s="20" t="e">
        <f t="shared" si="7"/>
        <v>#REF!</v>
      </c>
      <c r="E27" s="20" t="e">
        <f t="shared" si="8"/>
        <v>#REF!</v>
      </c>
      <c r="F27" s="20" t="e">
        <f t="shared" si="9"/>
        <v>#REF!</v>
      </c>
      <c r="G27" s="2" t="s">
        <v>197</v>
      </c>
      <c r="H27" s="2" t="e">
        <f t="shared" si="26"/>
        <v>#REF!</v>
      </c>
      <c r="I27" s="21" t="e">
        <f t="shared" si="2"/>
        <v>#REF!</v>
      </c>
      <c r="J27" s="21" t="e">
        <f t="shared" si="3"/>
        <v>#REF!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19" t="e">
        <f t="shared" si="4"/>
        <v>#REF!</v>
      </c>
      <c r="B28" s="20" t="e">
        <f t="shared" si="5"/>
        <v>#REF!</v>
      </c>
      <c r="C28" s="20" t="e">
        <f t="shared" si="6"/>
        <v>#REF!</v>
      </c>
      <c r="D28" s="20" t="e">
        <f t="shared" si="7"/>
        <v>#REF!</v>
      </c>
      <c r="E28" s="20" t="e">
        <f t="shared" si="8"/>
        <v>#REF!</v>
      </c>
      <c r="F28" s="20" t="e">
        <f t="shared" si="9"/>
        <v>#REF!</v>
      </c>
      <c r="G28" s="2" t="s">
        <v>197</v>
      </c>
      <c r="H28" s="2" t="e">
        <f t="shared" si="26"/>
        <v>#REF!</v>
      </c>
      <c r="I28" s="21" t="e">
        <f t="shared" si="2"/>
        <v>#REF!</v>
      </c>
      <c r="J28" s="21" t="e">
        <f t="shared" si="3"/>
        <v>#REF!</v>
      </c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19" t="e">
        <f t="shared" si="4"/>
        <v>#REF!</v>
      </c>
      <c r="B29" s="20" t="e">
        <f t="shared" si="5"/>
        <v>#REF!</v>
      </c>
      <c r="C29" s="20" t="e">
        <f t="shared" si="6"/>
        <v>#REF!</v>
      </c>
      <c r="D29" s="20" t="e">
        <f t="shared" si="7"/>
        <v>#REF!</v>
      </c>
      <c r="E29" s="20" t="e">
        <f t="shared" si="8"/>
        <v>#REF!</v>
      </c>
      <c r="F29" s="20" t="e">
        <f t="shared" si="9"/>
        <v>#REF!</v>
      </c>
      <c r="G29" s="2" t="s">
        <v>197</v>
      </c>
      <c r="H29" s="2" t="e">
        <f t="shared" si="26"/>
        <v>#REF!</v>
      </c>
      <c r="I29" s="21" t="e">
        <f t="shared" si="2"/>
        <v>#REF!</v>
      </c>
      <c r="J29" s="21" t="e">
        <f t="shared" si="3"/>
        <v>#REF!</v>
      </c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19" t="e">
        <f t="shared" si="4"/>
        <v>#REF!</v>
      </c>
      <c r="B30" s="20" t="e">
        <f t="shared" si="5"/>
        <v>#REF!</v>
      </c>
      <c r="C30" s="20" t="e">
        <f t="shared" si="6"/>
        <v>#REF!</v>
      </c>
      <c r="D30" s="20" t="e">
        <f t="shared" si="7"/>
        <v>#REF!</v>
      </c>
      <c r="E30" s="20" t="e">
        <f t="shared" si="8"/>
        <v>#REF!</v>
      </c>
      <c r="F30" s="20" t="e">
        <f t="shared" si="9"/>
        <v>#REF!</v>
      </c>
      <c r="G30" s="2" t="s">
        <v>197</v>
      </c>
      <c r="H30" s="2" t="e">
        <f t="shared" si="26"/>
        <v>#REF!</v>
      </c>
      <c r="I30" s="21" t="e">
        <f t="shared" si="2"/>
        <v>#REF!</v>
      </c>
      <c r="J30" s="21" t="e">
        <f t="shared" si="3"/>
        <v>#REF!</v>
      </c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19" t="e">
        <f t="shared" si="4"/>
        <v>#REF!</v>
      </c>
      <c r="B31" s="20" t="e">
        <f t="shared" si="5"/>
        <v>#REF!</v>
      </c>
      <c r="C31" s="20" t="e">
        <f t="shared" si="6"/>
        <v>#REF!</v>
      </c>
      <c r="D31" s="20" t="e">
        <f t="shared" si="7"/>
        <v>#REF!</v>
      </c>
      <c r="E31" s="20" t="e">
        <f t="shared" si="8"/>
        <v>#REF!</v>
      </c>
      <c r="F31" s="20" t="e">
        <f t="shared" si="9"/>
        <v>#REF!</v>
      </c>
      <c r="G31" s="2" t="s">
        <v>197</v>
      </c>
      <c r="H31" s="2" t="e">
        <f t="shared" si="26"/>
        <v>#REF!</v>
      </c>
      <c r="I31" s="21" t="e">
        <f t="shared" si="2"/>
        <v>#REF!</v>
      </c>
      <c r="J31" s="21" t="e">
        <f t="shared" si="3"/>
        <v>#REF!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19" t="e">
        <f t="shared" si="4"/>
        <v>#REF!</v>
      </c>
      <c r="B32" s="20" t="e">
        <f t="shared" si="5"/>
        <v>#REF!</v>
      </c>
      <c r="C32" s="20" t="e">
        <f t="shared" si="6"/>
        <v>#REF!</v>
      </c>
      <c r="D32" s="20" t="e">
        <f t="shared" si="7"/>
        <v>#REF!</v>
      </c>
      <c r="E32" s="20" t="e">
        <f t="shared" si="8"/>
        <v>#REF!</v>
      </c>
      <c r="F32" s="20" t="e">
        <f t="shared" si="9"/>
        <v>#REF!</v>
      </c>
      <c r="G32" s="2" t="s">
        <v>197</v>
      </c>
      <c r="H32" s="2" t="e">
        <f t="shared" si="26"/>
        <v>#REF!</v>
      </c>
      <c r="I32" s="21" t="e">
        <f t="shared" si="2"/>
        <v>#REF!</v>
      </c>
      <c r="J32" s="21" t="e">
        <f t="shared" si="3"/>
        <v>#REF!</v>
      </c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19" t="e">
        <f t="shared" si="4"/>
        <v>#REF!</v>
      </c>
      <c r="B33" s="20" t="e">
        <f t="shared" si="5"/>
        <v>#REF!</v>
      </c>
      <c r="C33" s="20" t="e">
        <f t="shared" si="6"/>
        <v>#REF!</v>
      </c>
      <c r="D33" s="20" t="e">
        <f t="shared" si="7"/>
        <v>#REF!</v>
      </c>
      <c r="E33" s="20" t="e">
        <f t="shared" si="8"/>
        <v>#REF!</v>
      </c>
      <c r="F33" s="20" t="e">
        <f t="shared" si="9"/>
        <v>#REF!</v>
      </c>
      <c r="G33" s="2" t="s">
        <v>197</v>
      </c>
      <c r="H33" s="2" t="e">
        <f t="shared" si="26"/>
        <v>#REF!</v>
      </c>
      <c r="I33" s="21" t="e">
        <f t="shared" si="2"/>
        <v>#REF!</v>
      </c>
      <c r="J33" s="21" t="e">
        <f t="shared" si="3"/>
        <v>#REF!</v>
      </c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19" t="e">
        <f t="shared" si="4"/>
        <v>#REF!</v>
      </c>
      <c r="B34" s="20" t="e">
        <f t="shared" si="5"/>
        <v>#REF!</v>
      </c>
      <c r="C34" s="20" t="e">
        <f t="shared" si="6"/>
        <v>#REF!</v>
      </c>
      <c r="D34" s="20" t="e">
        <f t="shared" si="7"/>
        <v>#REF!</v>
      </c>
      <c r="E34" s="20" t="e">
        <f t="shared" si="8"/>
        <v>#REF!</v>
      </c>
      <c r="F34" s="20" t="e">
        <f t="shared" si="9"/>
        <v>#REF!</v>
      </c>
      <c r="G34" s="2" t="s">
        <v>197</v>
      </c>
      <c r="H34" s="2" t="e">
        <f t="shared" si="26"/>
        <v>#REF!</v>
      </c>
      <c r="I34" s="21" t="e">
        <f t="shared" si="2"/>
        <v>#REF!</v>
      </c>
      <c r="J34" s="21" t="e">
        <f t="shared" si="3"/>
        <v>#REF!</v>
      </c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19" t="e">
        <f t="shared" si="4"/>
        <v>#REF!</v>
      </c>
      <c r="B35" s="20" t="e">
        <f t="shared" si="5"/>
        <v>#REF!</v>
      </c>
      <c r="C35" s="20" t="e">
        <f t="shared" si="6"/>
        <v>#REF!</v>
      </c>
      <c r="D35" s="20" t="e">
        <f t="shared" si="7"/>
        <v>#REF!</v>
      </c>
      <c r="E35" s="20" t="e">
        <f t="shared" si="8"/>
        <v>#REF!</v>
      </c>
      <c r="F35" s="20" t="e">
        <f t="shared" si="9"/>
        <v>#REF!</v>
      </c>
      <c r="G35" s="2" t="s">
        <v>197</v>
      </c>
      <c r="H35" s="2" t="e">
        <f t="shared" si="26"/>
        <v>#REF!</v>
      </c>
      <c r="I35" s="21" t="e">
        <f t="shared" si="2"/>
        <v>#REF!</v>
      </c>
      <c r="J35" s="21" t="e">
        <f t="shared" si="3"/>
        <v>#REF!</v>
      </c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19" t="e">
        <f t="shared" si="4"/>
        <v>#REF!</v>
      </c>
      <c r="B36" s="20" t="e">
        <f t="shared" si="5"/>
        <v>#REF!</v>
      </c>
      <c r="C36" s="20" t="e">
        <f t="shared" si="6"/>
        <v>#REF!</v>
      </c>
      <c r="D36" s="20" t="e">
        <f t="shared" si="7"/>
        <v>#REF!</v>
      </c>
      <c r="E36" s="20" t="e">
        <f t="shared" si="8"/>
        <v>#REF!</v>
      </c>
      <c r="F36" s="20" t="e">
        <f t="shared" si="9"/>
        <v>#REF!</v>
      </c>
      <c r="G36" s="2" t="s">
        <v>197</v>
      </c>
      <c r="H36" s="2" t="e">
        <f t="shared" si="26"/>
        <v>#REF!</v>
      </c>
      <c r="I36" s="21" t="e">
        <f t="shared" si="2"/>
        <v>#REF!</v>
      </c>
      <c r="J36" s="21" t="e">
        <f t="shared" si="3"/>
        <v>#REF!</v>
      </c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19" t="e">
        <f t="shared" si="4"/>
        <v>#REF!</v>
      </c>
      <c r="B37" s="20" t="e">
        <f t="shared" si="5"/>
        <v>#REF!</v>
      </c>
      <c r="C37" s="20" t="e">
        <f t="shared" si="6"/>
        <v>#REF!</v>
      </c>
      <c r="D37" s="20" t="e">
        <f t="shared" si="7"/>
        <v>#REF!</v>
      </c>
      <c r="E37" s="20" t="e">
        <f t="shared" si="8"/>
        <v>#REF!</v>
      </c>
      <c r="F37" s="20" t="e">
        <f t="shared" si="9"/>
        <v>#REF!</v>
      </c>
      <c r="G37" s="2" t="s">
        <v>197</v>
      </c>
      <c r="H37" s="2" t="e">
        <f t="shared" si="26"/>
        <v>#REF!</v>
      </c>
      <c r="I37" s="21" t="e">
        <f t="shared" si="2"/>
        <v>#REF!</v>
      </c>
      <c r="J37" s="21" t="e">
        <f t="shared" si="3"/>
        <v>#REF!</v>
      </c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19" t="e">
        <f t="shared" si="4"/>
        <v>#REF!</v>
      </c>
      <c r="B38" s="20" t="e">
        <f t="shared" si="5"/>
        <v>#REF!</v>
      </c>
      <c r="C38" s="20" t="e">
        <f t="shared" si="6"/>
        <v>#REF!</v>
      </c>
      <c r="D38" s="20" t="e">
        <f t="shared" si="7"/>
        <v>#REF!</v>
      </c>
      <c r="E38" s="20" t="e">
        <f t="shared" si="8"/>
        <v>#REF!</v>
      </c>
      <c r="F38" s="20" t="e">
        <f t="shared" si="9"/>
        <v>#REF!</v>
      </c>
      <c r="G38" s="2" t="s">
        <v>197</v>
      </c>
      <c r="H38" s="2" t="e">
        <f t="shared" si="26"/>
        <v>#REF!</v>
      </c>
      <c r="I38" s="21" t="e">
        <f t="shared" si="2"/>
        <v>#REF!</v>
      </c>
      <c r="J38" s="21" t="e">
        <f t="shared" si="3"/>
        <v>#REF!</v>
      </c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19" t="e">
        <f t="shared" si="4"/>
        <v>#REF!</v>
      </c>
      <c r="B39" s="20" t="e">
        <f t="shared" si="5"/>
        <v>#REF!</v>
      </c>
      <c r="C39" s="20" t="e">
        <f t="shared" si="6"/>
        <v>#REF!</v>
      </c>
      <c r="D39" s="20" t="e">
        <f t="shared" si="7"/>
        <v>#REF!</v>
      </c>
      <c r="E39" s="20" t="e">
        <f t="shared" si="8"/>
        <v>#REF!</v>
      </c>
      <c r="F39" s="20" t="e">
        <f t="shared" si="9"/>
        <v>#REF!</v>
      </c>
      <c r="G39" s="2" t="s">
        <v>197</v>
      </c>
      <c r="H39" s="2" t="e">
        <f t="shared" si="26"/>
        <v>#REF!</v>
      </c>
      <c r="I39" s="21" t="e">
        <f t="shared" si="2"/>
        <v>#REF!</v>
      </c>
      <c r="J39" s="21" t="e">
        <f t="shared" si="3"/>
        <v>#REF!</v>
      </c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19" t="e">
        <f t="shared" si="4"/>
        <v>#REF!</v>
      </c>
      <c r="B40" s="20" t="e">
        <f t="shared" si="5"/>
        <v>#REF!</v>
      </c>
      <c r="C40" s="20" t="e">
        <f t="shared" si="6"/>
        <v>#REF!</v>
      </c>
      <c r="D40" s="20" t="e">
        <f t="shared" si="7"/>
        <v>#REF!</v>
      </c>
      <c r="E40" s="20" t="e">
        <f t="shared" si="8"/>
        <v>#REF!</v>
      </c>
      <c r="F40" s="20" t="e">
        <f t="shared" si="9"/>
        <v>#REF!</v>
      </c>
      <c r="G40" s="2" t="s">
        <v>197</v>
      </c>
      <c r="H40" s="2" t="e">
        <f t="shared" si="26"/>
        <v>#REF!</v>
      </c>
      <c r="I40" s="21" t="e">
        <f t="shared" si="2"/>
        <v>#REF!</v>
      </c>
      <c r="J40" s="21" t="e">
        <f t="shared" si="3"/>
        <v>#REF!</v>
      </c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19" t="e">
        <f t="shared" si="4"/>
        <v>#REF!</v>
      </c>
      <c r="B41" s="20" t="e">
        <f t="shared" si="5"/>
        <v>#REF!</v>
      </c>
      <c r="C41" s="20" t="e">
        <f t="shared" si="6"/>
        <v>#REF!</v>
      </c>
      <c r="D41" s="20" t="e">
        <f t="shared" si="7"/>
        <v>#REF!</v>
      </c>
      <c r="E41" s="20" t="e">
        <f t="shared" si="8"/>
        <v>#REF!</v>
      </c>
      <c r="F41" s="20" t="e">
        <f t="shared" si="9"/>
        <v>#REF!</v>
      </c>
      <c r="G41" s="2" t="s">
        <v>197</v>
      </c>
      <c r="H41" s="2" t="e">
        <f t="shared" si="26"/>
        <v>#REF!</v>
      </c>
      <c r="I41" s="21" t="e">
        <f t="shared" si="2"/>
        <v>#REF!</v>
      </c>
      <c r="J41" s="21" t="e">
        <f t="shared" si="3"/>
        <v>#REF!</v>
      </c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19" t="e">
        <f t="shared" si="4"/>
        <v>#REF!</v>
      </c>
      <c r="B42" s="20" t="e">
        <f t="shared" si="5"/>
        <v>#REF!</v>
      </c>
      <c r="C42" s="20" t="e">
        <f t="shared" si="6"/>
        <v>#REF!</v>
      </c>
      <c r="D42" s="20" t="e">
        <f t="shared" si="7"/>
        <v>#REF!</v>
      </c>
      <c r="E42" s="20" t="e">
        <f t="shared" si="8"/>
        <v>#REF!</v>
      </c>
      <c r="F42" s="20" t="e">
        <f t="shared" si="9"/>
        <v>#REF!</v>
      </c>
      <c r="G42" s="2" t="s">
        <v>197</v>
      </c>
      <c r="H42" s="2" t="e">
        <f t="shared" si="26"/>
        <v>#REF!</v>
      </c>
      <c r="I42" s="21" t="e">
        <f t="shared" si="2"/>
        <v>#REF!</v>
      </c>
      <c r="J42" s="21" t="e">
        <f t="shared" si="3"/>
        <v>#REF!</v>
      </c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19" t="e">
        <f t="shared" si="4"/>
        <v>#REF!</v>
      </c>
      <c r="B43" s="20" t="e">
        <f t="shared" si="5"/>
        <v>#REF!</v>
      </c>
      <c r="C43" s="20" t="e">
        <f t="shared" si="6"/>
        <v>#REF!</v>
      </c>
      <c r="D43" s="20" t="e">
        <f t="shared" si="7"/>
        <v>#REF!</v>
      </c>
      <c r="E43" s="20" t="e">
        <f t="shared" si="8"/>
        <v>#REF!</v>
      </c>
      <c r="F43" s="20" t="e">
        <f t="shared" si="9"/>
        <v>#REF!</v>
      </c>
      <c r="G43" s="2" t="s">
        <v>197</v>
      </c>
      <c r="H43" s="2" t="e">
        <f t="shared" si="26"/>
        <v>#REF!</v>
      </c>
      <c r="I43" s="21" t="e">
        <f t="shared" si="2"/>
        <v>#REF!</v>
      </c>
      <c r="J43" s="21" t="e">
        <f t="shared" si="3"/>
        <v>#REF!</v>
      </c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19" t="e">
        <f t="shared" si="4"/>
        <v>#REF!</v>
      </c>
      <c r="B44" s="20" t="e">
        <f t="shared" si="5"/>
        <v>#REF!</v>
      </c>
      <c r="C44" s="20" t="e">
        <f t="shared" si="6"/>
        <v>#REF!</v>
      </c>
      <c r="D44" s="20" t="e">
        <f t="shared" si="7"/>
        <v>#REF!</v>
      </c>
      <c r="E44" s="20" t="e">
        <f t="shared" si="8"/>
        <v>#REF!</v>
      </c>
      <c r="F44" s="20" t="e">
        <f t="shared" si="9"/>
        <v>#REF!</v>
      </c>
      <c r="G44" s="2" t="s">
        <v>197</v>
      </c>
      <c r="H44" s="2" t="e">
        <f t="shared" si="26"/>
        <v>#REF!</v>
      </c>
      <c r="I44" s="21" t="e">
        <f t="shared" si="2"/>
        <v>#REF!</v>
      </c>
      <c r="J44" s="21" t="e">
        <f t="shared" si="3"/>
        <v>#REF!</v>
      </c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19" t="e">
        <f t="shared" si="4"/>
        <v>#REF!</v>
      </c>
      <c r="B45" s="20" t="e">
        <f t="shared" si="5"/>
        <v>#REF!</v>
      </c>
      <c r="C45" s="20" t="e">
        <f t="shared" si="6"/>
        <v>#REF!</v>
      </c>
      <c r="D45" s="20" t="e">
        <f t="shared" si="7"/>
        <v>#REF!</v>
      </c>
      <c r="E45" s="20" t="e">
        <f t="shared" si="8"/>
        <v>#REF!</v>
      </c>
      <c r="F45" s="20" t="e">
        <f t="shared" si="9"/>
        <v>#REF!</v>
      </c>
      <c r="G45" s="2" t="s">
        <v>197</v>
      </c>
      <c r="H45" s="2" t="e">
        <f t="shared" si="26"/>
        <v>#REF!</v>
      </c>
      <c r="I45" s="21" t="e">
        <f t="shared" si="2"/>
        <v>#REF!</v>
      </c>
      <c r="J45" s="21" t="e">
        <f t="shared" si="3"/>
        <v>#REF!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19" t="e">
        <f t="shared" si="4"/>
        <v>#REF!</v>
      </c>
      <c r="B46" s="20" t="e">
        <f t="shared" si="5"/>
        <v>#REF!</v>
      </c>
      <c r="C46" s="20" t="e">
        <f t="shared" si="6"/>
        <v>#REF!</v>
      </c>
      <c r="D46" s="20" t="e">
        <f t="shared" si="7"/>
        <v>#REF!</v>
      </c>
      <c r="E46" s="20" t="e">
        <f t="shared" si="8"/>
        <v>#REF!</v>
      </c>
      <c r="F46" s="20" t="e">
        <f t="shared" si="9"/>
        <v>#REF!</v>
      </c>
      <c r="G46" s="2" t="s">
        <v>197</v>
      </c>
      <c r="H46" s="2" t="e">
        <f t="shared" si="26"/>
        <v>#REF!</v>
      </c>
      <c r="I46" s="21" t="e">
        <f t="shared" si="2"/>
        <v>#REF!</v>
      </c>
      <c r="J46" s="21" t="e">
        <f t="shared" si="3"/>
        <v>#REF!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19" t="e">
        <f t="shared" si="4"/>
        <v>#REF!</v>
      </c>
      <c r="B47" s="20" t="e">
        <f t="shared" si="5"/>
        <v>#REF!</v>
      </c>
      <c r="C47" s="20" t="e">
        <f t="shared" si="6"/>
        <v>#REF!</v>
      </c>
      <c r="D47" s="20" t="e">
        <f t="shared" si="7"/>
        <v>#REF!</v>
      </c>
      <c r="E47" s="20" t="e">
        <f t="shared" si="8"/>
        <v>#REF!</v>
      </c>
      <c r="F47" s="20" t="e">
        <f t="shared" si="9"/>
        <v>#REF!</v>
      </c>
      <c r="G47" s="2" t="s">
        <v>197</v>
      </c>
      <c r="H47" s="2" t="e">
        <f t="shared" si="26"/>
        <v>#REF!</v>
      </c>
      <c r="I47" s="21" t="e">
        <f t="shared" si="2"/>
        <v>#REF!</v>
      </c>
      <c r="J47" s="21" t="e">
        <f t="shared" si="3"/>
        <v>#REF!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19" t="e">
        <f t="shared" si="4"/>
        <v>#REF!</v>
      </c>
      <c r="B48" s="20" t="e">
        <f t="shared" si="5"/>
        <v>#REF!</v>
      </c>
      <c r="C48" s="20" t="e">
        <f t="shared" si="6"/>
        <v>#REF!</v>
      </c>
      <c r="D48" s="20" t="e">
        <f t="shared" si="7"/>
        <v>#REF!</v>
      </c>
      <c r="E48" s="20" t="e">
        <f t="shared" si="8"/>
        <v>#REF!</v>
      </c>
      <c r="F48" s="20" t="e">
        <f t="shared" si="9"/>
        <v>#REF!</v>
      </c>
      <c r="G48" s="2" t="s">
        <v>197</v>
      </c>
      <c r="H48" s="2" t="e">
        <f t="shared" si="26"/>
        <v>#REF!</v>
      </c>
      <c r="I48" s="21" t="e">
        <f t="shared" si="2"/>
        <v>#REF!</v>
      </c>
      <c r="J48" s="21" t="e">
        <f t="shared" si="3"/>
        <v>#REF!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19" t="e">
        <f t="shared" si="4"/>
        <v>#REF!</v>
      </c>
      <c r="B49" s="20" t="e">
        <f t="shared" si="5"/>
        <v>#REF!</v>
      </c>
      <c r="C49" s="20" t="e">
        <f t="shared" si="6"/>
        <v>#REF!</v>
      </c>
      <c r="D49" s="20" t="e">
        <f t="shared" si="7"/>
        <v>#REF!</v>
      </c>
      <c r="E49" s="20" t="e">
        <f t="shared" si="8"/>
        <v>#REF!</v>
      </c>
      <c r="F49" s="20" t="e">
        <f t="shared" si="9"/>
        <v>#REF!</v>
      </c>
      <c r="G49" s="2" t="s">
        <v>197</v>
      </c>
      <c r="H49" s="2" t="e">
        <f t="shared" si="26"/>
        <v>#REF!</v>
      </c>
      <c r="I49" s="21" t="e">
        <f t="shared" si="2"/>
        <v>#REF!</v>
      </c>
      <c r="J49" s="21" t="e">
        <f t="shared" si="3"/>
        <v>#REF!</v>
      </c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19" t="e">
        <f t="shared" si="4"/>
        <v>#REF!</v>
      </c>
      <c r="B50" s="20" t="e">
        <f t="shared" si="5"/>
        <v>#REF!</v>
      </c>
      <c r="C50" s="20" t="e">
        <f t="shared" si="6"/>
        <v>#REF!</v>
      </c>
      <c r="D50" s="20" t="e">
        <f t="shared" si="7"/>
        <v>#REF!</v>
      </c>
      <c r="E50" s="20" t="e">
        <f t="shared" si="8"/>
        <v>#REF!</v>
      </c>
      <c r="F50" s="20" t="e">
        <f t="shared" si="9"/>
        <v>#REF!</v>
      </c>
      <c r="G50" s="2" t="s">
        <v>197</v>
      </c>
      <c r="H50" s="2" t="e">
        <f t="shared" si="26"/>
        <v>#REF!</v>
      </c>
      <c r="I50" s="21" t="e">
        <f t="shared" si="2"/>
        <v>#REF!</v>
      </c>
      <c r="J50" s="21" t="e">
        <f t="shared" si="3"/>
        <v>#REF!</v>
      </c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19" t="e">
        <f t="shared" si="4"/>
        <v>#REF!</v>
      </c>
      <c r="B51" s="20" t="e">
        <f t="shared" si="5"/>
        <v>#REF!</v>
      </c>
      <c r="C51" s="20" t="e">
        <f t="shared" si="6"/>
        <v>#REF!</v>
      </c>
      <c r="D51" s="20" t="e">
        <f t="shared" si="7"/>
        <v>#REF!</v>
      </c>
      <c r="E51" s="20" t="e">
        <f t="shared" si="8"/>
        <v>#REF!</v>
      </c>
      <c r="F51" s="20" t="e">
        <f t="shared" si="9"/>
        <v>#REF!</v>
      </c>
      <c r="G51" s="2" t="s">
        <v>197</v>
      </c>
      <c r="H51" s="2" t="e">
        <f t="shared" si="26"/>
        <v>#REF!</v>
      </c>
      <c r="I51" s="21" t="e">
        <f t="shared" si="2"/>
        <v>#REF!</v>
      </c>
      <c r="J51" s="21" t="e">
        <f t="shared" si="3"/>
        <v>#REF!</v>
      </c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19" t="e">
        <f t="shared" si="4"/>
        <v>#REF!</v>
      </c>
      <c r="B52" s="20" t="e">
        <f t="shared" si="5"/>
        <v>#REF!</v>
      </c>
      <c r="C52" s="20" t="e">
        <f t="shared" si="6"/>
        <v>#REF!</v>
      </c>
      <c r="D52" s="20" t="e">
        <f t="shared" si="7"/>
        <v>#REF!</v>
      </c>
      <c r="E52" s="20" t="e">
        <f t="shared" si="8"/>
        <v>#REF!</v>
      </c>
      <c r="F52" s="20" t="e">
        <f t="shared" si="9"/>
        <v>#REF!</v>
      </c>
      <c r="G52" s="2" t="s">
        <v>197</v>
      </c>
      <c r="H52" s="2" t="e">
        <f t="shared" si="26"/>
        <v>#REF!</v>
      </c>
      <c r="I52" s="21" t="e">
        <f t="shared" si="2"/>
        <v>#REF!</v>
      </c>
      <c r="J52" s="21" t="e">
        <f t="shared" si="3"/>
        <v>#REF!</v>
      </c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19" t="e">
        <f t="shared" si="4"/>
        <v>#REF!</v>
      </c>
      <c r="B53" s="20" t="e">
        <f t="shared" si="5"/>
        <v>#REF!</v>
      </c>
      <c r="C53" s="20" t="e">
        <f t="shared" si="6"/>
        <v>#REF!</v>
      </c>
      <c r="D53" s="20" t="e">
        <f t="shared" si="7"/>
        <v>#REF!</v>
      </c>
      <c r="E53" s="20" t="e">
        <f t="shared" si="8"/>
        <v>#REF!</v>
      </c>
      <c r="F53" s="20" t="e">
        <f t="shared" si="9"/>
        <v>#REF!</v>
      </c>
      <c r="G53" s="2" t="s">
        <v>197</v>
      </c>
      <c r="H53" s="2" t="e">
        <f t="shared" si="26"/>
        <v>#REF!</v>
      </c>
      <c r="I53" s="21" t="e">
        <f t="shared" si="2"/>
        <v>#REF!</v>
      </c>
      <c r="J53" s="21" t="e">
        <f t="shared" si="3"/>
        <v>#REF!</v>
      </c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19" t="e">
        <f t="shared" si="4"/>
        <v>#REF!</v>
      </c>
      <c r="B54" s="20" t="e">
        <f t="shared" si="5"/>
        <v>#REF!</v>
      </c>
      <c r="C54" s="20" t="e">
        <f t="shared" si="6"/>
        <v>#REF!</v>
      </c>
      <c r="D54" s="20" t="e">
        <f t="shared" si="7"/>
        <v>#REF!</v>
      </c>
      <c r="E54" s="20" t="e">
        <f t="shared" si="8"/>
        <v>#REF!</v>
      </c>
      <c r="F54" s="20" t="e">
        <f t="shared" si="9"/>
        <v>#REF!</v>
      </c>
      <c r="G54" s="2" t="s">
        <v>197</v>
      </c>
      <c r="H54" s="2" t="e">
        <f t="shared" si="26"/>
        <v>#REF!</v>
      </c>
      <c r="I54" s="21" t="e">
        <f t="shared" si="2"/>
        <v>#REF!</v>
      </c>
      <c r="J54" s="21" t="e">
        <f t="shared" si="3"/>
        <v>#REF!</v>
      </c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19" t="e">
        <f t="shared" si="4"/>
        <v>#REF!</v>
      </c>
      <c r="B55" s="20" t="e">
        <f t="shared" si="5"/>
        <v>#REF!</v>
      </c>
      <c r="C55" s="20" t="e">
        <f t="shared" si="6"/>
        <v>#REF!</v>
      </c>
      <c r="D55" s="20" t="e">
        <f t="shared" si="7"/>
        <v>#REF!</v>
      </c>
      <c r="E55" s="20" t="e">
        <f t="shared" si="8"/>
        <v>#REF!</v>
      </c>
      <c r="F55" s="20" t="e">
        <f t="shared" si="9"/>
        <v>#REF!</v>
      </c>
      <c r="G55" s="2" t="s">
        <v>197</v>
      </c>
      <c r="H55" s="2" t="e">
        <f t="shared" si="26"/>
        <v>#REF!</v>
      </c>
      <c r="I55" s="21" t="e">
        <f t="shared" si="2"/>
        <v>#REF!</v>
      </c>
      <c r="J55" s="21" t="e">
        <f t="shared" si="3"/>
        <v>#REF!</v>
      </c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19" t="e">
        <f t="shared" si="4"/>
        <v>#REF!</v>
      </c>
      <c r="B56" s="20" t="e">
        <f t="shared" si="5"/>
        <v>#REF!</v>
      </c>
      <c r="C56" s="20" t="e">
        <f t="shared" si="6"/>
        <v>#REF!</v>
      </c>
      <c r="D56" s="20" t="e">
        <f t="shared" si="7"/>
        <v>#REF!</v>
      </c>
      <c r="E56" s="20" t="e">
        <f t="shared" si="8"/>
        <v>#REF!</v>
      </c>
      <c r="F56" s="20" t="e">
        <f t="shared" si="9"/>
        <v>#REF!</v>
      </c>
      <c r="G56" s="2" t="s">
        <v>197</v>
      </c>
      <c r="H56" s="2" t="e">
        <f t="shared" si="26"/>
        <v>#REF!</v>
      </c>
      <c r="I56" s="21" t="e">
        <f t="shared" si="2"/>
        <v>#REF!</v>
      </c>
      <c r="J56" s="21" t="e">
        <f t="shared" si="3"/>
        <v>#REF!</v>
      </c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19" t="e">
        <f t="shared" si="4"/>
        <v>#REF!</v>
      </c>
      <c r="B57" s="20" t="e">
        <f t="shared" si="5"/>
        <v>#REF!</v>
      </c>
      <c r="C57" s="20" t="e">
        <f t="shared" si="6"/>
        <v>#REF!</v>
      </c>
      <c r="D57" s="20" t="e">
        <f t="shared" si="7"/>
        <v>#REF!</v>
      </c>
      <c r="E57" s="20" t="e">
        <f t="shared" si="8"/>
        <v>#REF!</v>
      </c>
      <c r="F57" s="20" t="e">
        <f t="shared" si="9"/>
        <v>#REF!</v>
      </c>
      <c r="G57" s="2" t="s">
        <v>197</v>
      </c>
      <c r="H57" s="2" t="e">
        <f t="shared" si="26"/>
        <v>#REF!</v>
      </c>
      <c r="I57" s="21" t="e">
        <f t="shared" si="2"/>
        <v>#REF!</v>
      </c>
      <c r="J57" s="21" t="e">
        <f t="shared" si="3"/>
        <v>#REF!</v>
      </c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19" t="e">
        <f t="shared" si="4"/>
        <v>#REF!</v>
      </c>
      <c r="B58" s="20" t="e">
        <f t="shared" si="5"/>
        <v>#REF!</v>
      </c>
      <c r="C58" s="20" t="e">
        <f t="shared" si="6"/>
        <v>#REF!</v>
      </c>
      <c r="D58" s="20" t="e">
        <f t="shared" si="7"/>
        <v>#REF!</v>
      </c>
      <c r="E58" s="20" t="e">
        <f t="shared" si="8"/>
        <v>#REF!</v>
      </c>
      <c r="F58" s="20" t="e">
        <f t="shared" si="9"/>
        <v>#REF!</v>
      </c>
      <c r="G58" s="2" t="s">
        <v>197</v>
      </c>
      <c r="H58" s="2" t="e">
        <f t="shared" si="26"/>
        <v>#REF!</v>
      </c>
      <c r="I58" s="21" t="e">
        <f t="shared" si="2"/>
        <v>#REF!</v>
      </c>
      <c r="J58" s="21" t="e">
        <f t="shared" si="3"/>
        <v>#REF!</v>
      </c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19" t="e">
        <f t="shared" si="4"/>
        <v>#REF!</v>
      </c>
      <c r="B59" s="20" t="e">
        <f t="shared" si="5"/>
        <v>#REF!</v>
      </c>
      <c r="C59" s="20" t="e">
        <f t="shared" si="6"/>
        <v>#REF!</v>
      </c>
      <c r="D59" s="20" t="e">
        <f t="shared" si="7"/>
        <v>#REF!</v>
      </c>
      <c r="E59" s="20" t="e">
        <f t="shared" si="8"/>
        <v>#REF!</v>
      </c>
      <c r="F59" s="20" t="e">
        <f t="shared" si="9"/>
        <v>#REF!</v>
      </c>
      <c r="G59" s="2" t="s">
        <v>197</v>
      </c>
      <c r="H59" s="2" t="e">
        <f t="shared" si="26"/>
        <v>#REF!</v>
      </c>
      <c r="I59" s="21" t="e">
        <f t="shared" si="2"/>
        <v>#REF!</v>
      </c>
      <c r="J59" s="21" t="e">
        <f t="shared" si="3"/>
        <v>#REF!</v>
      </c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19" t="e">
        <f t="shared" si="4"/>
        <v>#REF!</v>
      </c>
      <c r="B60" s="20" t="e">
        <f t="shared" si="5"/>
        <v>#REF!</v>
      </c>
      <c r="C60" s="20" t="e">
        <f t="shared" si="6"/>
        <v>#REF!</v>
      </c>
      <c r="D60" s="20" t="e">
        <f t="shared" si="7"/>
        <v>#REF!</v>
      </c>
      <c r="E60" s="20" t="e">
        <f t="shared" si="8"/>
        <v>#REF!</v>
      </c>
      <c r="F60" s="20" t="e">
        <f t="shared" si="9"/>
        <v>#REF!</v>
      </c>
      <c r="G60" s="2" t="s">
        <v>197</v>
      </c>
      <c r="H60" s="2" t="e">
        <f t="shared" si="26"/>
        <v>#REF!</v>
      </c>
      <c r="I60" s="21" t="e">
        <f t="shared" si="2"/>
        <v>#REF!</v>
      </c>
      <c r="J60" s="21" t="e">
        <f t="shared" si="3"/>
        <v>#REF!</v>
      </c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19" t="e">
        <f t="shared" si="4"/>
        <v>#REF!</v>
      </c>
      <c r="B61" s="20" t="e">
        <f t="shared" si="5"/>
        <v>#REF!</v>
      </c>
      <c r="C61" s="20" t="e">
        <f t="shared" si="6"/>
        <v>#REF!</v>
      </c>
      <c r="D61" s="20" t="e">
        <f t="shared" si="7"/>
        <v>#REF!</v>
      </c>
      <c r="E61" s="20" t="e">
        <f t="shared" si="8"/>
        <v>#REF!</v>
      </c>
      <c r="F61" s="20" t="e">
        <f t="shared" si="9"/>
        <v>#REF!</v>
      </c>
      <c r="G61" s="2" t="s">
        <v>197</v>
      </c>
      <c r="H61" s="2" t="e">
        <f t="shared" si="26"/>
        <v>#REF!</v>
      </c>
      <c r="I61" s="21" t="e">
        <f t="shared" si="2"/>
        <v>#REF!</v>
      </c>
      <c r="J61" s="21" t="e">
        <f t="shared" si="3"/>
        <v>#REF!</v>
      </c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19" t="e">
        <f t="shared" si="4"/>
        <v>#REF!</v>
      </c>
      <c r="B62" s="20" t="e">
        <f t="shared" si="5"/>
        <v>#REF!</v>
      </c>
      <c r="C62" s="20" t="e">
        <f t="shared" si="6"/>
        <v>#REF!</v>
      </c>
      <c r="D62" s="20" t="e">
        <f t="shared" si="7"/>
        <v>#REF!</v>
      </c>
      <c r="E62" s="20" t="e">
        <f t="shared" si="8"/>
        <v>#REF!</v>
      </c>
      <c r="F62" s="20" t="e">
        <f t="shared" si="9"/>
        <v>#REF!</v>
      </c>
      <c r="G62" s="2" t="s">
        <v>197</v>
      </c>
      <c r="H62" s="2" t="e">
        <f t="shared" si="26"/>
        <v>#REF!</v>
      </c>
      <c r="I62" s="21" t="e">
        <f t="shared" si="2"/>
        <v>#REF!</v>
      </c>
      <c r="J62" s="21" t="e">
        <f t="shared" si="3"/>
        <v>#REF!</v>
      </c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19" t="e">
        <f t="shared" si="4"/>
        <v>#REF!</v>
      </c>
      <c r="B63" s="20" t="e">
        <f t="shared" si="5"/>
        <v>#REF!</v>
      </c>
      <c r="C63" s="20" t="e">
        <f t="shared" si="6"/>
        <v>#REF!</v>
      </c>
      <c r="D63" s="20" t="e">
        <f t="shared" si="7"/>
        <v>#REF!</v>
      </c>
      <c r="E63" s="20" t="e">
        <f t="shared" si="8"/>
        <v>#REF!</v>
      </c>
      <c r="F63" s="20" t="e">
        <f t="shared" si="9"/>
        <v>#REF!</v>
      </c>
      <c r="G63" s="2" t="s">
        <v>197</v>
      </c>
      <c r="H63" s="2" t="e">
        <f t="shared" si="26"/>
        <v>#REF!</v>
      </c>
      <c r="I63" s="21" t="e">
        <f t="shared" si="2"/>
        <v>#REF!</v>
      </c>
      <c r="J63" s="21" t="e">
        <f t="shared" si="3"/>
        <v>#REF!</v>
      </c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19" t="e">
        <f t="shared" si="4"/>
        <v>#REF!</v>
      </c>
      <c r="B64" s="20" t="e">
        <f t="shared" si="5"/>
        <v>#REF!</v>
      </c>
      <c r="C64" s="20" t="e">
        <f t="shared" si="6"/>
        <v>#REF!</v>
      </c>
      <c r="D64" s="20" t="e">
        <f t="shared" si="7"/>
        <v>#REF!</v>
      </c>
      <c r="E64" s="20" t="e">
        <f t="shared" si="8"/>
        <v>#REF!</v>
      </c>
      <c r="F64" s="20" t="e">
        <f t="shared" si="9"/>
        <v>#REF!</v>
      </c>
      <c r="G64" s="2" t="s">
        <v>197</v>
      </c>
      <c r="H64" s="2" t="e">
        <f t="shared" si="26"/>
        <v>#REF!</v>
      </c>
      <c r="I64" s="21" t="e">
        <f t="shared" si="2"/>
        <v>#REF!</v>
      </c>
      <c r="J64" s="21" t="e">
        <f t="shared" si="3"/>
        <v>#REF!</v>
      </c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19" t="e">
        <f t="shared" si="4"/>
        <v>#REF!</v>
      </c>
      <c r="B65" s="20" t="e">
        <f t="shared" si="5"/>
        <v>#REF!</v>
      </c>
      <c r="C65" s="20" t="e">
        <f t="shared" si="6"/>
        <v>#REF!</v>
      </c>
      <c r="D65" s="20" t="e">
        <f t="shared" si="7"/>
        <v>#REF!</v>
      </c>
      <c r="E65" s="20" t="e">
        <f t="shared" si="8"/>
        <v>#REF!</v>
      </c>
      <c r="F65" s="20" t="e">
        <f t="shared" si="9"/>
        <v>#REF!</v>
      </c>
      <c r="G65" s="2" t="s">
        <v>197</v>
      </c>
      <c r="H65" s="2" t="e">
        <f t="shared" si="26"/>
        <v>#REF!</v>
      </c>
      <c r="I65" s="21" t="e">
        <f t="shared" si="2"/>
        <v>#REF!</v>
      </c>
      <c r="J65" s="21" t="e">
        <f t="shared" si="3"/>
        <v>#REF!</v>
      </c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19" t="e">
        <f t="shared" si="4"/>
        <v>#REF!</v>
      </c>
      <c r="B66" s="20" t="e">
        <f t="shared" si="5"/>
        <v>#REF!</v>
      </c>
      <c r="C66" s="20" t="e">
        <f t="shared" si="6"/>
        <v>#REF!</v>
      </c>
      <c r="D66" s="20" t="e">
        <f t="shared" si="7"/>
        <v>#REF!</v>
      </c>
      <c r="E66" s="20" t="e">
        <f t="shared" si="8"/>
        <v>#REF!</v>
      </c>
      <c r="F66" s="20" t="e">
        <f t="shared" si="9"/>
        <v>#REF!</v>
      </c>
      <c r="G66" s="2" t="s">
        <v>197</v>
      </c>
      <c r="H66" s="2" t="e">
        <f t="shared" si="26"/>
        <v>#REF!</v>
      </c>
      <c r="I66" s="21" t="e">
        <f t="shared" si="2"/>
        <v>#REF!</v>
      </c>
      <c r="J66" s="21" t="e">
        <f t="shared" si="3"/>
        <v>#REF!</v>
      </c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19" t="e">
        <f t="shared" si="4"/>
        <v>#REF!</v>
      </c>
      <c r="B67" s="20" t="e">
        <f t="shared" si="5"/>
        <v>#REF!</v>
      </c>
      <c r="C67" s="20" t="e">
        <f t="shared" si="6"/>
        <v>#REF!</v>
      </c>
      <c r="D67" s="20" t="e">
        <f t="shared" si="7"/>
        <v>#REF!</v>
      </c>
      <c r="E67" s="20" t="e">
        <f t="shared" si="8"/>
        <v>#REF!</v>
      </c>
      <c r="F67" s="20" t="e">
        <f t="shared" si="9"/>
        <v>#REF!</v>
      </c>
      <c r="G67" s="2" t="s">
        <v>197</v>
      </c>
      <c r="H67" s="2" t="e">
        <f t="shared" si="26"/>
        <v>#REF!</v>
      </c>
      <c r="I67" s="21" t="e">
        <f t="shared" si="2"/>
        <v>#REF!</v>
      </c>
      <c r="J67" s="21" t="e">
        <f t="shared" si="3"/>
        <v>#REF!</v>
      </c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19" t="e">
        <f t="shared" si="4"/>
        <v>#REF!</v>
      </c>
      <c r="B68" s="20" t="e">
        <f t="shared" si="5"/>
        <v>#REF!</v>
      </c>
      <c r="C68" s="20" t="e">
        <f t="shared" si="6"/>
        <v>#REF!</v>
      </c>
      <c r="D68" s="20" t="e">
        <f t="shared" si="7"/>
        <v>#REF!</v>
      </c>
      <c r="E68" s="20" t="e">
        <f t="shared" si="8"/>
        <v>#REF!</v>
      </c>
      <c r="F68" s="20" t="e">
        <f t="shared" si="9"/>
        <v>#REF!</v>
      </c>
      <c r="G68" s="2" t="s">
        <v>197</v>
      </c>
      <c r="H68" s="2" t="e">
        <f t="shared" si="26"/>
        <v>#REF!</v>
      </c>
      <c r="I68" s="21" t="e">
        <f t="shared" si="2"/>
        <v>#REF!</v>
      </c>
      <c r="J68" s="21" t="e">
        <f t="shared" si="3"/>
        <v>#REF!</v>
      </c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19" t="e">
        <f t="shared" si="4"/>
        <v>#REF!</v>
      </c>
      <c r="B69" s="20" t="e">
        <f t="shared" si="5"/>
        <v>#REF!</v>
      </c>
      <c r="C69" s="20" t="e">
        <f t="shared" si="6"/>
        <v>#REF!</v>
      </c>
      <c r="D69" s="20" t="e">
        <f t="shared" si="7"/>
        <v>#REF!</v>
      </c>
      <c r="E69" s="20" t="e">
        <f t="shared" si="8"/>
        <v>#REF!</v>
      </c>
      <c r="F69" s="20" t="e">
        <f t="shared" si="9"/>
        <v>#REF!</v>
      </c>
      <c r="G69" s="2" t="s">
        <v>197</v>
      </c>
      <c r="H69" s="2" t="e">
        <f t="shared" si="26"/>
        <v>#REF!</v>
      </c>
      <c r="I69" s="21" t="e">
        <f t="shared" si="2"/>
        <v>#REF!</v>
      </c>
      <c r="J69" s="21" t="e">
        <f t="shared" si="3"/>
        <v>#REF!</v>
      </c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19" t="e">
        <f t="shared" si="4"/>
        <v>#REF!</v>
      </c>
      <c r="B70" s="20" t="e">
        <f t="shared" si="5"/>
        <v>#REF!</v>
      </c>
      <c r="C70" s="20" t="e">
        <f t="shared" si="6"/>
        <v>#REF!</v>
      </c>
      <c r="D70" s="20" t="e">
        <f t="shared" si="7"/>
        <v>#REF!</v>
      </c>
      <c r="E70" s="20" t="e">
        <f t="shared" si="8"/>
        <v>#REF!</v>
      </c>
      <c r="F70" s="20" t="e">
        <f t="shared" si="9"/>
        <v>#REF!</v>
      </c>
      <c r="G70" s="2" t="s">
        <v>197</v>
      </c>
      <c r="H70" s="2" t="e">
        <f t="shared" si="26"/>
        <v>#REF!</v>
      </c>
      <c r="I70" s="21" t="e">
        <f t="shared" si="2"/>
        <v>#REF!</v>
      </c>
      <c r="J70" s="21" t="e">
        <f t="shared" si="3"/>
        <v>#REF!</v>
      </c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19" t="e">
        <f t="shared" si="4"/>
        <v>#REF!</v>
      </c>
      <c r="B71" s="20" t="e">
        <f t="shared" si="5"/>
        <v>#REF!</v>
      </c>
      <c r="C71" s="20" t="e">
        <f t="shared" si="6"/>
        <v>#REF!</v>
      </c>
      <c r="D71" s="20" t="e">
        <f t="shared" si="7"/>
        <v>#REF!</v>
      </c>
      <c r="E71" s="20" t="e">
        <f t="shared" si="8"/>
        <v>#REF!</v>
      </c>
      <c r="F71" s="20" t="e">
        <f t="shared" si="9"/>
        <v>#REF!</v>
      </c>
      <c r="G71" s="2" t="s">
        <v>197</v>
      </c>
      <c r="H71" s="2" t="e">
        <f t="shared" si="26"/>
        <v>#REF!</v>
      </c>
      <c r="I71" s="21" t="e">
        <f t="shared" si="2"/>
        <v>#REF!</v>
      </c>
      <c r="J71" s="21" t="e">
        <f t="shared" si="3"/>
        <v>#REF!</v>
      </c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19" t="e">
        <f t="shared" si="4"/>
        <v>#REF!</v>
      </c>
      <c r="B72" s="20" t="e">
        <f t="shared" si="5"/>
        <v>#REF!</v>
      </c>
      <c r="C72" s="20" t="e">
        <f t="shared" si="6"/>
        <v>#REF!</v>
      </c>
      <c r="D72" s="20" t="e">
        <f t="shared" si="7"/>
        <v>#REF!</v>
      </c>
      <c r="E72" s="20" t="e">
        <f t="shared" si="8"/>
        <v>#REF!</v>
      </c>
      <c r="F72" s="20" t="e">
        <f t="shared" si="9"/>
        <v>#REF!</v>
      </c>
      <c r="G72" s="2" t="s">
        <v>197</v>
      </c>
      <c r="H72" s="2" t="e">
        <f t="shared" si="26"/>
        <v>#REF!</v>
      </c>
      <c r="I72" s="21" t="e">
        <f t="shared" si="2"/>
        <v>#REF!</v>
      </c>
      <c r="J72" s="21" t="e">
        <f t="shared" si="3"/>
        <v>#REF!</v>
      </c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19" t="e">
        <f t="shared" si="4"/>
        <v>#REF!</v>
      </c>
      <c r="B73" s="20" t="e">
        <f t="shared" si="5"/>
        <v>#REF!</v>
      </c>
      <c r="C73" s="20" t="e">
        <f t="shared" si="6"/>
        <v>#REF!</v>
      </c>
      <c r="D73" s="20" t="e">
        <f t="shared" si="7"/>
        <v>#REF!</v>
      </c>
      <c r="E73" s="20" t="e">
        <f t="shared" si="8"/>
        <v>#REF!</v>
      </c>
      <c r="F73" s="20" t="e">
        <f t="shared" si="9"/>
        <v>#REF!</v>
      </c>
      <c r="G73" s="2" t="s">
        <v>197</v>
      </c>
      <c r="H73" s="2" t="e">
        <f t="shared" si="26"/>
        <v>#REF!</v>
      </c>
      <c r="I73" s="21" t="e">
        <f t="shared" si="2"/>
        <v>#REF!</v>
      </c>
      <c r="J73" s="21" t="e">
        <f t="shared" si="3"/>
        <v>#REF!</v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19" t="e">
        <f t="shared" si="4"/>
        <v>#REF!</v>
      </c>
      <c r="B74" s="20" t="e">
        <f t="shared" si="5"/>
        <v>#REF!</v>
      </c>
      <c r="C74" s="20" t="e">
        <f t="shared" si="6"/>
        <v>#REF!</v>
      </c>
      <c r="D74" s="20" t="e">
        <f t="shared" si="7"/>
        <v>#REF!</v>
      </c>
      <c r="E74" s="20" t="e">
        <f t="shared" si="8"/>
        <v>#REF!</v>
      </c>
      <c r="F74" s="20" t="e">
        <f t="shared" si="9"/>
        <v>#REF!</v>
      </c>
      <c r="G74" s="2" t="s">
        <v>197</v>
      </c>
      <c r="H74" s="2" t="e">
        <f t="shared" si="26"/>
        <v>#REF!</v>
      </c>
      <c r="I74" s="21" t="e">
        <f t="shared" si="2"/>
        <v>#REF!</v>
      </c>
      <c r="J74" s="21" t="e">
        <f t="shared" si="3"/>
        <v>#REF!</v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19" t="e">
        <f t="shared" si="4"/>
        <v>#REF!</v>
      </c>
      <c r="B75" s="20" t="e">
        <f t="shared" si="5"/>
        <v>#REF!</v>
      </c>
      <c r="C75" s="20" t="e">
        <f t="shared" si="6"/>
        <v>#REF!</v>
      </c>
      <c r="D75" s="20" t="e">
        <f t="shared" si="7"/>
        <v>#REF!</v>
      </c>
      <c r="E75" s="20" t="e">
        <f t="shared" si="8"/>
        <v>#REF!</v>
      </c>
      <c r="F75" s="20" t="e">
        <f t="shared" si="9"/>
        <v>#REF!</v>
      </c>
      <c r="G75" s="2" t="s">
        <v>197</v>
      </c>
      <c r="H75" s="2" t="e">
        <f t="shared" si="26"/>
        <v>#REF!</v>
      </c>
      <c r="I75" s="21" t="e">
        <f t="shared" si="2"/>
        <v>#REF!</v>
      </c>
      <c r="J75" s="21" t="e">
        <f t="shared" si="3"/>
        <v>#REF!</v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19" t="e">
        <f t="shared" si="4"/>
        <v>#REF!</v>
      </c>
      <c r="B76" s="20" t="e">
        <f t="shared" si="5"/>
        <v>#REF!</v>
      </c>
      <c r="C76" s="20" t="e">
        <f t="shared" si="6"/>
        <v>#REF!</v>
      </c>
      <c r="D76" s="20" t="e">
        <f t="shared" si="7"/>
        <v>#REF!</v>
      </c>
      <c r="E76" s="20" t="e">
        <f t="shared" si="8"/>
        <v>#REF!</v>
      </c>
      <c r="F76" s="20" t="e">
        <f t="shared" si="9"/>
        <v>#REF!</v>
      </c>
      <c r="G76" s="2" t="s">
        <v>197</v>
      </c>
      <c r="H76" s="2" t="e">
        <f t="shared" si="26"/>
        <v>#REF!</v>
      </c>
      <c r="I76" s="21" t="e">
        <f t="shared" si="2"/>
        <v>#REF!</v>
      </c>
      <c r="J76" s="21" t="e">
        <f t="shared" si="3"/>
        <v>#REF!</v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19" t="e">
        <f t="shared" si="4"/>
        <v>#REF!</v>
      </c>
      <c r="B77" s="20" t="e">
        <f t="shared" si="5"/>
        <v>#REF!</v>
      </c>
      <c r="C77" s="20" t="e">
        <f t="shared" si="6"/>
        <v>#REF!</v>
      </c>
      <c r="D77" s="20" t="e">
        <f t="shared" si="7"/>
        <v>#REF!</v>
      </c>
      <c r="E77" s="20" t="e">
        <f t="shared" si="8"/>
        <v>#REF!</v>
      </c>
      <c r="F77" s="20" t="e">
        <f t="shared" si="9"/>
        <v>#REF!</v>
      </c>
      <c r="G77" s="2" t="s">
        <v>197</v>
      </c>
      <c r="H77" s="2" t="e">
        <f t="shared" si="26"/>
        <v>#REF!</v>
      </c>
      <c r="I77" s="21" t="e">
        <f t="shared" si="2"/>
        <v>#REF!</v>
      </c>
      <c r="J77" s="21" t="e">
        <f t="shared" si="3"/>
        <v>#REF!</v>
      </c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19" t="e">
        <f t="shared" si="4"/>
        <v>#REF!</v>
      </c>
      <c r="B78" s="20" t="e">
        <f t="shared" si="5"/>
        <v>#REF!</v>
      </c>
      <c r="C78" s="20" t="e">
        <f t="shared" si="6"/>
        <v>#REF!</v>
      </c>
      <c r="D78" s="20" t="e">
        <f t="shared" si="7"/>
        <v>#REF!</v>
      </c>
      <c r="E78" s="20" t="e">
        <f t="shared" si="8"/>
        <v>#REF!</v>
      </c>
      <c r="F78" s="20" t="e">
        <f t="shared" si="9"/>
        <v>#REF!</v>
      </c>
      <c r="G78" s="2" t="s">
        <v>197</v>
      </c>
      <c r="H78" s="2" t="e">
        <f t="shared" si="26"/>
        <v>#REF!</v>
      </c>
      <c r="I78" s="21" t="e">
        <f t="shared" si="2"/>
        <v>#REF!</v>
      </c>
      <c r="J78" s="21" t="e">
        <f t="shared" si="3"/>
        <v>#REF!</v>
      </c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19" t="e">
        <f t="shared" si="4"/>
        <v>#REF!</v>
      </c>
      <c r="B79" s="20" t="e">
        <f t="shared" si="5"/>
        <v>#REF!</v>
      </c>
      <c r="C79" s="20" t="e">
        <f t="shared" si="6"/>
        <v>#REF!</v>
      </c>
      <c r="D79" s="20" t="e">
        <f t="shared" si="7"/>
        <v>#REF!</v>
      </c>
      <c r="E79" s="20" t="e">
        <f t="shared" si="8"/>
        <v>#REF!</v>
      </c>
      <c r="F79" s="20" t="e">
        <f t="shared" si="9"/>
        <v>#REF!</v>
      </c>
      <c r="G79" s="2" t="s">
        <v>197</v>
      </c>
      <c r="H79" s="2" t="e">
        <f t="shared" si="26"/>
        <v>#REF!</v>
      </c>
      <c r="I79" s="21" t="e">
        <f t="shared" si="2"/>
        <v>#REF!</v>
      </c>
      <c r="J79" s="21" t="e">
        <f t="shared" si="3"/>
        <v>#REF!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19" t="e">
        <f t="shared" si="4"/>
        <v>#REF!</v>
      </c>
      <c r="B80" s="20" t="e">
        <f t="shared" si="5"/>
        <v>#REF!</v>
      </c>
      <c r="C80" s="20" t="e">
        <f t="shared" si="6"/>
        <v>#REF!</v>
      </c>
      <c r="D80" s="20" t="e">
        <f t="shared" si="7"/>
        <v>#REF!</v>
      </c>
      <c r="E80" s="20" t="e">
        <f t="shared" si="8"/>
        <v>#REF!</v>
      </c>
      <c r="F80" s="20" t="e">
        <f t="shared" si="9"/>
        <v>#REF!</v>
      </c>
      <c r="G80" s="2" t="s">
        <v>197</v>
      </c>
      <c r="H80" s="2" t="e">
        <f t="shared" si="26"/>
        <v>#REF!</v>
      </c>
      <c r="I80" s="21" t="e">
        <f t="shared" si="2"/>
        <v>#REF!</v>
      </c>
      <c r="J80" s="21" t="e">
        <f t="shared" si="3"/>
        <v>#REF!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19" t="e">
        <f t="shared" si="4"/>
        <v>#REF!</v>
      </c>
      <c r="B81" s="20" t="e">
        <f t="shared" si="5"/>
        <v>#REF!</v>
      </c>
      <c r="C81" s="20" t="e">
        <f t="shared" si="6"/>
        <v>#REF!</v>
      </c>
      <c r="D81" s="20" t="e">
        <f t="shared" si="7"/>
        <v>#REF!</v>
      </c>
      <c r="E81" s="20" t="e">
        <f t="shared" si="8"/>
        <v>#REF!</v>
      </c>
      <c r="F81" s="20" t="e">
        <f t="shared" si="9"/>
        <v>#REF!</v>
      </c>
      <c r="G81" s="2" t="s">
        <v>197</v>
      </c>
      <c r="H81" s="2" t="e">
        <f t="shared" si="26"/>
        <v>#REF!</v>
      </c>
      <c r="I81" s="21" t="e">
        <f t="shared" si="2"/>
        <v>#REF!</v>
      </c>
      <c r="J81" s="21" t="e">
        <f t="shared" si="3"/>
        <v>#REF!</v>
      </c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Z1000"/>
  <sheetViews>
    <sheetView workbookViewId="0"/>
  </sheetViews>
  <sheetFormatPr baseColWidth="10" defaultColWidth="14.42578125" defaultRowHeight="15" customHeight="1" x14ac:dyDescent="0.2"/>
  <cols>
    <col min="1" max="1" width="10.7109375" customWidth="1"/>
    <col min="2" max="2" width="16.85546875" customWidth="1"/>
    <col min="3" max="3" width="21.5703125" customWidth="1"/>
    <col min="4" max="4" width="22.42578125" customWidth="1"/>
    <col min="5" max="5" width="19.85546875" customWidth="1"/>
    <col min="6" max="6" width="22.7109375" customWidth="1"/>
    <col min="7" max="7" width="14.42578125" customWidth="1"/>
    <col min="8" max="8" width="21.7109375" customWidth="1"/>
    <col min="9" max="9" width="7.140625" customWidth="1"/>
    <col min="10" max="10" width="11.140625" customWidth="1"/>
    <col min="11" max="26" width="10.7109375" customWidth="1"/>
  </cols>
  <sheetData>
    <row r="1" spans="1:26" ht="12.75" customHeight="1" x14ac:dyDescent="0.2">
      <c r="A1" s="14" t="s">
        <v>186</v>
      </c>
      <c r="B1" s="14" t="s">
        <v>196</v>
      </c>
      <c r="C1" s="14" t="s">
        <v>188</v>
      </c>
      <c r="D1" s="14" t="s">
        <v>189</v>
      </c>
      <c r="E1" s="14" t="s">
        <v>190</v>
      </c>
      <c r="F1" s="14" t="s">
        <v>191</v>
      </c>
      <c r="G1" s="14" t="s">
        <v>192</v>
      </c>
      <c r="H1" s="14" t="s">
        <v>193</v>
      </c>
      <c r="I1" s="14" t="s">
        <v>194</v>
      </c>
      <c r="J1" s="14" t="s">
        <v>195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2.75" customHeight="1" x14ac:dyDescent="0.2">
      <c r="A2" s="22" t="str">
        <f>'Larvas de Peces'!U9</f>
        <v>SP-20-0719</v>
      </c>
      <c r="B2" s="23">
        <f>'Larvas de Peces'!J13</f>
        <v>82.99436462231462</v>
      </c>
      <c r="C2" s="24" t="str">
        <f>'Larvas de Peces'!O13</f>
        <v>-</v>
      </c>
      <c r="D2" s="24" t="str">
        <f>'Larvas de Peces'!U13</f>
        <v>-</v>
      </c>
      <c r="E2" s="24" t="str">
        <f>'Larvas de Peces'!AA13</f>
        <v>-</v>
      </c>
      <c r="F2" s="24" t="e">
        <f>E2*D2</f>
        <v>#VALUE!</v>
      </c>
      <c r="G2" s="24" t="str">
        <f>'Larvas de Peces'!A18</f>
        <v>Larvas de peces</v>
      </c>
      <c r="H2" s="24">
        <f>'Larvas de Peces'!H18</f>
        <v>18</v>
      </c>
      <c r="I2" s="25">
        <f>((H2/B2)*2)</f>
        <v>0.43376439067672207</v>
      </c>
      <c r="J2" s="26">
        <f>((H2/B2)*2)*1000</f>
        <v>433.76439067672209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2.75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2.75" customHeight="1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2.7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2.75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2.7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2.7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2.75" customHeight="1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2.75" customHeight="1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2.75" customHeight="1" x14ac:dyDescent="0.2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2.7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2.75" customHeight="1" x14ac:dyDescent="0.2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2.75" customHeight="1" x14ac:dyDescent="0.2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2.7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2.7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2.7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2.7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2.7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2.7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2.7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2.7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2.7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2.7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2.7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2.7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2.7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2.7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2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2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2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2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2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2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2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2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2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2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2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2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2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2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2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2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2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2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2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2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2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2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2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2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2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2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2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2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2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2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2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2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2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2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2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2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2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2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2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2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2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2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2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2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2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2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2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2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2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2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2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2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2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2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2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2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2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2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2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2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2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2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2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2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2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2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2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2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2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2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2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2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2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2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2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2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2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2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2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2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2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2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2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2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2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2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2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2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2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2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2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2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2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2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2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2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2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2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2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2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2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2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2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2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2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2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2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2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2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2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2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2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2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2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2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2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2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2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2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2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2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2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2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2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2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2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2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2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2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2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2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2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2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2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2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2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2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2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2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2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2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2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2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2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2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2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2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2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2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2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2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2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2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2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2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2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2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2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2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2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2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2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2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2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2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2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2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2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2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2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2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2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2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2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2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2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2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2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2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2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2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2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2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2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2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2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2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2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2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2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2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2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dcterms:created xsi:type="dcterms:W3CDTF">2009-11-17T21:42:41Z</dcterms:created>
  <dcterms:modified xsi:type="dcterms:W3CDTF">2022-09-28T03:12:14Z</dcterms:modified>
</cp:coreProperties>
</file>