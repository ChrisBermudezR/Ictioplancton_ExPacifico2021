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2C1D8F5B-8278-4FCC-892C-32DEEEC9F97C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<sst xmlns="http://schemas.openxmlformats.org/spreadsheetml/2006/main" count="67" uniqueCount="66">
  <si>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</si>
  <si>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</si>
  <si>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</si>
  <si>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</si>
  <si>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</si>
  <si>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</si>
  <si>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</si>
  <si>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</si>
  <si>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</si>
  <si>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</si>
  <si>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</si>
  <si>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</si>
  <si>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</si>
  <si>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</si>
  <si>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</si>
  <si>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</si>
  <si>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</si>
  <si>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</si>
  <si>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</si>
  <si>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</si>
  <si>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</si>
  <si>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</si>
  <si>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</si>
  <si>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</si>
  <si>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</si>
  <si>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</si>
  <si>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</si>
  <si>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</si>
  <si>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</si>
  <si>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</si>
  <si>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</si>
  <si>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</si>
  <si>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</si>
  <si>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</si>
  <si>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</si>
  <si>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</si>
  <si>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</si>
  <si>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</si>
  <si>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</si>
  <si>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</si>
  <si>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</si>
  <si>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</si>
  <si>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</si>
  <si>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</si>
  <si>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</si>
  <si>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</si>
  <si>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</si>
  <si>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</si>
  <si>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</si>
  <si>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</si>
  <si>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</si>
  <si>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</si>
  <si>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</si>
  <si>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</si>
  <si>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</si>
  <si>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</si>
  <si>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</si>
  <si>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</si>
  <si>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</si>
  <si>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</si>
  <si>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</si>
  <si>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</si>
  <si>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Ostracoda</t>
  </si>
  <si>
    <t>Mollusca (Bivalvia)</t>
  </si>
  <si>
    <t>17</t>
  </si>
  <si>
    <t>SP-21-0237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</si>
</sst>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5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4503E706-A7DD-4FAB-886F-45C8F7030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4D2677C9-A4D2-4785-8E77-F0A85B0DA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8DE0FE7A-F435-4B9E-B1D7-FE2E364A2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3901FC2F-6B3B-41D9-9107-442B3EE99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B1810E8F-90B7-4D14-AD49-5E1657A16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3E32B862-AC10-41D8-98D2-4BD1A5DD6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52127CE2-2F9C-4297-AD8E-79436F640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70D90C76-A19F-4C12-898F-C7DC0BD17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8DA74149-06C1-4141-89B4-BD6AE21C4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633D0567-1531-435E-9D24-3EE8A4E72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DB7B4168-7D21-4913-9A80-4A5F710D8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FBD65B0D-CC92-4C2F-965F-BE51C996A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BEC3F0B5-C755-4B9A-BED0-DB7358954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D215B56E-7623-4B73-B6AC-48A14BA57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B8D658A5-AD5E-4F95-92A4-0EFD9E06D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ACF6249A-E0FC-4239-B32E-4280CEC63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737AB112-8BD4-4B84-9746-D91CE1795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8A8CAE09-FF65-4EE2-995F-A66B1FDDD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CA1795CA-6042-477E-8D46-2EC96B7FA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405D7456-9161-41FF-ADB5-E1E4893A8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9D0BFB64-07DE-4E1F-ACD7-75DF7D066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BCED8D14-EDCF-4745-97EB-9BE07FAE8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AFEC9593-C7A5-4DE1-BEDC-5E1AE3128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DB310EA3-DB0E-416A-B01D-561FC63E8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8F171A59-B776-40B5-AD9B-6761F7D53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7692BAB4-FA8C-427F-B713-4130567AA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F60188F-DC0B-4CC1-9B11-068F7106C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3503FA04-FB66-4303-AAAD-4CC2ABC47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BD5D4068-F26A-43E7-9028-3E0CABF57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7C9F6A70-BF5E-4757-8B1D-3C0EBC576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FCF33311-F47A-4871-9E3F-D3A665EC2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4575D184-B431-4219-A6C7-A667C28F4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topLeftCell="A16" zoomScaleNormal="100" zoomScaleSheetLayoutView="100" workbookViewId="0">
      <selection activeCell="A26" sqref="A26:F2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8"/>
      <c r="B1" s="6"/>
      <c r="I1" s="64" t="s">
        <v>33</v>
      </c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3"/>
    </row>
    <row r="2" spans="1:29" ht="37.5" customHeight="1" x14ac:dyDescent="0.2">
      <c r="A2" s="58"/>
      <c r="B2" s="6"/>
      <c r="I2" s="59" t="s">
        <v>32</v>
      </c>
      <c r="J2" s="60"/>
      <c r="K2" s="60"/>
      <c r="L2" s="60"/>
      <c r="M2" s="60"/>
      <c r="N2" s="60"/>
      <c r="O2" s="60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3" t="s">
        <v>1</v>
      </c>
      <c r="B4" s="63"/>
      <c r="C4" s="63"/>
      <c r="D4" s="63"/>
      <c r="E4" s="63"/>
      <c r="F4" s="66"/>
      <c r="G4" s="61" t="s">
        <v>64</v>
      </c>
      <c r="H4" s="61"/>
      <c r="I4" s="61"/>
      <c r="J4" s="61"/>
      <c r="K4" s="61"/>
      <c r="L4" s="61"/>
      <c r="M4" s="61"/>
      <c r="N4" s="62" t="s">
        <v>11</v>
      </c>
      <c r="O4" s="62"/>
      <c r="P4" s="62"/>
      <c r="Q4" s="62"/>
      <c r="R4" s="62"/>
      <c r="S4" s="62"/>
      <c r="T4" s="62"/>
      <c r="U4" s="43" t="s">
        <v>54</v>
      </c>
      <c r="V4" s="44"/>
      <c r="W4" s="44"/>
      <c r="X4" s="44"/>
      <c r="Y4" s="44"/>
      <c r="Z4" s="44"/>
      <c r="AA4" s="44"/>
      <c r="AB4" s="45"/>
      <c r="AC4" s="3"/>
    </row>
    <row r="5" spans="1:29" ht="24" customHeight="1" x14ac:dyDescent="0.2">
      <c r="A5" s="63" t="s">
        <v>5</v>
      </c>
      <c r="B5" s="63"/>
      <c r="C5" s="63"/>
      <c r="D5" s="63"/>
      <c r="E5" s="63"/>
      <c r="F5" s="66"/>
      <c r="G5" s="47" t="s">
        <v>38</v>
      </c>
      <c r="H5" s="47"/>
      <c r="I5" s="47"/>
      <c r="J5" s="47"/>
      <c r="K5" s="47"/>
      <c r="L5" s="47"/>
      <c r="M5" s="47"/>
      <c r="N5" s="63" t="s">
        <v>9</v>
      </c>
      <c r="O5" s="63"/>
      <c r="P5" s="63"/>
      <c r="Q5" s="63"/>
      <c r="R5" s="63"/>
      <c r="S5" s="63"/>
      <c r="T5" s="63"/>
      <c r="U5" s="50">
        <v>44496</v>
      </c>
      <c r="V5" s="51"/>
      <c r="W5" s="52"/>
      <c r="X5" s="24" t="s">
        <v>30</v>
      </c>
      <c r="Y5" s="69">
        <v>0.39583333333333331</v>
      </c>
      <c r="Z5" s="70"/>
      <c r="AA5" s="70"/>
      <c r="AB5" s="70"/>
    </row>
    <row r="6" spans="1:29" ht="24" customHeight="1" x14ac:dyDescent="0.2">
      <c r="A6" s="67" t="s">
        <v>7</v>
      </c>
      <c r="B6" s="67"/>
      <c r="C6" s="67"/>
      <c r="D6" s="67"/>
      <c r="E6" s="67"/>
      <c r="F6" s="68"/>
      <c r="G6" s="47" t="s">
        <v>41</v>
      </c>
      <c r="H6" s="47"/>
      <c r="I6" s="47"/>
      <c r="J6" s="47"/>
      <c r="K6" s="47"/>
      <c r="L6" s="47"/>
      <c r="M6" s="47"/>
      <c r="N6" s="71" t="s">
        <v>0</v>
      </c>
      <c r="O6" s="71"/>
      <c r="P6" s="71"/>
      <c r="Q6" s="71"/>
      <c r="R6" s="71"/>
      <c r="S6" s="71"/>
      <c r="T6" s="71"/>
      <c r="U6" s="50">
        <v>44496</v>
      </c>
      <c r="V6" s="51"/>
      <c r="W6" s="52"/>
      <c r="X6" s="24" t="s">
        <v>30</v>
      </c>
      <c r="Y6" s="69">
        <v>0.70486111111111116</v>
      </c>
      <c r="Z6" s="70"/>
      <c r="AA6" s="70"/>
      <c r="AB6" s="70"/>
    </row>
    <row r="7" spans="1:29" ht="24" customHeight="1" x14ac:dyDescent="0.2">
      <c r="A7" s="63" t="s">
        <v>10</v>
      </c>
      <c r="B7" s="63"/>
      <c r="C7" s="63"/>
      <c r="D7" s="63"/>
      <c r="E7" s="63"/>
      <c r="F7" s="66"/>
      <c r="G7" s="47" t="s">
        <v>42</v>
      </c>
      <c r="H7" s="47"/>
      <c r="I7" s="47"/>
      <c r="J7" s="47"/>
      <c r="K7" s="47"/>
      <c r="L7" s="47"/>
      <c r="M7" s="47"/>
      <c r="N7" s="48" t="s">
        <v>35</v>
      </c>
      <c r="O7" s="48"/>
      <c r="P7" s="48"/>
      <c r="Q7" s="48"/>
      <c r="R7" s="48"/>
      <c r="S7" s="48"/>
      <c r="T7" s="48"/>
      <c r="U7" s="74" t="s">
        <v>40</v>
      </c>
      <c r="V7" s="74"/>
      <c r="W7" s="74"/>
      <c r="X7" s="74"/>
      <c r="Y7" s="74"/>
      <c r="Z7" s="74"/>
      <c r="AA7" s="74"/>
      <c r="AB7" s="74"/>
    </row>
    <row r="8" spans="1:29" ht="24" customHeight="1" x14ac:dyDescent="0.2">
      <c r="A8" s="67" t="s">
        <v>2</v>
      </c>
      <c r="B8" s="67"/>
      <c r="C8" s="67"/>
      <c r="D8" s="67"/>
      <c r="E8" s="67"/>
      <c r="F8" s="68"/>
      <c r="G8" s="47">
        <v>20065667</v>
      </c>
      <c r="H8" s="47"/>
      <c r="I8" s="47"/>
      <c r="J8" s="47"/>
      <c r="K8" s="47"/>
      <c r="L8" s="47"/>
      <c r="M8" s="47"/>
      <c r="N8" s="48" t="s">
        <v>4</v>
      </c>
      <c r="O8" s="48"/>
      <c r="P8" s="48"/>
      <c r="Q8" s="48"/>
      <c r="R8" s="48"/>
      <c r="S8" s="48"/>
      <c r="T8" s="48"/>
      <c r="U8" s="49" t="s">
        <v>39</v>
      </c>
      <c r="V8" s="49"/>
      <c r="W8" s="49"/>
      <c r="X8" s="49"/>
      <c r="Y8" s="49"/>
      <c r="Z8" s="49"/>
      <c r="AA8" s="49"/>
      <c r="AB8" s="49"/>
    </row>
    <row r="9" spans="1:29" ht="24" customHeight="1" x14ac:dyDescent="0.2">
      <c r="A9" s="67" t="s">
        <v>6</v>
      </c>
      <c r="B9" s="67"/>
      <c r="C9" s="67"/>
      <c r="D9" s="67"/>
      <c r="E9" s="67"/>
      <c r="F9" s="68"/>
      <c r="G9" s="72" t="s">
        <v>43</v>
      </c>
      <c r="H9" s="72"/>
      <c r="I9" s="72"/>
      <c r="J9" s="72"/>
      <c r="K9" s="72"/>
      <c r="L9" s="72"/>
      <c r="M9" s="72"/>
      <c r="N9" s="48" t="s">
        <v>31</v>
      </c>
      <c r="O9" s="48"/>
      <c r="P9" s="48"/>
      <c r="Q9" s="48"/>
      <c r="R9" s="48"/>
      <c r="S9" s="48"/>
      <c r="T9" s="48"/>
      <c r="U9" s="73" t="s">
        <v>65</v>
      </c>
      <c r="V9" s="73"/>
      <c r="W9" s="73"/>
      <c r="X9" s="73"/>
      <c r="Y9" s="73"/>
      <c r="Z9" s="73"/>
      <c r="AA9" s="73"/>
      <c r="AB9" s="73"/>
    </row>
    <row r="10" spans="1:29" ht="6" customHeight="1" x14ac:dyDescent="0.2">
      <c r="U10" s="8"/>
      <c r="V10" s="8"/>
      <c r="W10" s="8"/>
    </row>
    <row r="11" spans="1:29" ht="23.25" customHeight="1" x14ac:dyDescent="0.2">
      <c r="A11" s="53" t="s">
        <v>8</v>
      </c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19"/>
      <c r="N11" s="48" t="s">
        <v>12</v>
      </c>
      <c r="O11" s="48"/>
      <c r="P11" s="48"/>
      <c r="Q11" s="48"/>
      <c r="R11" s="48"/>
      <c r="S11" s="47"/>
      <c r="T11" s="47"/>
      <c r="U11" s="48" t="s">
        <v>13</v>
      </c>
      <c r="V11" s="48"/>
      <c r="W11" s="48"/>
      <c r="X11" s="48"/>
      <c r="Y11" s="48"/>
      <c r="Z11" s="48"/>
      <c r="AA11" s="43"/>
      <c r="AB11" s="45"/>
    </row>
    <row r="12" spans="1:29" ht="6" customHeight="1" x14ac:dyDescent="0.2"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</row>
    <row r="13" spans="1:29" ht="36" customHeight="1" x14ac:dyDescent="0.2">
      <c r="A13" s="55" t="s">
        <v>36</v>
      </c>
      <c r="B13" s="56"/>
      <c r="C13" s="56"/>
      <c r="D13" s="56"/>
      <c r="E13" s="56"/>
      <c r="F13" s="25" t="s">
        <v>37</v>
      </c>
      <c r="G13" s="46" t="s">
        <v>14</v>
      </c>
      <c r="H13" s="46"/>
      <c r="I13" s="46"/>
      <c r="J13" s="57">
        <v>4.3953401824901821</v>
      </c>
      <c r="K13" s="57">
        <v>33.17347386232386</v>
      </c>
      <c r="L13" s="46" t="s">
        <v>15</v>
      </c>
      <c r="M13" s="46"/>
      <c r="N13" s="46"/>
      <c r="O13" s="43">
        <v>170</v>
      </c>
      <c r="P13" s="44"/>
      <c r="Q13" s="45"/>
      <c r="R13" s="46" t="s">
        <v>16</v>
      </c>
      <c r="S13" s="46"/>
      <c r="T13" s="46"/>
      <c r="U13" s="47">
        <v>5</v>
      </c>
      <c r="V13" s="47"/>
      <c r="W13" s="46" t="s">
        <v>17</v>
      </c>
      <c r="X13" s="46"/>
      <c r="Y13" s="46"/>
      <c r="Z13" s="46"/>
      <c r="AA13" s="47">
        <v>1</v>
      </c>
      <c r="AB13" s="47"/>
    </row>
    <row r="14" spans="1:29" ht="27" customHeight="1" x14ac:dyDescent="0.2">
      <c r="A14" s="56" t="s">
        <v>3</v>
      </c>
      <c r="B14" s="56"/>
      <c r="C14" s="56"/>
      <c r="D14" s="56"/>
      <c r="E14" s="56"/>
      <c r="F14" s="25"/>
      <c r="G14" s="46" t="s">
        <v>18</v>
      </c>
      <c r="H14" s="46"/>
      <c r="I14" s="46"/>
      <c r="J14" s="46"/>
      <c r="K14" s="46"/>
      <c r="L14" s="46"/>
      <c r="M14" s="75"/>
      <c r="N14" s="76"/>
      <c r="O14" s="76"/>
      <c r="P14" s="76"/>
      <c r="Q14" s="77"/>
      <c r="R14" s="46" t="s">
        <v>19</v>
      </c>
      <c r="S14" s="46"/>
      <c r="T14" s="46"/>
      <c r="U14" s="46"/>
      <c r="V14" s="46"/>
      <c r="W14" s="87" t="s">
        <v>55</v>
      </c>
      <c r="X14" s="87"/>
      <c r="Y14" s="87"/>
      <c r="Z14" s="87"/>
      <c r="AA14" s="87"/>
      <c r="AB14" s="87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78" t="s">
        <v>21</v>
      </c>
      <c r="H17" s="78"/>
      <c r="I17" s="78"/>
      <c r="J17" s="78" t="s">
        <v>23</v>
      </c>
      <c r="K17" s="78"/>
      <c r="L17" s="78"/>
      <c r="M17" s="78" t="s">
        <v>24</v>
      </c>
      <c r="N17" s="78"/>
      <c r="O17" s="78"/>
      <c r="P17" s="78" t="s">
        <v>22</v>
      </c>
      <c r="Q17" s="78"/>
      <c r="R17" s="78"/>
      <c r="S17" s="78"/>
      <c r="T17" s="78" t="s">
        <v>25</v>
      </c>
      <c r="U17" s="78"/>
      <c r="V17" s="78"/>
      <c r="W17" s="78" t="s">
        <v>26</v>
      </c>
      <c r="X17" s="78"/>
      <c r="Y17" s="78"/>
      <c r="Z17" s="78" t="s">
        <v>27</v>
      </c>
      <c r="AA17" s="78"/>
      <c r="AB17" s="78"/>
    </row>
    <row r="18" spans="1:28" ht="15" customHeight="1" x14ac:dyDescent="0.2">
      <c r="A18" s="86" t="s">
        <v>56</v>
      </c>
      <c r="B18" s="86"/>
      <c r="C18" s="86"/>
      <c r="D18" s="86"/>
      <c r="E18" s="86"/>
      <c r="F18" s="86"/>
      <c r="G18" s="16">
        <v>-5</v>
      </c>
      <c r="H18" s="16">
        <v>47</v>
      </c>
      <c r="I18" s="16"/>
      <c r="J18" s="79"/>
      <c r="K18" s="80"/>
      <c r="L18" s="81"/>
      <c r="M18" s="16"/>
      <c r="N18" s="16">
        <v>0</v>
      </c>
      <c r="O18" s="16"/>
      <c r="P18" s="82"/>
      <c r="Q18" s="82"/>
      <c r="R18" s="82"/>
      <c r="S18" s="82"/>
      <c r="T18" s="17"/>
      <c r="U18" s="16">
        <v>0</v>
      </c>
      <c r="V18" s="17"/>
      <c r="W18" s="82"/>
      <c r="X18" s="82"/>
      <c r="Y18" s="82"/>
      <c r="Z18" s="17"/>
      <c r="AA18" s="16">
        <v>0</v>
      </c>
      <c r="AB18" s="17"/>
    </row>
    <row r="19" spans="1:28" ht="15" customHeight="1" x14ac:dyDescent="0.2">
      <c r="A19" s="86" t="s">
        <v>62</v>
      </c>
      <c r="B19" s="86"/>
      <c r="C19" s="86"/>
      <c r="D19" s="86"/>
      <c r="E19" s="86"/>
      <c r="F19" s="86"/>
      <c r="G19" s="16"/>
      <c r="H19" s="16">
        <v>12</v>
      </c>
      <c r="I19" s="16"/>
      <c r="J19" s="79"/>
      <c r="K19" s="80"/>
      <c r="L19" s="81"/>
      <c r="M19" s="16"/>
      <c r="N19" s="16">
        <v>0</v>
      </c>
      <c r="O19" s="16"/>
      <c r="P19" s="82"/>
      <c r="Q19" s="82"/>
      <c r="R19" s="82"/>
      <c r="S19" s="82"/>
      <c r="T19" s="17"/>
      <c r="U19" s="16">
        <v>0</v>
      </c>
      <c r="V19" s="17"/>
      <c r="W19" s="82"/>
      <c r="X19" s="82"/>
      <c r="Y19" s="82"/>
      <c r="Z19" s="17"/>
      <c r="AA19" s="16">
        <v>0</v>
      </c>
      <c r="AB19" s="17"/>
    </row>
    <row r="20" spans="1:28" ht="15" customHeight="1" x14ac:dyDescent="0.2">
      <c r="A20" s="40" t="s">
        <v>57</v>
      </c>
      <c r="B20" s="41"/>
      <c r="C20" s="41"/>
      <c r="D20" s="41"/>
      <c r="E20" s="41"/>
      <c r="F20" s="42"/>
      <c r="G20" s="16"/>
      <c r="H20" s="32">
        <v>147</v>
      </c>
      <c r="I20" s="16"/>
      <c r="J20" s="79"/>
      <c r="K20" s="80"/>
      <c r="L20" s="81"/>
      <c r="M20" s="16"/>
      <c r="N20" s="16">
        <v>0</v>
      </c>
      <c r="O20" s="16"/>
      <c r="P20" s="82"/>
      <c r="Q20" s="82"/>
      <c r="R20" s="82"/>
      <c r="S20" s="82"/>
      <c r="T20" s="17"/>
      <c r="U20" s="16">
        <v>0</v>
      </c>
      <c r="V20" s="17"/>
      <c r="W20" s="82"/>
      <c r="X20" s="82"/>
      <c r="Y20" s="82"/>
      <c r="Z20" s="18"/>
      <c r="AA20" s="16">
        <v>0</v>
      </c>
      <c r="AB20" s="17"/>
    </row>
    <row r="21" spans="1:28" ht="15" customHeight="1" x14ac:dyDescent="0.2">
      <c r="A21" s="40" t="s">
        <v>58</v>
      </c>
      <c r="B21" s="41"/>
      <c r="C21" s="41"/>
      <c r="D21" s="41"/>
      <c r="E21" s="41"/>
      <c r="F21" s="42"/>
      <c r="G21" s="16"/>
      <c r="H21" s="16">
        <v>91</v>
      </c>
      <c r="I21" s="16"/>
      <c r="J21" s="79"/>
      <c r="K21" s="80"/>
      <c r="L21" s="81"/>
      <c r="M21" s="16"/>
      <c r="N21" s="16">
        <v>0</v>
      </c>
      <c r="O21" s="16"/>
      <c r="P21" s="82"/>
      <c r="Q21" s="82"/>
      <c r="R21" s="82"/>
      <c r="S21" s="82"/>
      <c r="T21" s="17"/>
      <c r="U21" s="16">
        <v>0</v>
      </c>
      <c r="V21" s="17"/>
      <c r="W21" s="88"/>
      <c r="X21" s="88"/>
      <c r="Y21" s="88"/>
      <c r="Z21" s="17"/>
      <c r="AA21" s="16">
        <v>0</v>
      </c>
      <c r="AB21" s="17"/>
    </row>
    <row r="22" spans="1:28" ht="15" customHeight="1" x14ac:dyDescent="0.2">
      <c r="A22" s="86" t="s">
        <v>63</v>
      </c>
      <c r="B22" s="86"/>
      <c r="C22" s="86"/>
      <c r="D22" s="86"/>
      <c r="E22" s="86"/>
      <c r="F22" s="86"/>
      <c r="G22" s="16"/>
      <c r="H22" s="16">
        <v>1</v>
      </c>
      <c r="I22" s="16"/>
      <c r="J22" s="79"/>
      <c r="K22" s="80"/>
      <c r="L22" s="81"/>
      <c r="M22" s="16"/>
      <c r="N22" s="16">
        <v>0</v>
      </c>
      <c r="O22" s="16"/>
      <c r="P22" s="82"/>
      <c r="Q22" s="82"/>
      <c r="R22" s="82"/>
      <c r="S22" s="82"/>
      <c r="T22" s="17"/>
      <c r="U22" s="32">
        <v>0</v>
      </c>
      <c r="V22" s="17"/>
      <c r="W22" s="88"/>
      <c r="X22" s="88"/>
      <c r="Y22" s="88"/>
      <c r="Z22" s="17"/>
      <c r="AA22" s="16">
        <v>0</v>
      </c>
      <c r="AB22" s="17"/>
    </row>
    <row r="23" spans="1:28" ht="15" customHeight="1" x14ac:dyDescent="0.2">
      <c r="A23" s="37" t="s">
        <v>61</v>
      </c>
      <c r="B23" s="38"/>
      <c r="C23" s="38"/>
      <c r="D23" s="38"/>
      <c r="E23" s="38"/>
      <c r="F23" s="39"/>
      <c r="G23" s="16"/>
      <c r="H23" s="16">
        <v>7</v>
      </c>
      <c r="I23" s="16"/>
      <c r="J23" s="79"/>
      <c r="K23" s="80"/>
      <c r="L23" s="81"/>
      <c r="M23" s="16"/>
      <c r="N23" s="16">
        <v>0</v>
      </c>
      <c r="O23" s="16"/>
      <c r="P23" s="89"/>
      <c r="Q23" s="89"/>
      <c r="R23" s="89"/>
      <c r="S23" s="89"/>
      <c r="T23" s="17"/>
      <c r="U23" s="16">
        <v>0</v>
      </c>
      <c r="V23" s="17"/>
      <c r="W23" s="88"/>
      <c r="X23" s="88"/>
      <c r="Y23" s="88"/>
      <c r="Z23" s="17"/>
      <c r="AA23" s="16">
        <v>0</v>
      </c>
      <c r="AB23" s="17"/>
    </row>
    <row r="24" spans="1:28" ht="15" customHeight="1" x14ac:dyDescent="0.2">
      <c r="A24" s="37" t="s">
        <v>59</v>
      </c>
      <c r="B24" s="38"/>
      <c r="C24" s="38"/>
      <c r="D24" s="38"/>
      <c r="E24" s="38"/>
      <c r="F24" s="39"/>
      <c r="G24" s="16"/>
      <c r="H24" s="16">
        <v>14</v>
      </c>
      <c r="I24" s="16"/>
      <c r="J24" s="79"/>
      <c r="K24" s="80"/>
      <c r="L24" s="81"/>
      <c r="M24" s="16"/>
      <c r="N24" s="16">
        <v>0</v>
      </c>
      <c r="O24" s="16"/>
      <c r="P24" s="89"/>
      <c r="Q24" s="89"/>
      <c r="R24" s="89"/>
      <c r="S24" s="89"/>
      <c r="T24" s="17"/>
      <c r="U24" s="16">
        <v>0</v>
      </c>
      <c r="V24" s="17"/>
      <c r="W24" s="88"/>
      <c r="X24" s="88"/>
      <c r="Y24" s="88"/>
      <c r="Z24" s="17"/>
      <c r="AA24" s="16">
        <v>0</v>
      </c>
      <c r="AB24" s="17"/>
    </row>
    <row r="25" spans="1:28" ht="15" customHeight="1" x14ac:dyDescent="0.2">
      <c r="A25" s="40" t="s">
        <v>60</v>
      </c>
      <c r="B25" s="41"/>
      <c r="C25" s="41"/>
      <c r="D25" s="41"/>
      <c r="E25" s="41"/>
      <c r="F25" s="42"/>
      <c r="G25" s="16"/>
      <c r="H25" s="16">
        <v>246</v>
      </c>
      <c r="I25" s="16"/>
      <c r="J25" s="90"/>
      <c r="K25" s="91"/>
      <c r="L25" s="92"/>
      <c r="M25" s="16"/>
      <c r="N25" s="16">
        <v>0</v>
      </c>
      <c r="O25" s="16"/>
      <c r="P25" s="89"/>
      <c r="Q25" s="89"/>
      <c r="R25" s="89"/>
      <c r="S25" s="89"/>
      <c r="T25" s="17"/>
      <c r="U25" s="16">
        <v>0</v>
      </c>
      <c r="V25" s="17"/>
      <c r="W25" s="88"/>
      <c r="X25" s="88"/>
      <c r="Y25" s="88"/>
      <c r="Z25" s="17"/>
      <c r="AA25" s="16">
        <v>0</v>
      </c>
      <c r="AB25" s="17"/>
    </row>
    <row r="26" spans="1:28" ht="15" customHeight="1" x14ac:dyDescent="0.2">
      <c r="A26" s="40"/>
      <c r="B26" s="41"/>
      <c r="C26" s="41"/>
      <c r="D26" s="41"/>
      <c r="E26" s="41"/>
      <c r="F26" s="42"/>
      <c r="G26" s="16"/>
      <c r="H26" s="16"/>
      <c r="I26" s="16"/>
      <c r="J26" s="90"/>
      <c r="K26" s="91"/>
      <c r="L26" s="92"/>
      <c r="M26" s="16"/>
      <c r="N26" s="16">
        <v>0</v>
      </c>
      <c r="O26" s="16"/>
      <c r="P26" s="89"/>
      <c r="Q26" s="89"/>
      <c r="R26" s="89"/>
      <c r="S26" s="89"/>
      <c r="T26" s="17"/>
      <c r="U26" s="16">
        <v>0</v>
      </c>
      <c r="V26" s="17"/>
      <c r="W26" s="88"/>
      <c r="X26" s="88"/>
      <c r="Y26" s="88"/>
      <c r="Z26" s="17"/>
      <c r="AA26" s="16">
        <v>0</v>
      </c>
      <c r="AB26" s="17"/>
    </row>
    <row r="27" spans="1:28" ht="15" customHeight="1" x14ac:dyDescent="0.2">
      <c r="A27" s="40"/>
      <c r="B27" s="41"/>
      <c r="C27" s="41"/>
      <c r="D27" s="41"/>
      <c r="E27" s="41"/>
      <c r="F27" s="42"/>
      <c r="G27" s="16"/>
      <c r="H27" s="16"/>
      <c r="I27" s="16"/>
      <c r="J27" s="79"/>
      <c r="K27" s="80"/>
      <c r="L27" s="81"/>
      <c r="M27" s="16"/>
      <c r="N27" s="16">
        <v>0</v>
      </c>
      <c r="O27" s="16"/>
      <c r="P27" s="89"/>
      <c r="Q27" s="89"/>
      <c r="R27" s="89"/>
      <c r="S27" s="89"/>
      <c r="T27" s="17"/>
      <c r="U27" s="16">
        <v>0</v>
      </c>
      <c r="V27" s="17"/>
      <c r="W27" s="88"/>
      <c r="X27" s="88"/>
      <c r="Y27" s="88"/>
      <c r="Z27" s="17"/>
      <c r="AA27" s="16">
        <v>0</v>
      </c>
      <c r="AB27" s="17"/>
    </row>
    <row r="28" spans="1:28" ht="15" customHeight="1" x14ac:dyDescent="0.2">
      <c r="A28" s="40"/>
      <c r="B28" s="41"/>
      <c r="C28" s="41"/>
      <c r="D28" s="41"/>
      <c r="E28" s="41"/>
      <c r="F28" s="42"/>
      <c r="G28" s="16"/>
      <c r="H28" s="16"/>
      <c r="I28" s="16"/>
      <c r="J28" s="79"/>
      <c r="K28" s="80"/>
      <c r="L28" s="81"/>
      <c r="M28" s="16"/>
      <c r="N28" s="16">
        <v>0</v>
      </c>
      <c r="O28" s="16"/>
      <c r="P28" s="89"/>
      <c r="Q28" s="89"/>
      <c r="R28" s="89"/>
      <c r="S28" s="89"/>
      <c r="T28" s="17"/>
      <c r="U28" s="16">
        <v>0</v>
      </c>
      <c r="V28" s="17"/>
      <c r="W28" s="88"/>
      <c r="X28" s="88"/>
      <c r="Y28" s="88"/>
      <c r="Z28" s="17"/>
      <c r="AA28" s="16">
        <v>0</v>
      </c>
      <c r="AB28" s="17"/>
    </row>
    <row r="29" spans="1:28" ht="15" customHeight="1" x14ac:dyDescent="0.2">
      <c r="A29" s="40"/>
      <c r="B29" s="41"/>
      <c r="C29" s="41"/>
      <c r="D29" s="41"/>
      <c r="E29" s="41"/>
      <c r="F29" s="42"/>
      <c r="G29" s="16"/>
      <c r="H29" s="16"/>
      <c r="I29" s="16"/>
      <c r="J29" s="79"/>
      <c r="K29" s="80"/>
      <c r="L29" s="81"/>
      <c r="M29" s="16"/>
      <c r="N29" s="16">
        <v>0</v>
      </c>
      <c r="O29" s="16"/>
      <c r="P29" s="89"/>
      <c r="Q29" s="89"/>
      <c r="R29" s="89"/>
      <c r="S29" s="89"/>
      <c r="T29" s="17"/>
      <c r="U29" s="16">
        <v>0</v>
      </c>
      <c r="V29" s="17"/>
      <c r="W29" s="88"/>
      <c r="X29" s="88"/>
      <c r="Y29" s="88"/>
      <c r="Z29" s="17"/>
      <c r="AA29" s="16">
        <v>0</v>
      </c>
      <c r="AB29" s="17"/>
    </row>
    <row r="30" spans="1:28" ht="15" customHeight="1" x14ac:dyDescent="0.2">
      <c r="A30" s="40"/>
      <c r="B30" s="41"/>
      <c r="C30" s="41"/>
      <c r="D30" s="41"/>
      <c r="E30" s="41"/>
      <c r="F30" s="42"/>
      <c r="G30" s="16"/>
      <c r="H30" s="16"/>
      <c r="I30" s="16"/>
      <c r="J30" s="79"/>
      <c r="K30" s="80"/>
      <c r="L30" s="81"/>
      <c r="M30" s="16"/>
      <c r="N30" s="16">
        <v>0</v>
      </c>
      <c r="O30" s="16"/>
      <c r="P30" s="82"/>
      <c r="Q30" s="82"/>
      <c r="R30" s="82"/>
      <c r="S30" s="82"/>
      <c r="T30" s="17"/>
      <c r="U30" s="16">
        <v>0</v>
      </c>
      <c r="V30" s="17"/>
      <c r="W30" s="88"/>
      <c r="X30" s="88"/>
      <c r="Y30" s="88"/>
      <c r="Z30" s="17"/>
      <c r="AA30" s="16">
        <v>0</v>
      </c>
      <c r="AB30" s="17"/>
    </row>
    <row r="31" spans="1:28" ht="15" customHeight="1" x14ac:dyDescent="0.2">
      <c r="A31" s="86"/>
      <c r="B31" s="86"/>
      <c r="C31" s="86"/>
      <c r="D31" s="86"/>
      <c r="E31" s="86"/>
      <c r="F31" s="86"/>
      <c r="G31" s="16"/>
      <c r="H31" s="16"/>
      <c r="I31" s="16"/>
      <c r="J31" s="79"/>
      <c r="K31" s="80"/>
      <c r="L31" s="81"/>
      <c r="M31" s="16"/>
      <c r="N31" s="16">
        <v>0</v>
      </c>
      <c r="O31" s="16"/>
      <c r="P31" s="82"/>
      <c r="Q31" s="82"/>
      <c r="R31" s="82"/>
      <c r="S31" s="82"/>
      <c r="T31" s="17"/>
      <c r="U31" s="16">
        <v>0</v>
      </c>
      <c r="V31" s="17"/>
      <c r="W31" s="88"/>
      <c r="X31" s="88"/>
      <c r="Y31" s="88"/>
      <c r="Z31" s="17"/>
      <c r="AA31" s="16">
        <v>0</v>
      </c>
      <c r="AB31" s="17"/>
    </row>
    <row r="32" spans="1:28" ht="15" customHeight="1" x14ac:dyDescent="0.2">
      <c r="A32" s="86"/>
      <c r="B32" s="86"/>
      <c r="C32" s="86"/>
      <c r="D32" s="86"/>
      <c r="E32" s="86"/>
      <c r="F32" s="86"/>
      <c r="G32" s="16"/>
      <c r="H32" s="16"/>
      <c r="I32" s="16"/>
      <c r="J32" s="79"/>
      <c r="K32" s="80"/>
      <c r="L32" s="81"/>
      <c r="M32" s="16"/>
      <c r="N32" s="16">
        <v>0</v>
      </c>
      <c r="O32" s="16"/>
      <c r="P32" s="82"/>
      <c r="Q32" s="82"/>
      <c r="R32" s="82"/>
      <c r="S32" s="82"/>
      <c r="T32" s="17"/>
      <c r="U32" s="16">
        <v>0</v>
      </c>
      <c r="V32" s="17"/>
      <c r="W32" s="88"/>
      <c r="X32" s="88"/>
      <c r="Y32" s="88"/>
      <c r="Z32" s="17"/>
      <c r="AA32" s="16">
        <v>0</v>
      </c>
      <c r="AB32" s="17"/>
    </row>
    <row r="33" spans="1:28" ht="15" customHeight="1" x14ac:dyDescent="0.2">
      <c r="A33" s="40"/>
      <c r="B33" s="41"/>
      <c r="C33" s="41"/>
      <c r="D33" s="41"/>
      <c r="E33" s="41"/>
      <c r="F33" s="42"/>
      <c r="G33" s="16"/>
      <c r="H33" s="16"/>
      <c r="I33" s="16"/>
      <c r="J33" s="79"/>
      <c r="K33" s="80"/>
      <c r="L33" s="81"/>
      <c r="M33" s="16"/>
      <c r="N33" s="16">
        <v>0</v>
      </c>
      <c r="O33" s="16"/>
      <c r="P33" s="82"/>
      <c r="Q33" s="82"/>
      <c r="R33" s="82"/>
      <c r="S33" s="82"/>
      <c r="T33" s="17"/>
      <c r="U33" s="16">
        <v>0</v>
      </c>
      <c r="V33" s="17"/>
      <c r="W33" s="88"/>
      <c r="X33" s="88"/>
      <c r="Y33" s="88"/>
      <c r="Z33" s="17"/>
      <c r="AA33" s="16">
        <v>0</v>
      </c>
      <c r="AB33" s="17"/>
    </row>
    <row r="34" spans="1:28" ht="15" customHeight="1" x14ac:dyDescent="0.2">
      <c r="A34" s="40"/>
      <c r="B34" s="41"/>
      <c r="C34" s="41"/>
      <c r="D34" s="41"/>
      <c r="E34" s="41"/>
      <c r="F34" s="42"/>
      <c r="G34" s="16"/>
      <c r="H34" s="16">
        <v>0</v>
      </c>
      <c r="I34" s="16"/>
      <c r="J34" s="79"/>
      <c r="K34" s="80"/>
      <c r="L34" s="81"/>
      <c r="M34" s="16"/>
      <c r="N34" s="16">
        <v>0</v>
      </c>
      <c r="O34" s="16"/>
      <c r="P34" s="82"/>
      <c r="Q34" s="82"/>
      <c r="R34" s="82"/>
      <c r="S34" s="82"/>
      <c r="T34" s="17"/>
      <c r="U34" s="16">
        <v>0</v>
      </c>
      <c r="V34" s="17"/>
      <c r="W34" s="88"/>
      <c r="X34" s="88"/>
      <c r="Y34" s="88"/>
      <c r="Z34" s="17"/>
      <c r="AA34" s="16">
        <v>0</v>
      </c>
      <c r="AB34" s="17"/>
    </row>
    <row r="35" spans="1:28" ht="15" customHeight="1" x14ac:dyDescent="0.2">
      <c r="A35" s="40"/>
      <c r="B35" s="41"/>
      <c r="C35" s="41"/>
      <c r="D35" s="41"/>
      <c r="E35" s="41"/>
      <c r="F35" s="42"/>
      <c r="G35" s="16"/>
      <c r="H35" s="16">
        <v>0</v>
      </c>
      <c r="I35" s="16"/>
      <c r="J35" s="79"/>
      <c r="K35" s="80"/>
      <c r="L35" s="81"/>
      <c r="M35" s="16"/>
      <c r="N35" s="16">
        <v>0</v>
      </c>
      <c r="O35" s="16"/>
      <c r="P35" s="82"/>
      <c r="Q35" s="82"/>
      <c r="R35" s="82"/>
      <c r="S35" s="82"/>
      <c r="T35" s="17"/>
      <c r="U35" s="16">
        <v>0</v>
      </c>
      <c r="V35" s="17"/>
      <c r="W35" s="88"/>
      <c r="X35" s="88"/>
      <c r="Y35" s="88"/>
      <c r="Z35" s="17"/>
      <c r="AA35" s="16">
        <v>0</v>
      </c>
      <c r="AB35" s="17"/>
    </row>
    <row r="36" spans="1:28" ht="15" customHeight="1" x14ac:dyDescent="0.2">
      <c r="A36" s="102"/>
      <c r="B36" s="103"/>
      <c r="C36" s="103"/>
      <c r="D36" s="103"/>
      <c r="E36" s="103"/>
      <c r="F36" s="104"/>
      <c r="G36" s="16"/>
      <c r="H36" s="16">
        <v>0</v>
      </c>
      <c r="I36" s="16"/>
      <c r="J36" s="79"/>
      <c r="K36" s="80"/>
      <c r="L36" s="81"/>
      <c r="M36" s="16"/>
      <c r="N36" s="16">
        <v>0</v>
      </c>
      <c r="O36" s="16"/>
      <c r="P36" s="82"/>
      <c r="Q36" s="82"/>
      <c r="R36" s="82"/>
      <c r="S36" s="82"/>
      <c r="T36" s="17"/>
      <c r="U36" s="16">
        <v>0</v>
      </c>
      <c r="V36" s="17"/>
      <c r="W36" s="88"/>
      <c r="X36" s="88"/>
      <c r="Y36" s="88"/>
      <c r="Z36" s="17"/>
      <c r="AA36" s="16">
        <v>0</v>
      </c>
      <c r="AB36" s="17"/>
    </row>
    <row r="37" spans="1:28" ht="15" customHeight="1" x14ac:dyDescent="0.2">
      <c r="A37" s="40"/>
      <c r="B37" s="41"/>
      <c r="C37" s="41"/>
      <c r="D37" s="41"/>
      <c r="E37" s="41"/>
      <c r="F37" s="42"/>
      <c r="G37" s="16"/>
      <c r="H37" s="16">
        <v>0</v>
      </c>
      <c r="I37" s="16"/>
      <c r="J37" s="79"/>
      <c r="K37" s="80"/>
      <c r="L37" s="81"/>
      <c r="M37" s="16"/>
      <c r="N37" s="16">
        <v>0</v>
      </c>
      <c r="O37" s="16"/>
      <c r="P37" s="82"/>
      <c r="Q37" s="82"/>
      <c r="R37" s="82"/>
      <c r="S37" s="82"/>
      <c r="T37" s="17"/>
      <c r="U37" s="16">
        <v>0</v>
      </c>
      <c r="V37" s="17"/>
      <c r="W37" s="101"/>
      <c r="X37" s="88"/>
      <c r="Y37" s="8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55" t="s">
        <v>34</v>
      </c>
      <c r="X39" s="55"/>
      <c r="Y39" s="55"/>
      <c r="Z39" s="55"/>
      <c r="AA39" s="55"/>
      <c r="AB39" s="55"/>
    </row>
    <row r="40" spans="1:28" ht="22.5" customHeight="1" x14ac:dyDescent="0.2">
      <c r="A40" s="106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8"/>
      <c r="W40" s="93"/>
      <c r="X40" s="94"/>
      <c r="Y40" s="94"/>
      <c r="Z40" s="94"/>
      <c r="AA40" s="94"/>
      <c r="AB40" s="95"/>
    </row>
    <row r="41" spans="1:28" ht="26.25" customHeight="1" x14ac:dyDescent="0.2">
      <c r="A41" s="109"/>
      <c r="B41" s="110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1"/>
      <c r="V41" s="97"/>
      <c r="W41" s="96" t="s">
        <v>29</v>
      </c>
      <c r="X41" s="55"/>
      <c r="Y41" s="55"/>
      <c r="Z41" s="55"/>
      <c r="AA41" s="55"/>
      <c r="AB41" s="55"/>
    </row>
    <row r="42" spans="1:28" ht="22.5" customHeight="1" x14ac:dyDescent="0.2">
      <c r="A42" s="109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1"/>
      <c r="V42" s="97"/>
      <c r="W42" s="98"/>
      <c r="X42" s="99"/>
      <c r="Y42" s="99"/>
      <c r="Z42" s="99"/>
      <c r="AA42" s="99"/>
      <c r="AB42" s="100"/>
    </row>
  </sheetData>
  <sheetProtection formatCells="0" insertRows="0" deleteRows="0" selectLockedCells="1" sort="0"/>
  <mergeCells count="142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5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6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07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08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09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0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11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12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13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14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15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16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17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18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19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20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21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22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23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24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25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26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7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8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29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30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31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32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33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34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35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36" name="Button 276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37" name="Button 27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38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39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40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41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2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3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44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5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46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4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4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49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50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51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52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53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54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55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56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57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58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9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60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61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5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6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7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8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69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3" name="Button 291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4" name="Button 29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5" name="Button 29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86" name="Button 29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87" name="Button 295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88" name="Button 296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89" name="Button 29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290" name="Button 29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291" name="Button 29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292" name="Button 30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293" name="Button 30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294" name="Button 30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295" name="Button 30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296" name="Button 30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297" name="Button 305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298" name="Button 306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299" name="Button 30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00" name="Button 30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01" name="Button 309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02" name="Button 310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03" name="Button 311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04" name="Button 31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05" name="Button 31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06" name="Button 314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07" name="Button 315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08" name="Button 316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09" name="Button 31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10" name="Button 31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11" name="Button 31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12" name="Button 32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H13" sqref="H13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SP-21-0237</v>
      </c>
      <c r="B2" s="29">
        <f>'Densidad de Grupos'!J13</f>
        <v>4.3953401824901821</v>
      </c>
      <c r="C2" s="29">
        <f>'Densidad de Grupos'!O13</f>
        <v>170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47</v>
      </c>
      <c r="I2" s="28">
        <f>((H2*C2)/(F2*B2))*2</f>
        <v>727.13370690441184</v>
      </c>
      <c r="J2" s="28">
        <f>I2*1000</f>
        <v>727133.70690441178</v>
      </c>
    </row>
    <row r="3" spans="1:10" x14ac:dyDescent="0.2">
      <c r="A3" s="27" t="str">
        <f>$A$2</f>
        <v>SP-21-0237</v>
      </c>
      <c r="B3" s="29">
        <f>$B$2</f>
        <v>4.3953401824901821</v>
      </c>
      <c r="C3" s="29">
        <f>$C$2</f>
        <v>170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Ostracoda</v>
      </c>
      <c r="H3" s="26">
        <f>'Densidad de Grupos'!H19</f>
        <v>12</v>
      </c>
      <c r="I3" s="28">
        <f t="shared" ref="I3:I65" si="0">((H3*C3)/(F3*B3))*2</f>
        <v>185.65115920963709</v>
      </c>
      <c r="J3" s="28">
        <f t="shared" ref="J3:J65" si="1">I3*1000</f>
        <v>185651.15920963709</v>
      </c>
    </row>
    <row r="4" spans="1:10" x14ac:dyDescent="0.2">
      <c r="A4" s="27" t="str">
        <f t="shared" ref="A4:A65" si="2">$A$2</f>
        <v>SP-21-0237</v>
      </c>
      <c r="B4" s="29">
        <f t="shared" ref="B4:B65" si="3">$B$2</f>
        <v>4.3953401824901821</v>
      </c>
      <c r="C4" s="29">
        <f t="shared" ref="C4:C65" si="4">$C$2</f>
        <v>170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147</v>
      </c>
      <c r="I4" s="31">
        <f t="shared" si="0"/>
        <v>2274.2267003180541</v>
      </c>
      <c r="J4" s="28">
        <f t="shared" si="1"/>
        <v>2274226.7003180543</v>
      </c>
    </row>
    <row r="5" spans="1:10" x14ac:dyDescent="0.2">
      <c r="A5" s="27" t="str">
        <f t="shared" si="2"/>
        <v>SP-21-0237</v>
      </c>
      <c r="B5" s="29">
        <f t="shared" si="3"/>
        <v>4.3953401824901821</v>
      </c>
      <c r="C5" s="29">
        <f t="shared" si="4"/>
        <v>170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91</v>
      </c>
      <c r="I5" s="28">
        <f t="shared" si="0"/>
        <v>1407.8546240064145</v>
      </c>
      <c r="J5" s="28">
        <f t="shared" si="1"/>
        <v>1407854.6240064146</v>
      </c>
    </row>
    <row r="6" spans="1:10" x14ac:dyDescent="0.2">
      <c r="A6" s="27" t="str">
        <f t="shared" si="2"/>
        <v>SP-21-0237</v>
      </c>
      <c r="B6" s="29">
        <f t="shared" si="3"/>
        <v>4.3953401824901821</v>
      </c>
      <c r="C6" s="29">
        <f t="shared" si="4"/>
        <v>170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Mollusca (Bivalvia)</v>
      </c>
      <c r="H6" s="26">
        <f>'Densidad de Grupos'!H22</f>
        <v>1</v>
      </c>
      <c r="I6" s="31">
        <f t="shared" si="0"/>
        <v>15.470929934136423</v>
      </c>
      <c r="J6" s="28">
        <f t="shared" si="1"/>
        <v>15470.929934136424</v>
      </c>
    </row>
    <row r="7" spans="1:10" x14ac:dyDescent="0.2">
      <c r="A7" s="27" t="str">
        <f t="shared" si="2"/>
        <v>SP-21-0237</v>
      </c>
      <c r="B7" s="29">
        <f t="shared" si="3"/>
        <v>4.3953401824901821</v>
      </c>
      <c r="C7" s="29">
        <f t="shared" si="4"/>
        <v>170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Chaetognatha</v>
      </c>
      <c r="H7" s="26">
        <f>'Densidad de Grupos'!H23</f>
        <v>7</v>
      </c>
      <c r="I7" s="31">
        <f t="shared" si="0"/>
        <v>108.29650953895496</v>
      </c>
      <c r="J7" s="28">
        <f t="shared" si="1"/>
        <v>108296.50953895497</v>
      </c>
    </row>
    <row r="8" spans="1:10" x14ac:dyDescent="0.2">
      <c r="A8" s="27" t="str">
        <f t="shared" si="2"/>
        <v>SP-21-0237</v>
      </c>
      <c r="B8" s="29">
        <f t="shared" si="3"/>
        <v>4.3953401824901821</v>
      </c>
      <c r="C8" s="29">
        <f t="shared" si="4"/>
        <v>170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Pez (Huevo)</v>
      </c>
      <c r="H8" s="26">
        <f>'Densidad de Grupos'!H24</f>
        <v>14</v>
      </c>
      <c r="I8" s="31">
        <f t="shared" si="0"/>
        <v>216.59301907790993</v>
      </c>
      <c r="J8" s="28">
        <f t="shared" si="1"/>
        <v>216593.01907790994</v>
      </c>
    </row>
    <row r="9" spans="1:10" x14ac:dyDescent="0.2">
      <c r="A9" s="27" t="str">
        <f t="shared" si="2"/>
        <v>SP-21-0237</v>
      </c>
      <c r="B9" s="29">
        <f t="shared" si="3"/>
        <v>4.3953401824901821</v>
      </c>
      <c r="C9" s="29">
        <f t="shared" si="4"/>
        <v>170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Copepoda (Cyclopoida)</v>
      </c>
      <c r="H9" s="26">
        <f>'Densidad de Grupos'!H25</f>
        <v>246</v>
      </c>
      <c r="I9" s="31">
        <f t="shared" si="0"/>
        <v>3805.84876379756</v>
      </c>
      <c r="J9" s="28">
        <f t="shared" si="1"/>
        <v>3805848.7637975598</v>
      </c>
    </row>
    <row r="10" spans="1:10" x14ac:dyDescent="0.2">
      <c r="A10" s="27" t="str">
        <f t="shared" si="2"/>
        <v>SP-21-0237</v>
      </c>
      <c r="B10" s="29">
        <f t="shared" si="3"/>
        <v>4.3953401824901821</v>
      </c>
      <c r="C10" s="29">
        <f t="shared" si="4"/>
        <v>170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>
        <f>'Densidad de Grupos'!A26</f>
        <v>0</v>
      </c>
      <c r="H10" s="26">
        <f>'Densidad de Grupos'!H26</f>
        <v>0</v>
      </c>
      <c r="I10" s="31">
        <f t="shared" si="0"/>
        <v>0</v>
      </c>
      <c r="J10" s="28">
        <f t="shared" si="1"/>
        <v>0</v>
      </c>
    </row>
    <row r="11" spans="1:10" x14ac:dyDescent="0.2">
      <c r="A11" s="27" t="str">
        <f t="shared" si="2"/>
        <v>SP-21-0237</v>
      </c>
      <c r="B11" s="29">
        <f t="shared" si="3"/>
        <v>4.3953401824901821</v>
      </c>
      <c r="C11" s="29">
        <f t="shared" si="4"/>
        <v>170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SP-21-0237</v>
      </c>
      <c r="B12" s="29">
        <f t="shared" si="3"/>
        <v>4.3953401824901821</v>
      </c>
      <c r="C12" s="29">
        <f t="shared" si="4"/>
        <v>170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SP-21-0237</v>
      </c>
      <c r="B13" s="29">
        <f t="shared" si="3"/>
        <v>4.3953401824901821</v>
      </c>
      <c r="C13" s="29">
        <f t="shared" si="4"/>
        <v>170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SP-21-0237</v>
      </c>
      <c r="B14" s="29">
        <f t="shared" si="3"/>
        <v>4.3953401824901821</v>
      </c>
      <c r="C14" s="29">
        <f t="shared" si="4"/>
        <v>170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SP-21-0237</v>
      </c>
      <c r="B15" s="29">
        <f t="shared" si="3"/>
        <v>4.3953401824901821</v>
      </c>
      <c r="C15" s="29">
        <f t="shared" si="4"/>
        <v>170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SP-21-0237</v>
      </c>
      <c r="B16" s="29">
        <f t="shared" si="3"/>
        <v>4.3953401824901821</v>
      </c>
      <c r="C16" s="29">
        <f t="shared" si="4"/>
        <v>170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SP-21-0237</v>
      </c>
      <c r="B17" s="29">
        <f t="shared" si="3"/>
        <v>4.3953401824901821</v>
      </c>
      <c r="C17" s="29">
        <f t="shared" si="4"/>
        <v>170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SP-21-0237</v>
      </c>
      <c r="B18" s="29">
        <f t="shared" si="3"/>
        <v>4.3953401824901821</v>
      </c>
      <c r="C18" s="29">
        <f t="shared" si="4"/>
        <v>170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SP-21-0237</v>
      </c>
      <c r="B19" s="29">
        <f t="shared" si="3"/>
        <v>4.3953401824901821</v>
      </c>
      <c r="C19" s="29">
        <f t="shared" si="4"/>
        <v>170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SP-21-0237</v>
      </c>
      <c r="B20" s="29">
        <f t="shared" si="3"/>
        <v>4.3953401824901821</v>
      </c>
      <c r="C20" s="29">
        <f t="shared" si="4"/>
        <v>170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SP-21-0237</v>
      </c>
      <c r="B21" s="34">
        <f t="shared" si="3"/>
        <v>4.3953401824901821</v>
      </c>
      <c r="C21" s="34">
        <f t="shared" si="4"/>
        <v>170</v>
      </c>
      <c r="D21" s="34">
        <f t="shared" si="5"/>
        <v>5</v>
      </c>
      <c r="E21" s="34">
        <f t="shared" si="6"/>
        <v>1</v>
      </c>
      <c r="F21" s="34">
        <f t="shared" si="7"/>
        <v>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SP-21-0237</v>
      </c>
      <c r="B22" s="29">
        <f t="shared" si="3"/>
        <v>4.3953401824901821</v>
      </c>
      <c r="C22" s="29">
        <f t="shared" si="4"/>
        <v>170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SP-21-0237</v>
      </c>
      <c r="B23" s="29">
        <f t="shared" si="3"/>
        <v>4.3953401824901821</v>
      </c>
      <c r="C23" s="29">
        <f t="shared" si="4"/>
        <v>170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SP-21-0237</v>
      </c>
      <c r="B24" s="29">
        <f t="shared" si="3"/>
        <v>4.3953401824901821</v>
      </c>
      <c r="C24" s="29">
        <f t="shared" si="4"/>
        <v>170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SP-21-0237</v>
      </c>
      <c r="B25" s="29">
        <f t="shared" si="3"/>
        <v>4.3953401824901821</v>
      </c>
      <c r="C25" s="29">
        <f t="shared" si="4"/>
        <v>170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SP-21-0237</v>
      </c>
      <c r="B26" s="29">
        <f t="shared" si="3"/>
        <v>4.3953401824901821</v>
      </c>
      <c r="C26" s="29">
        <f t="shared" si="4"/>
        <v>170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SP-21-0237</v>
      </c>
      <c r="B27" s="29">
        <f t="shared" si="3"/>
        <v>4.3953401824901821</v>
      </c>
      <c r="C27" s="29">
        <f t="shared" si="4"/>
        <v>170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SP-21-0237</v>
      </c>
      <c r="B28" s="29">
        <f t="shared" si="3"/>
        <v>4.3953401824901821</v>
      </c>
      <c r="C28" s="29">
        <f t="shared" si="4"/>
        <v>170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SP-21-0237</v>
      </c>
      <c r="B29" s="29">
        <f t="shared" si="3"/>
        <v>4.3953401824901821</v>
      </c>
      <c r="C29" s="29">
        <f t="shared" si="4"/>
        <v>170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SP-21-0237</v>
      </c>
      <c r="B30" s="29">
        <f t="shared" si="3"/>
        <v>4.3953401824901821</v>
      </c>
      <c r="C30" s="29">
        <f t="shared" si="4"/>
        <v>170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SP-21-0237</v>
      </c>
      <c r="B31" s="29">
        <f t="shared" si="3"/>
        <v>4.3953401824901821</v>
      </c>
      <c r="C31" s="29">
        <f t="shared" si="4"/>
        <v>170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SP-21-0237</v>
      </c>
      <c r="B32" s="29">
        <f t="shared" si="3"/>
        <v>4.3953401824901821</v>
      </c>
      <c r="C32" s="29">
        <f t="shared" si="4"/>
        <v>170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SP-21-0237</v>
      </c>
      <c r="B33" s="29">
        <f t="shared" si="3"/>
        <v>4.3953401824901821</v>
      </c>
      <c r="C33" s="29">
        <f t="shared" si="4"/>
        <v>170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SP-21-0237</v>
      </c>
      <c r="B34" s="29">
        <f t="shared" si="3"/>
        <v>4.3953401824901821</v>
      </c>
      <c r="C34" s="29">
        <f t="shared" si="4"/>
        <v>170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SP-21-0237</v>
      </c>
      <c r="B35" s="29">
        <f t="shared" si="3"/>
        <v>4.3953401824901821</v>
      </c>
      <c r="C35" s="29">
        <f t="shared" si="4"/>
        <v>170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SP-21-0237</v>
      </c>
      <c r="B36" s="29">
        <f t="shared" si="3"/>
        <v>4.3953401824901821</v>
      </c>
      <c r="C36" s="29">
        <f t="shared" si="4"/>
        <v>170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SP-21-0237</v>
      </c>
      <c r="B37" s="29">
        <f t="shared" si="3"/>
        <v>4.3953401824901821</v>
      </c>
      <c r="C37" s="29">
        <f t="shared" si="4"/>
        <v>170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SP-21-0237</v>
      </c>
      <c r="B38" s="29">
        <f t="shared" si="3"/>
        <v>4.3953401824901821</v>
      </c>
      <c r="C38" s="29">
        <f t="shared" si="4"/>
        <v>170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SP-21-0237</v>
      </c>
      <c r="B39" s="29">
        <f t="shared" si="3"/>
        <v>4.3953401824901821</v>
      </c>
      <c r="C39" s="29">
        <f t="shared" si="4"/>
        <v>170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SP-21-0237</v>
      </c>
      <c r="B40" s="29">
        <f t="shared" si="3"/>
        <v>4.3953401824901821</v>
      </c>
      <c r="C40" s="29">
        <f t="shared" si="4"/>
        <v>170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SP-21-0237</v>
      </c>
      <c r="B41" s="34">
        <f t="shared" si="3"/>
        <v>4.3953401824901821</v>
      </c>
      <c r="C41" s="34">
        <f t="shared" si="4"/>
        <v>170</v>
      </c>
      <c r="D41" s="34">
        <f t="shared" si="5"/>
        <v>5</v>
      </c>
      <c r="E41" s="34">
        <f t="shared" si="6"/>
        <v>1</v>
      </c>
      <c r="F41" s="34">
        <f t="shared" si="7"/>
        <v>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SP-21-0237</v>
      </c>
      <c r="B42" s="29">
        <f t="shared" si="3"/>
        <v>4.3953401824901821</v>
      </c>
      <c r="C42" s="29">
        <f t="shared" si="4"/>
        <v>170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SP-21-0237</v>
      </c>
      <c r="B43" s="29">
        <f t="shared" si="3"/>
        <v>4.3953401824901821</v>
      </c>
      <c r="C43" s="29">
        <f t="shared" si="4"/>
        <v>170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SP-21-0237</v>
      </c>
      <c r="B44" s="29">
        <f t="shared" si="3"/>
        <v>4.3953401824901821</v>
      </c>
      <c r="C44" s="29">
        <f t="shared" si="4"/>
        <v>170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SP-21-0237</v>
      </c>
      <c r="B45" s="29">
        <f t="shared" si="3"/>
        <v>4.3953401824901821</v>
      </c>
      <c r="C45" s="29">
        <f t="shared" si="4"/>
        <v>170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SP-21-0237</v>
      </c>
      <c r="B46" s="29">
        <f t="shared" si="3"/>
        <v>4.3953401824901821</v>
      </c>
      <c r="C46" s="29">
        <f t="shared" si="4"/>
        <v>170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SP-21-0237</v>
      </c>
      <c r="B47" s="29">
        <f t="shared" si="3"/>
        <v>4.3953401824901821</v>
      </c>
      <c r="C47" s="29">
        <f t="shared" si="4"/>
        <v>170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SP-21-0237</v>
      </c>
      <c r="B48" s="29">
        <f t="shared" si="3"/>
        <v>4.3953401824901821</v>
      </c>
      <c r="C48" s="29">
        <f t="shared" si="4"/>
        <v>170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SP-21-0237</v>
      </c>
      <c r="B49" s="29">
        <f t="shared" si="3"/>
        <v>4.3953401824901821</v>
      </c>
      <c r="C49" s="29">
        <f t="shared" si="4"/>
        <v>170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SP-21-0237</v>
      </c>
      <c r="B50" s="29">
        <f t="shared" si="3"/>
        <v>4.3953401824901821</v>
      </c>
      <c r="C50" s="29">
        <f t="shared" si="4"/>
        <v>170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SP-21-0237</v>
      </c>
      <c r="B51" s="29">
        <f t="shared" si="3"/>
        <v>4.3953401824901821</v>
      </c>
      <c r="C51" s="29">
        <f t="shared" si="4"/>
        <v>170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SP-21-0237</v>
      </c>
      <c r="B52" s="29">
        <f t="shared" si="3"/>
        <v>4.3953401824901821</v>
      </c>
      <c r="C52" s="29">
        <f t="shared" si="4"/>
        <v>170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SP-21-0237</v>
      </c>
      <c r="B53" s="29">
        <f t="shared" si="3"/>
        <v>4.3953401824901821</v>
      </c>
      <c r="C53" s="29">
        <f t="shared" si="4"/>
        <v>170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SP-21-0237</v>
      </c>
      <c r="B54" s="29">
        <f t="shared" si="3"/>
        <v>4.3953401824901821</v>
      </c>
      <c r="C54" s="29">
        <f t="shared" si="4"/>
        <v>170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SP-21-0237</v>
      </c>
      <c r="B55" s="29">
        <f t="shared" si="3"/>
        <v>4.3953401824901821</v>
      </c>
      <c r="C55" s="29">
        <f t="shared" si="4"/>
        <v>170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SP-21-0237</v>
      </c>
      <c r="B56" s="29">
        <f t="shared" si="3"/>
        <v>4.3953401824901821</v>
      </c>
      <c r="C56" s="29">
        <f t="shared" si="4"/>
        <v>170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SP-21-0237</v>
      </c>
      <c r="B57" s="29">
        <f t="shared" si="3"/>
        <v>4.3953401824901821</v>
      </c>
      <c r="C57" s="29">
        <f t="shared" si="4"/>
        <v>170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SP-21-0237</v>
      </c>
      <c r="B58" s="29">
        <f t="shared" si="3"/>
        <v>4.3953401824901821</v>
      </c>
      <c r="C58" s="29">
        <f t="shared" si="4"/>
        <v>170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SP-21-0237</v>
      </c>
      <c r="B59" s="29">
        <f t="shared" si="3"/>
        <v>4.3953401824901821</v>
      </c>
      <c r="C59" s="29">
        <f t="shared" si="4"/>
        <v>170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SP-21-0237</v>
      </c>
      <c r="B60" s="29">
        <f t="shared" si="3"/>
        <v>4.3953401824901821</v>
      </c>
      <c r="C60" s="29">
        <f t="shared" si="4"/>
        <v>170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SP-21-0237</v>
      </c>
      <c r="B61" s="34">
        <f t="shared" si="3"/>
        <v>4.3953401824901821</v>
      </c>
      <c r="C61" s="34">
        <f t="shared" si="4"/>
        <v>170</v>
      </c>
      <c r="D61" s="34">
        <f t="shared" si="5"/>
        <v>5</v>
      </c>
      <c r="E61" s="34">
        <f t="shared" si="6"/>
        <v>1</v>
      </c>
      <c r="F61" s="34">
        <f t="shared" si="7"/>
        <v>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SP-21-0237</v>
      </c>
      <c r="B62" s="29">
        <f t="shared" si="3"/>
        <v>4.3953401824901821</v>
      </c>
      <c r="C62" s="29">
        <f t="shared" si="4"/>
        <v>170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SP-21-0237</v>
      </c>
      <c r="B63" s="29">
        <f t="shared" si="3"/>
        <v>4.3953401824901821</v>
      </c>
      <c r="C63" s="29">
        <f t="shared" si="4"/>
        <v>170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SP-21-0237</v>
      </c>
      <c r="B64" s="29">
        <f t="shared" si="3"/>
        <v>4.3953401824901821</v>
      </c>
      <c r="C64" s="29">
        <f t="shared" si="4"/>
        <v>170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SP-21-0237</v>
      </c>
      <c r="B65" s="29">
        <f t="shared" si="3"/>
        <v>4.3953401824901821</v>
      </c>
      <c r="C65" s="29">
        <f t="shared" si="4"/>
        <v>170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SP-21-0237</v>
      </c>
      <c r="B66" s="29">
        <f t="shared" ref="B66:B81" si="9">$B$2</f>
        <v>4.3953401824901821</v>
      </c>
      <c r="C66" s="29">
        <f t="shared" ref="C66:C81" si="10">$C$2</f>
        <v>170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SP-21-0237</v>
      </c>
      <c r="B67" s="29">
        <f t="shared" si="9"/>
        <v>4.3953401824901821</v>
      </c>
      <c r="C67" s="29">
        <f t="shared" si="10"/>
        <v>170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SP-21-0237</v>
      </c>
      <c r="B68" s="29">
        <f t="shared" si="9"/>
        <v>4.3953401824901821</v>
      </c>
      <c r="C68" s="29">
        <f t="shared" si="10"/>
        <v>170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SP-21-0237</v>
      </c>
      <c r="B69" s="29">
        <f t="shared" si="9"/>
        <v>4.3953401824901821</v>
      </c>
      <c r="C69" s="29">
        <f t="shared" si="10"/>
        <v>170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SP-21-0237</v>
      </c>
      <c r="B70" s="29">
        <f t="shared" si="9"/>
        <v>4.3953401824901821</v>
      </c>
      <c r="C70" s="29">
        <f t="shared" si="10"/>
        <v>170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SP-21-0237</v>
      </c>
      <c r="B71" s="29">
        <f t="shared" si="9"/>
        <v>4.3953401824901821</v>
      </c>
      <c r="C71" s="29">
        <f t="shared" si="10"/>
        <v>170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SP-21-0237</v>
      </c>
      <c r="B72" s="29">
        <f t="shared" si="9"/>
        <v>4.3953401824901821</v>
      </c>
      <c r="C72" s="29">
        <f t="shared" si="10"/>
        <v>170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SP-21-0237</v>
      </c>
      <c r="B73" s="29">
        <f t="shared" si="9"/>
        <v>4.3953401824901821</v>
      </c>
      <c r="C73" s="29">
        <f t="shared" si="10"/>
        <v>170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SP-21-0237</v>
      </c>
      <c r="B74" s="29">
        <f t="shared" si="9"/>
        <v>4.3953401824901821</v>
      </c>
      <c r="C74" s="29">
        <f t="shared" si="10"/>
        <v>170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SP-21-0237</v>
      </c>
      <c r="B75" s="29">
        <f t="shared" si="9"/>
        <v>4.3953401824901821</v>
      </c>
      <c r="C75" s="29">
        <f t="shared" si="10"/>
        <v>170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SP-21-0237</v>
      </c>
      <c r="B76" s="29">
        <f t="shared" si="9"/>
        <v>4.3953401824901821</v>
      </c>
      <c r="C76" s="29">
        <f t="shared" si="10"/>
        <v>170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SP-21-0237</v>
      </c>
      <c r="B77" s="29">
        <f t="shared" si="9"/>
        <v>4.3953401824901821</v>
      </c>
      <c r="C77" s="29">
        <f t="shared" si="10"/>
        <v>170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SP-21-0237</v>
      </c>
      <c r="B78" s="29">
        <f t="shared" si="9"/>
        <v>4.3953401824901821</v>
      </c>
      <c r="C78" s="29">
        <f t="shared" si="10"/>
        <v>170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SP-21-0237</v>
      </c>
      <c r="B79" s="29">
        <f t="shared" si="9"/>
        <v>4.3953401824901821</v>
      </c>
      <c r="C79" s="29">
        <f t="shared" si="10"/>
        <v>170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SP-21-0237</v>
      </c>
      <c r="B80" s="29">
        <f t="shared" si="9"/>
        <v>4.3953401824901821</v>
      </c>
      <c r="C80" s="29">
        <f t="shared" si="10"/>
        <v>170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SP-21-0237</v>
      </c>
      <c r="B81" s="29">
        <f t="shared" si="9"/>
        <v>4.3953401824901821</v>
      </c>
      <c r="C81" s="29">
        <f t="shared" si="10"/>
        <v>170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2022-02-28T00:39:36Z</dcterms:modified>
</cp:coreProperties>
</file>