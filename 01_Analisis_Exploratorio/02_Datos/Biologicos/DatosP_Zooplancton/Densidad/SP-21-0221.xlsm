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drawings/drawing2.xml" ContentType="application/vnd.openxmlformats-officedocument.drawing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EA9D3783-D102-471C-B9AE-9D798BE82E16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DOLIOLIDA" sheetId="10" r:id="rId2"/>
    <sheet name="Cálculos_Densidad_De_Grupos" sheetId="4" r:id="rId3"/>
    <sheet name="Calculos_DOLIOLIDA" sheetId="1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1" l="1"/>
  <c r="B9" i="11"/>
  <c r="B10" i="11"/>
  <c r="I10" i="11" s="1"/>
  <c r="B11" i="11"/>
  <c r="B13" i="11"/>
  <c r="B19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" i="11"/>
  <c r="G23" i="11"/>
  <c r="G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I3" i="11"/>
  <c r="F3" i="11"/>
  <c r="E2" i="11"/>
  <c r="D2" i="11"/>
  <c r="C2" i="11"/>
  <c r="J13" i="10"/>
  <c r="B4" i="11" s="1"/>
  <c r="U9" i="10"/>
  <c r="A2" i="11" s="1"/>
  <c r="Y6" i="10"/>
  <c r="U6" i="10"/>
  <c r="Y5" i="10"/>
  <c r="U5" i="10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J9" i="11" l="1"/>
  <c r="J3" i="11"/>
  <c r="J19" i="11"/>
  <c r="J13" i="11"/>
  <c r="J11" i="11"/>
  <c r="B21" i="11"/>
  <c r="I21" i="11" s="1"/>
  <c r="B5" i="11"/>
  <c r="I13" i="11"/>
  <c r="I11" i="11"/>
  <c r="B18" i="11"/>
  <c r="I18" i="11" s="1"/>
  <c r="I19" i="11"/>
  <c r="B17" i="11"/>
  <c r="J17" i="11" s="1"/>
  <c r="F2" i="11"/>
  <c r="J4" i="11"/>
  <c r="I4" i="11"/>
  <c r="B16" i="11"/>
  <c r="I16" i="11" s="1"/>
  <c r="B8" i="11"/>
  <c r="J8" i="11" s="1"/>
  <c r="B15" i="11"/>
  <c r="J15" i="11" s="1"/>
  <c r="B7" i="11"/>
  <c r="I7" i="11" s="1"/>
  <c r="I9" i="11"/>
  <c r="I17" i="11"/>
  <c r="B2" i="11"/>
  <c r="I2" i="11" s="1"/>
  <c r="B14" i="11"/>
  <c r="I14" i="11" s="1"/>
  <c r="B6" i="11"/>
  <c r="J6" i="11" s="1"/>
  <c r="B20" i="11"/>
  <c r="B12" i="11"/>
  <c r="J18" i="11"/>
  <c r="J10" i="11"/>
  <c r="I15" i="11"/>
  <c r="J21" i="11" l="1"/>
  <c r="I8" i="11"/>
  <c r="J16" i="11"/>
  <c r="J5" i="11"/>
  <c r="I5" i="11"/>
  <c r="I6" i="11"/>
  <c r="J12" i="11"/>
  <c r="I12" i="11"/>
  <c r="J20" i="11"/>
  <c r="I20" i="11"/>
  <c r="J7" i="11"/>
  <c r="J2" i="11"/>
  <c r="J14" i="1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<sst xmlns="http://schemas.openxmlformats.org/spreadsheetml/2006/main" count="133" uniqueCount="74">
  <si>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</si>
  <si>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</si>
  <si>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</si>
  <si>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</si>
  <si>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</si>
  <si>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</si>
  <si>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</si>
  <si>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</si>
  <si>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</si>
  <si>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</si>
  <si>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</si>
  <si>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</si>
  <si>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</si>
  <si>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</si>
  <si>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</si>
  <si>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</si>
  <si>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</si>
  <si>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</si>
  <si>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</si>
  <si>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</si>
  <si>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</si>
  <si>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</si>
  <si>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</si>
  <si>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</si>
  <si>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</si>
  <si>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</si>
  <si>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</si>
  <si>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</si>
  <si>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</si>
  <si>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</si>
  <si>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</si>
  <si>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</si>
  <si>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</si>
  <si>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</si>
  <si>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</si>
  <si>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</si>
  <si>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</si>
  <si>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</si>
  <si>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</si>
  <si>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</si>
  <si>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</si>
  <si>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</si>
  <si>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</si>
  <si>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</si>
  <si>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</si>
  <si>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</si>
  <si>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</si>
  <si>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</si>
  <si>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</si>
  <si>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</si>
  <si>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</si>
  <si>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</si>
  <si>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</si>
  <si>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</si>
  <si>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</si>
  <si>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</si>
  <si>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</si>
  <si>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</si>
  <si>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</si>
  <si>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</si>
  <si>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</si>
  <si>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</si>
  <si>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</si>
  <si>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Pez (Huevo)</t>
  </si>
  <si>
    <t>Copepoda (Cyclopoida)</t>
  </si>
  <si>
    <t>Doliolida</t>
  </si>
  <si>
    <t>Chaetognatha</t>
  </si>
  <si>
    <t>Mollusca (Creseis)</t>
  </si>
  <si>
    <t>Mollusca (Limacina)</t>
  </si>
  <si>
    <t>Brachiopoda (Lingula)</t>
  </si>
  <si>
    <t>Amphipoda (Hyperiidae)</t>
  </si>
  <si>
    <t>Mysidacea</t>
  </si>
  <si>
    <t>SP-21-0221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</si>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</sst>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8AEB649F-2E30-4C7B-99AD-00FA784D8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844D0882-4ACF-4B79-9C69-423F72FE7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4706B20-3624-4A89-BF3B-30C69D39A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2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2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2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2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2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2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2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2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2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2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2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2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2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2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2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2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2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2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2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2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2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2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2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2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2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2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2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2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2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2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2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2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2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2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2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2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2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2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2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2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2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2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2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2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69" name="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2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70" name="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2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71" name="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2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72" name="Butto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2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73" name="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2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74" name="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2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75" name="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2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76" name="Butto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2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77" name="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2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78" name="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2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79" name="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2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80" name="Butto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2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81" name="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2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2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2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2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2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2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87" name="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2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88" name="Butto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2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89" name="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2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90" name="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2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91" name="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2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92" name="Button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2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93" name="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2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94" name="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2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95" name="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2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96" name="Button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2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97" name="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2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98" name="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2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99" name="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2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2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301" name="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2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302" name="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2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303" name="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2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304" name="Button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2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305" name="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2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306" name="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2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307" name="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2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2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2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2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2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2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2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2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2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2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2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2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2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2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2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2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2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2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2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2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2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2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2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2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2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2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9.xml"/><Relationship Id="rId21" Type="http://schemas.openxmlformats.org/officeDocument/2006/relationships/ctrlProp" Target="../ctrlProps/ctrlProp283.xml"/><Relationship Id="rId42" Type="http://schemas.openxmlformats.org/officeDocument/2006/relationships/ctrlProp" Target="../ctrlProps/ctrlProp304.xml"/><Relationship Id="rId63" Type="http://schemas.openxmlformats.org/officeDocument/2006/relationships/ctrlProp" Target="../ctrlProps/ctrlProp325.xml"/><Relationship Id="rId84" Type="http://schemas.openxmlformats.org/officeDocument/2006/relationships/ctrlProp" Target="../ctrlProps/ctrlProp346.xml"/><Relationship Id="rId138" Type="http://schemas.openxmlformats.org/officeDocument/2006/relationships/ctrlProp" Target="../ctrlProps/ctrlProp400.xml"/><Relationship Id="rId159" Type="http://schemas.openxmlformats.org/officeDocument/2006/relationships/ctrlProp" Target="../ctrlProps/ctrlProp421.xml"/><Relationship Id="rId170" Type="http://schemas.openxmlformats.org/officeDocument/2006/relationships/ctrlProp" Target="../ctrlProps/ctrlProp432.xml"/><Relationship Id="rId191" Type="http://schemas.openxmlformats.org/officeDocument/2006/relationships/ctrlProp" Target="../ctrlProps/ctrlProp453.xml"/><Relationship Id="rId205" Type="http://schemas.openxmlformats.org/officeDocument/2006/relationships/ctrlProp" Target="../ctrlProps/ctrlProp467.xml"/><Relationship Id="rId107" Type="http://schemas.openxmlformats.org/officeDocument/2006/relationships/ctrlProp" Target="../ctrlProps/ctrlProp369.xml"/><Relationship Id="rId11" Type="http://schemas.openxmlformats.org/officeDocument/2006/relationships/ctrlProp" Target="../ctrlProps/ctrlProp273.xml"/><Relationship Id="rId32" Type="http://schemas.openxmlformats.org/officeDocument/2006/relationships/ctrlProp" Target="../ctrlProps/ctrlProp294.xml"/><Relationship Id="rId53" Type="http://schemas.openxmlformats.org/officeDocument/2006/relationships/ctrlProp" Target="../ctrlProps/ctrlProp315.xml"/><Relationship Id="rId74" Type="http://schemas.openxmlformats.org/officeDocument/2006/relationships/ctrlProp" Target="../ctrlProps/ctrlProp336.xml"/><Relationship Id="rId128" Type="http://schemas.openxmlformats.org/officeDocument/2006/relationships/ctrlProp" Target="../ctrlProps/ctrlProp390.xml"/><Relationship Id="rId149" Type="http://schemas.openxmlformats.org/officeDocument/2006/relationships/ctrlProp" Target="../ctrlProps/ctrlProp411.xml"/><Relationship Id="rId5" Type="http://schemas.openxmlformats.org/officeDocument/2006/relationships/ctrlProp" Target="../ctrlProps/ctrlProp267.xml"/><Relationship Id="rId95" Type="http://schemas.openxmlformats.org/officeDocument/2006/relationships/ctrlProp" Target="../ctrlProps/ctrlProp357.xml"/><Relationship Id="rId160" Type="http://schemas.openxmlformats.org/officeDocument/2006/relationships/ctrlProp" Target="../ctrlProps/ctrlProp422.xml"/><Relationship Id="rId181" Type="http://schemas.openxmlformats.org/officeDocument/2006/relationships/ctrlProp" Target="../ctrlProps/ctrlProp443.xml"/><Relationship Id="rId22" Type="http://schemas.openxmlformats.org/officeDocument/2006/relationships/ctrlProp" Target="../ctrlProps/ctrlProp284.xml"/><Relationship Id="rId43" Type="http://schemas.openxmlformats.org/officeDocument/2006/relationships/ctrlProp" Target="../ctrlProps/ctrlProp305.xml"/><Relationship Id="rId64" Type="http://schemas.openxmlformats.org/officeDocument/2006/relationships/ctrlProp" Target="../ctrlProps/ctrlProp326.xml"/><Relationship Id="rId118" Type="http://schemas.openxmlformats.org/officeDocument/2006/relationships/ctrlProp" Target="../ctrlProps/ctrlProp380.xml"/><Relationship Id="rId139" Type="http://schemas.openxmlformats.org/officeDocument/2006/relationships/ctrlProp" Target="../ctrlProps/ctrlProp401.xml"/><Relationship Id="rId85" Type="http://schemas.openxmlformats.org/officeDocument/2006/relationships/ctrlProp" Target="../ctrlProps/ctrlProp347.xml"/><Relationship Id="rId150" Type="http://schemas.openxmlformats.org/officeDocument/2006/relationships/ctrlProp" Target="../ctrlProps/ctrlProp412.xml"/><Relationship Id="rId171" Type="http://schemas.openxmlformats.org/officeDocument/2006/relationships/ctrlProp" Target="../ctrlProps/ctrlProp433.xml"/><Relationship Id="rId192" Type="http://schemas.openxmlformats.org/officeDocument/2006/relationships/ctrlProp" Target="../ctrlProps/ctrlProp454.xml"/><Relationship Id="rId206" Type="http://schemas.openxmlformats.org/officeDocument/2006/relationships/ctrlProp" Target="../ctrlProps/ctrlProp468.xml"/><Relationship Id="rId12" Type="http://schemas.openxmlformats.org/officeDocument/2006/relationships/ctrlProp" Target="../ctrlProps/ctrlProp274.xml"/><Relationship Id="rId33" Type="http://schemas.openxmlformats.org/officeDocument/2006/relationships/ctrlProp" Target="../ctrlProps/ctrlProp295.xml"/><Relationship Id="rId108" Type="http://schemas.openxmlformats.org/officeDocument/2006/relationships/ctrlProp" Target="../ctrlProps/ctrlProp370.xml"/><Relationship Id="rId129" Type="http://schemas.openxmlformats.org/officeDocument/2006/relationships/ctrlProp" Target="../ctrlProps/ctrlProp391.xml"/><Relationship Id="rId54" Type="http://schemas.openxmlformats.org/officeDocument/2006/relationships/ctrlProp" Target="../ctrlProps/ctrlProp316.xml"/><Relationship Id="rId75" Type="http://schemas.openxmlformats.org/officeDocument/2006/relationships/ctrlProp" Target="../ctrlProps/ctrlProp337.xml"/><Relationship Id="rId96" Type="http://schemas.openxmlformats.org/officeDocument/2006/relationships/ctrlProp" Target="../ctrlProps/ctrlProp358.xml"/><Relationship Id="rId140" Type="http://schemas.openxmlformats.org/officeDocument/2006/relationships/ctrlProp" Target="../ctrlProps/ctrlProp402.xml"/><Relationship Id="rId161" Type="http://schemas.openxmlformats.org/officeDocument/2006/relationships/ctrlProp" Target="../ctrlProps/ctrlProp423.xml"/><Relationship Id="rId182" Type="http://schemas.openxmlformats.org/officeDocument/2006/relationships/ctrlProp" Target="../ctrlProps/ctrlProp444.xml"/><Relationship Id="rId6" Type="http://schemas.openxmlformats.org/officeDocument/2006/relationships/ctrlProp" Target="../ctrlProps/ctrlProp268.xml"/><Relationship Id="rId23" Type="http://schemas.openxmlformats.org/officeDocument/2006/relationships/ctrlProp" Target="../ctrlProps/ctrlProp285.xml"/><Relationship Id="rId119" Type="http://schemas.openxmlformats.org/officeDocument/2006/relationships/ctrlProp" Target="../ctrlProps/ctrlProp381.xml"/><Relationship Id="rId44" Type="http://schemas.openxmlformats.org/officeDocument/2006/relationships/ctrlProp" Target="../ctrlProps/ctrlProp306.xml"/><Relationship Id="rId65" Type="http://schemas.openxmlformats.org/officeDocument/2006/relationships/ctrlProp" Target="../ctrlProps/ctrlProp327.xml"/><Relationship Id="rId86" Type="http://schemas.openxmlformats.org/officeDocument/2006/relationships/ctrlProp" Target="../ctrlProps/ctrlProp348.xml"/><Relationship Id="rId130" Type="http://schemas.openxmlformats.org/officeDocument/2006/relationships/ctrlProp" Target="../ctrlProps/ctrlProp392.xml"/><Relationship Id="rId151" Type="http://schemas.openxmlformats.org/officeDocument/2006/relationships/ctrlProp" Target="../ctrlProps/ctrlProp413.xml"/><Relationship Id="rId172" Type="http://schemas.openxmlformats.org/officeDocument/2006/relationships/ctrlProp" Target="../ctrlProps/ctrlProp434.xml"/><Relationship Id="rId193" Type="http://schemas.openxmlformats.org/officeDocument/2006/relationships/ctrlProp" Target="../ctrlProps/ctrlProp455.xml"/><Relationship Id="rId207" Type="http://schemas.openxmlformats.org/officeDocument/2006/relationships/ctrlProp" Target="../ctrlProps/ctrlProp469.xml"/><Relationship Id="rId13" Type="http://schemas.openxmlformats.org/officeDocument/2006/relationships/ctrlProp" Target="../ctrlProps/ctrlProp275.xml"/><Relationship Id="rId109" Type="http://schemas.openxmlformats.org/officeDocument/2006/relationships/ctrlProp" Target="../ctrlProps/ctrlProp371.xml"/><Relationship Id="rId34" Type="http://schemas.openxmlformats.org/officeDocument/2006/relationships/ctrlProp" Target="../ctrlProps/ctrlProp296.xml"/><Relationship Id="rId55" Type="http://schemas.openxmlformats.org/officeDocument/2006/relationships/ctrlProp" Target="../ctrlProps/ctrlProp317.xml"/><Relationship Id="rId76" Type="http://schemas.openxmlformats.org/officeDocument/2006/relationships/ctrlProp" Target="../ctrlProps/ctrlProp338.xml"/><Relationship Id="rId97" Type="http://schemas.openxmlformats.org/officeDocument/2006/relationships/ctrlProp" Target="../ctrlProps/ctrlProp359.xml"/><Relationship Id="rId120" Type="http://schemas.openxmlformats.org/officeDocument/2006/relationships/ctrlProp" Target="../ctrlProps/ctrlProp382.xml"/><Relationship Id="rId141" Type="http://schemas.openxmlformats.org/officeDocument/2006/relationships/ctrlProp" Target="../ctrlProps/ctrlProp403.xml"/><Relationship Id="rId7" Type="http://schemas.openxmlformats.org/officeDocument/2006/relationships/ctrlProp" Target="../ctrlProps/ctrlProp269.xml"/><Relationship Id="rId162" Type="http://schemas.openxmlformats.org/officeDocument/2006/relationships/ctrlProp" Target="../ctrlProps/ctrlProp424.xml"/><Relationship Id="rId183" Type="http://schemas.openxmlformats.org/officeDocument/2006/relationships/ctrlProp" Target="../ctrlProps/ctrlProp445.xml"/><Relationship Id="rId24" Type="http://schemas.openxmlformats.org/officeDocument/2006/relationships/ctrlProp" Target="../ctrlProps/ctrlProp286.xml"/><Relationship Id="rId45" Type="http://schemas.openxmlformats.org/officeDocument/2006/relationships/ctrlProp" Target="../ctrlProps/ctrlProp307.xml"/><Relationship Id="rId66" Type="http://schemas.openxmlformats.org/officeDocument/2006/relationships/ctrlProp" Target="../ctrlProps/ctrlProp328.xml"/><Relationship Id="rId87" Type="http://schemas.openxmlformats.org/officeDocument/2006/relationships/ctrlProp" Target="../ctrlProps/ctrlProp349.xml"/><Relationship Id="rId110" Type="http://schemas.openxmlformats.org/officeDocument/2006/relationships/ctrlProp" Target="../ctrlProps/ctrlProp372.xml"/><Relationship Id="rId131" Type="http://schemas.openxmlformats.org/officeDocument/2006/relationships/ctrlProp" Target="../ctrlProps/ctrlProp393.xml"/><Relationship Id="rId152" Type="http://schemas.openxmlformats.org/officeDocument/2006/relationships/ctrlProp" Target="../ctrlProps/ctrlProp414.xml"/><Relationship Id="rId173" Type="http://schemas.openxmlformats.org/officeDocument/2006/relationships/ctrlProp" Target="../ctrlProps/ctrlProp435.xml"/><Relationship Id="rId194" Type="http://schemas.openxmlformats.org/officeDocument/2006/relationships/ctrlProp" Target="../ctrlProps/ctrlProp456.xml"/><Relationship Id="rId208" Type="http://schemas.openxmlformats.org/officeDocument/2006/relationships/ctrlProp" Target="../ctrlProps/ctrlProp470.xml"/><Relationship Id="rId19" Type="http://schemas.openxmlformats.org/officeDocument/2006/relationships/ctrlProp" Target="../ctrlProps/ctrlProp281.xml"/><Relationship Id="rId14" Type="http://schemas.openxmlformats.org/officeDocument/2006/relationships/ctrlProp" Target="../ctrlProps/ctrlProp276.xml"/><Relationship Id="rId30" Type="http://schemas.openxmlformats.org/officeDocument/2006/relationships/ctrlProp" Target="../ctrlProps/ctrlProp292.xml"/><Relationship Id="rId35" Type="http://schemas.openxmlformats.org/officeDocument/2006/relationships/ctrlProp" Target="../ctrlProps/ctrlProp297.xml"/><Relationship Id="rId56" Type="http://schemas.openxmlformats.org/officeDocument/2006/relationships/ctrlProp" Target="../ctrlProps/ctrlProp318.xml"/><Relationship Id="rId77" Type="http://schemas.openxmlformats.org/officeDocument/2006/relationships/ctrlProp" Target="../ctrlProps/ctrlProp339.xml"/><Relationship Id="rId100" Type="http://schemas.openxmlformats.org/officeDocument/2006/relationships/ctrlProp" Target="../ctrlProps/ctrlProp362.xml"/><Relationship Id="rId105" Type="http://schemas.openxmlformats.org/officeDocument/2006/relationships/ctrlProp" Target="../ctrlProps/ctrlProp367.xml"/><Relationship Id="rId126" Type="http://schemas.openxmlformats.org/officeDocument/2006/relationships/ctrlProp" Target="../ctrlProps/ctrlProp388.xml"/><Relationship Id="rId147" Type="http://schemas.openxmlformats.org/officeDocument/2006/relationships/ctrlProp" Target="../ctrlProps/ctrlProp409.xml"/><Relationship Id="rId168" Type="http://schemas.openxmlformats.org/officeDocument/2006/relationships/ctrlProp" Target="../ctrlProps/ctrlProp430.xml"/><Relationship Id="rId8" Type="http://schemas.openxmlformats.org/officeDocument/2006/relationships/ctrlProp" Target="../ctrlProps/ctrlProp270.xml"/><Relationship Id="rId51" Type="http://schemas.openxmlformats.org/officeDocument/2006/relationships/ctrlProp" Target="../ctrlProps/ctrlProp313.xml"/><Relationship Id="rId72" Type="http://schemas.openxmlformats.org/officeDocument/2006/relationships/ctrlProp" Target="../ctrlProps/ctrlProp334.xml"/><Relationship Id="rId93" Type="http://schemas.openxmlformats.org/officeDocument/2006/relationships/ctrlProp" Target="../ctrlProps/ctrlProp355.xml"/><Relationship Id="rId98" Type="http://schemas.openxmlformats.org/officeDocument/2006/relationships/ctrlProp" Target="../ctrlProps/ctrlProp360.xml"/><Relationship Id="rId121" Type="http://schemas.openxmlformats.org/officeDocument/2006/relationships/ctrlProp" Target="../ctrlProps/ctrlProp383.xml"/><Relationship Id="rId142" Type="http://schemas.openxmlformats.org/officeDocument/2006/relationships/ctrlProp" Target="../ctrlProps/ctrlProp404.xml"/><Relationship Id="rId163" Type="http://schemas.openxmlformats.org/officeDocument/2006/relationships/ctrlProp" Target="../ctrlProps/ctrlProp425.xml"/><Relationship Id="rId184" Type="http://schemas.openxmlformats.org/officeDocument/2006/relationships/ctrlProp" Target="../ctrlProps/ctrlProp446.xml"/><Relationship Id="rId189" Type="http://schemas.openxmlformats.org/officeDocument/2006/relationships/ctrlProp" Target="../ctrlProps/ctrlProp45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6.xml"/><Relationship Id="rId25" Type="http://schemas.openxmlformats.org/officeDocument/2006/relationships/ctrlProp" Target="../ctrlProps/ctrlProp287.xml"/><Relationship Id="rId46" Type="http://schemas.openxmlformats.org/officeDocument/2006/relationships/ctrlProp" Target="../ctrlProps/ctrlProp308.xml"/><Relationship Id="rId67" Type="http://schemas.openxmlformats.org/officeDocument/2006/relationships/ctrlProp" Target="../ctrlProps/ctrlProp329.xml"/><Relationship Id="rId116" Type="http://schemas.openxmlformats.org/officeDocument/2006/relationships/ctrlProp" Target="../ctrlProps/ctrlProp378.xml"/><Relationship Id="rId137" Type="http://schemas.openxmlformats.org/officeDocument/2006/relationships/ctrlProp" Target="../ctrlProps/ctrlProp399.xml"/><Relationship Id="rId158" Type="http://schemas.openxmlformats.org/officeDocument/2006/relationships/ctrlProp" Target="../ctrlProps/ctrlProp420.xml"/><Relationship Id="rId20" Type="http://schemas.openxmlformats.org/officeDocument/2006/relationships/ctrlProp" Target="../ctrlProps/ctrlProp282.xml"/><Relationship Id="rId41" Type="http://schemas.openxmlformats.org/officeDocument/2006/relationships/ctrlProp" Target="../ctrlProps/ctrlProp303.xml"/><Relationship Id="rId62" Type="http://schemas.openxmlformats.org/officeDocument/2006/relationships/ctrlProp" Target="../ctrlProps/ctrlProp324.xml"/><Relationship Id="rId83" Type="http://schemas.openxmlformats.org/officeDocument/2006/relationships/ctrlProp" Target="../ctrlProps/ctrlProp345.xml"/><Relationship Id="rId88" Type="http://schemas.openxmlformats.org/officeDocument/2006/relationships/ctrlProp" Target="../ctrlProps/ctrlProp350.xml"/><Relationship Id="rId111" Type="http://schemas.openxmlformats.org/officeDocument/2006/relationships/ctrlProp" Target="../ctrlProps/ctrlProp373.xml"/><Relationship Id="rId132" Type="http://schemas.openxmlformats.org/officeDocument/2006/relationships/ctrlProp" Target="../ctrlProps/ctrlProp394.xml"/><Relationship Id="rId153" Type="http://schemas.openxmlformats.org/officeDocument/2006/relationships/ctrlProp" Target="../ctrlProps/ctrlProp415.xml"/><Relationship Id="rId174" Type="http://schemas.openxmlformats.org/officeDocument/2006/relationships/ctrlProp" Target="../ctrlProps/ctrlProp436.xml"/><Relationship Id="rId179" Type="http://schemas.openxmlformats.org/officeDocument/2006/relationships/ctrlProp" Target="../ctrlProps/ctrlProp441.xml"/><Relationship Id="rId195" Type="http://schemas.openxmlformats.org/officeDocument/2006/relationships/ctrlProp" Target="../ctrlProps/ctrlProp457.xml"/><Relationship Id="rId209" Type="http://schemas.openxmlformats.org/officeDocument/2006/relationships/ctrlProp" Target="../ctrlProps/ctrlProp471.xml"/><Relationship Id="rId190" Type="http://schemas.openxmlformats.org/officeDocument/2006/relationships/ctrlProp" Target="../ctrlProps/ctrlProp452.xml"/><Relationship Id="rId204" Type="http://schemas.openxmlformats.org/officeDocument/2006/relationships/ctrlProp" Target="../ctrlProps/ctrlProp466.xml"/><Relationship Id="rId15" Type="http://schemas.openxmlformats.org/officeDocument/2006/relationships/ctrlProp" Target="../ctrlProps/ctrlProp277.xml"/><Relationship Id="rId36" Type="http://schemas.openxmlformats.org/officeDocument/2006/relationships/ctrlProp" Target="../ctrlProps/ctrlProp298.xml"/><Relationship Id="rId57" Type="http://schemas.openxmlformats.org/officeDocument/2006/relationships/ctrlProp" Target="../ctrlProps/ctrlProp319.xml"/><Relationship Id="rId106" Type="http://schemas.openxmlformats.org/officeDocument/2006/relationships/ctrlProp" Target="../ctrlProps/ctrlProp368.xml"/><Relationship Id="rId127" Type="http://schemas.openxmlformats.org/officeDocument/2006/relationships/ctrlProp" Target="../ctrlProps/ctrlProp389.xml"/><Relationship Id="rId10" Type="http://schemas.openxmlformats.org/officeDocument/2006/relationships/ctrlProp" Target="../ctrlProps/ctrlProp272.xml"/><Relationship Id="rId31" Type="http://schemas.openxmlformats.org/officeDocument/2006/relationships/ctrlProp" Target="../ctrlProps/ctrlProp293.xml"/><Relationship Id="rId52" Type="http://schemas.openxmlformats.org/officeDocument/2006/relationships/ctrlProp" Target="../ctrlProps/ctrlProp314.xml"/><Relationship Id="rId73" Type="http://schemas.openxmlformats.org/officeDocument/2006/relationships/ctrlProp" Target="../ctrlProps/ctrlProp335.xml"/><Relationship Id="rId78" Type="http://schemas.openxmlformats.org/officeDocument/2006/relationships/ctrlProp" Target="../ctrlProps/ctrlProp340.xml"/><Relationship Id="rId94" Type="http://schemas.openxmlformats.org/officeDocument/2006/relationships/ctrlProp" Target="../ctrlProps/ctrlProp356.xml"/><Relationship Id="rId99" Type="http://schemas.openxmlformats.org/officeDocument/2006/relationships/ctrlProp" Target="../ctrlProps/ctrlProp361.xml"/><Relationship Id="rId101" Type="http://schemas.openxmlformats.org/officeDocument/2006/relationships/ctrlProp" Target="../ctrlProps/ctrlProp363.xml"/><Relationship Id="rId122" Type="http://schemas.openxmlformats.org/officeDocument/2006/relationships/ctrlProp" Target="../ctrlProps/ctrlProp384.xml"/><Relationship Id="rId143" Type="http://schemas.openxmlformats.org/officeDocument/2006/relationships/ctrlProp" Target="../ctrlProps/ctrlProp405.xml"/><Relationship Id="rId148" Type="http://schemas.openxmlformats.org/officeDocument/2006/relationships/ctrlProp" Target="../ctrlProps/ctrlProp410.xml"/><Relationship Id="rId164" Type="http://schemas.openxmlformats.org/officeDocument/2006/relationships/ctrlProp" Target="../ctrlProps/ctrlProp426.xml"/><Relationship Id="rId169" Type="http://schemas.openxmlformats.org/officeDocument/2006/relationships/ctrlProp" Target="../ctrlProps/ctrlProp431.xml"/><Relationship Id="rId185" Type="http://schemas.openxmlformats.org/officeDocument/2006/relationships/ctrlProp" Target="../ctrlProps/ctrlProp447.xml"/><Relationship Id="rId4" Type="http://schemas.openxmlformats.org/officeDocument/2006/relationships/ctrlProp" Target="../ctrlProps/ctrlProp266.xml"/><Relationship Id="rId9" Type="http://schemas.openxmlformats.org/officeDocument/2006/relationships/ctrlProp" Target="../ctrlProps/ctrlProp271.xml"/><Relationship Id="rId180" Type="http://schemas.openxmlformats.org/officeDocument/2006/relationships/ctrlProp" Target="../ctrlProps/ctrlProp442.xml"/><Relationship Id="rId210" Type="http://schemas.openxmlformats.org/officeDocument/2006/relationships/ctrlProp" Target="../ctrlProps/ctrlProp472.xml"/><Relationship Id="rId215" Type="http://schemas.openxmlformats.org/officeDocument/2006/relationships/ctrlProp" Target="../ctrlProps/ctrlProp477.xml"/><Relationship Id="rId26" Type="http://schemas.openxmlformats.org/officeDocument/2006/relationships/ctrlProp" Target="../ctrlProps/ctrlProp288.xml"/><Relationship Id="rId47" Type="http://schemas.openxmlformats.org/officeDocument/2006/relationships/ctrlProp" Target="../ctrlProps/ctrlProp309.xml"/><Relationship Id="rId68" Type="http://schemas.openxmlformats.org/officeDocument/2006/relationships/ctrlProp" Target="../ctrlProps/ctrlProp330.xml"/><Relationship Id="rId89" Type="http://schemas.openxmlformats.org/officeDocument/2006/relationships/ctrlProp" Target="../ctrlProps/ctrlProp351.xml"/><Relationship Id="rId112" Type="http://schemas.openxmlformats.org/officeDocument/2006/relationships/ctrlProp" Target="../ctrlProps/ctrlProp374.xml"/><Relationship Id="rId133" Type="http://schemas.openxmlformats.org/officeDocument/2006/relationships/ctrlProp" Target="../ctrlProps/ctrlProp395.xml"/><Relationship Id="rId154" Type="http://schemas.openxmlformats.org/officeDocument/2006/relationships/ctrlProp" Target="../ctrlProps/ctrlProp416.xml"/><Relationship Id="rId175" Type="http://schemas.openxmlformats.org/officeDocument/2006/relationships/ctrlProp" Target="../ctrlProps/ctrlProp437.xml"/><Relationship Id="rId196" Type="http://schemas.openxmlformats.org/officeDocument/2006/relationships/ctrlProp" Target="../ctrlProps/ctrlProp458.xml"/><Relationship Id="rId200" Type="http://schemas.openxmlformats.org/officeDocument/2006/relationships/ctrlProp" Target="../ctrlProps/ctrlProp462.xml"/><Relationship Id="rId16" Type="http://schemas.openxmlformats.org/officeDocument/2006/relationships/ctrlProp" Target="../ctrlProps/ctrlProp278.xml"/><Relationship Id="rId37" Type="http://schemas.openxmlformats.org/officeDocument/2006/relationships/ctrlProp" Target="../ctrlProps/ctrlProp299.xml"/><Relationship Id="rId58" Type="http://schemas.openxmlformats.org/officeDocument/2006/relationships/ctrlProp" Target="../ctrlProps/ctrlProp320.xml"/><Relationship Id="rId79" Type="http://schemas.openxmlformats.org/officeDocument/2006/relationships/ctrlProp" Target="../ctrlProps/ctrlProp341.xml"/><Relationship Id="rId102" Type="http://schemas.openxmlformats.org/officeDocument/2006/relationships/ctrlProp" Target="../ctrlProps/ctrlProp364.xml"/><Relationship Id="rId123" Type="http://schemas.openxmlformats.org/officeDocument/2006/relationships/ctrlProp" Target="../ctrlProps/ctrlProp385.xml"/><Relationship Id="rId144" Type="http://schemas.openxmlformats.org/officeDocument/2006/relationships/ctrlProp" Target="../ctrlProps/ctrlProp406.xml"/><Relationship Id="rId90" Type="http://schemas.openxmlformats.org/officeDocument/2006/relationships/ctrlProp" Target="../ctrlProps/ctrlProp352.xml"/><Relationship Id="rId165" Type="http://schemas.openxmlformats.org/officeDocument/2006/relationships/ctrlProp" Target="../ctrlProps/ctrlProp427.xml"/><Relationship Id="rId186" Type="http://schemas.openxmlformats.org/officeDocument/2006/relationships/ctrlProp" Target="../ctrlProps/ctrlProp448.xml"/><Relationship Id="rId211" Type="http://schemas.openxmlformats.org/officeDocument/2006/relationships/ctrlProp" Target="../ctrlProps/ctrlProp473.xml"/><Relationship Id="rId27" Type="http://schemas.openxmlformats.org/officeDocument/2006/relationships/ctrlProp" Target="../ctrlProps/ctrlProp289.xml"/><Relationship Id="rId48" Type="http://schemas.openxmlformats.org/officeDocument/2006/relationships/ctrlProp" Target="../ctrlProps/ctrlProp310.xml"/><Relationship Id="rId69" Type="http://schemas.openxmlformats.org/officeDocument/2006/relationships/ctrlProp" Target="../ctrlProps/ctrlProp331.xml"/><Relationship Id="rId113" Type="http://schemas.openxmlformats.org/officeDocument/2006/relationships/ctrlProp" Target="../ctrlProps/ctrlProp375.xml"/><Relationship Id="rId134" Type="http://schemas.openxmlformats.org/officeDocument/2006/relationships/ctrlProp" Target="../ctrlProps/ctrlProp396.xml"/><Relationship Id="rId80" Type="http://schemas.openxmlformats.org/officeDocument/2006/relationships/ctrlProp" Target="../ctrlProps/ctrlProp342.xml"/><Relationship Id="rId155" Type="http://schemas.openxmlformats.org/officeDocument/2006/relationships/ctrlProp" Target="../ctrlProps/ctrlProp417.xml"/><Relationship Id="rId176" Type="http://schemas.openxmlformats.org/officeDocument/2006/relationships/ctrlProp" Target="../ctrlProps/ctrlProp438.xml"/><Relationship Id="rId197" Type="http://schemas.openxmlformats.org/officeDocument/2006/relationships/ctrlProp" Target="../ctrlProps/ctrlProp459.xml"/><Relationship Id="rId201" Type="http://schemas.openxmlformats.org/officeDocument/2006/relationships/ctrlProp" Target="../ctrlProps/ctrlProp463.xml"/><Relationship Id="rId17" Type="http://schemas.openxmlformats.org/officeDocument/2006/relationships/ctrlProp" Target="../ctrlProps/ctrlProp279.xml"/><Relationship Id="rId38" Type="http://schemas.openxmlformats.org/officeDocument/2006/relationships/ctrlProp" Target="../ctrlProps/ctrlProp300.xml"/><Relationship Id="rId59" Type="http://schemas.openxmlformats.org/officeDocument/2006/relationships/ctrlProp" Target="../ctrlProps/ctrlProp321.xml"/><Relationship Id="rId103" Type="http://schemas.openxmlformats.org/officeDocument/2006/relationships/ctrlProp" Target="../ctrlProps/ctrlProp365.xml"/><Relationship Id="rId124" Type="http://schemas.openxmlformats.org/officeDocument/2006/relationships/ctrlProp" Target="../ctrlProps/ctrlProp386.xml"/><Relationship Id="rId70" Type="http://schemas.openxmlformats.org/officeDocument/2006/relationships/ctrlProp" Target="../ctrlProps/ctrlProp332.xml"/><Relationship Id="rId91" Type="http://schemas.openxmlformats.org/officeDocument/2006/relationships/ctrlProp" Target="../ctrlProps/ctrlProp353.xml"/><Relationship Id="rId145" Type="http://schemas.openxmlformats.org/officeDocument/2006/relationships/ctrlProp" Target="../ctrlProps/ctrlProp407.xml"/><Relationship Id="rId166" Type="http://schemas.openxmlformats.org/officeDocument/2006/relationships/ctrlProp" Target="../ctrlProps/ctrlProp428.xml"/><Relationship Id="rId187" Type="http://schemas.openxmlformats.org/officeDocument/2006/relationships/ctrlProp" Target="../ctrlProps/ctrlProp44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4.xml"/><Relationship Id="rId28" Type="http://schemas.openxmlformats.org/officeDocument/2006/relationships/ctrlProp" Target="../ctrlProps/ctrlProp290.xml"/><Relationship Id="rId49" Type="http://schemas.openxmlformats.org/officeDocument/2006/relationships/ctrlProp" Target="../ctrlProps/ctrlProp311.xml"/><Relationship Id="rId114" Type="http://schemas.openxmlformats.org/officeDocument/2006/relationships/ctrlProp" Target="../ctrlProps/ctrlProp376.xml"/><Relationship Id="rId60" Type="http://schemas.openxmlformats.org/officeDocument/2006/relationships/ctrlProp" Target="../ctrlProps/ctrlProp322.xml"/><Relationship Id="rId81" Type="http://schemas.openxmlformats.org/officeDocument/2006/relationships/ctrlProp" Target="../ctrlProps/ctrlProp343.xml"/><Relationship Id="rId135" Type="http://schemas.openxmlformats.org/officeDocument/2006/relationships/ctrlProp" Target="../ctrlProps/ctrlProp397.xml"/><Relationship Id="rId156" Type="http://schemas.openxmlformats.org/officeDocument/2006/relationships/ctrlProp" Target="../ctrlProps/ctrlProp418.xml"/><Relationship Id="rId177" Type="http://schemas.openxmlformats.org/officeDocument/2006/relationships/ctrlProp" Target="../ctrlProps/ctrlProp439.xml"/><Relationship Id="rId198" Type="http://schemas.openxmlformats.org/officeDocument/2006/relationships/ctrlProp" Target="../ctrlProps/ctrlProp460.xml"/><Relationship Id="rId202" Type="http://schemas.openxmlformats.org/officeDocument/2006/relationships/ctrlProp" Target="../ctrlProps/ctrlProp464.xml"/><Relationship Id="rId18" Type="http://schemas.openxmlformats.org/officeDocument/2006/relationships/ctrlProp" Target="../ctrlProps/ctrlProp280.xml"/><Relationship Id="rId39" Type="http://schemas.openxmlformats.org/officeDocument/2006/relationships/ctrlProp" Target="../ctrlProps/ctrlProp301.xml"/><Relationship Id="rId50" Type="http://schemas.openxmlformats.org/officeDocument/2006/relationships/ctrlProp" Target="../ctrlProps/ctrlProp312.xml"/><Relationship Id="rId104" Type="http://schemas.openxmlformats.org/officeDocument/2006/relationships/ctrlProp" Target="../ctrlProps/ctrlProp366.xml"/><Relationship Id="rId125" Type="http://schemas.openxmlformats.org/officeDocument/2006/relationships/ctrlProp" Target="../ctrlProps/ctrlProp387.xml"/><Relationship Id="rId146" Type="http://schemas.openxmlformats.org/officeDocument/2006/relationships/ctrlProp" Target="../ctrlProps/ctrlProp408.xml"/><Relationship Id="rId167" Type="http://schemas.openxmlformats.org/officeDocument/2006/relationships/ctrlProp" Target="../ctrlProps/ctrlProp429.xml"/><Relationship Id="rId188" Type="http://schemas.openxmlformats.org/officeDocument/2006/relationships/ctrlProp" Target="../ctrlProps/ctrlProp450.xml"/><Relationship Id="rId71" Type="http://schemas.openxmlformats.org/officeDocument/2006/relationships/ctrlProp" Target="../ctrlProps/ctrlProp333.xml"/><Relationship Id="rId92" Type="http://schemas.openxmlformats.org/officeDocument/2006/relationships/ctrlProp" Target="../ctrlProps/ctrlProp354.xml"/><Relationship Id="rId213" Type="http://schemas.openxmlformats.org/officeDocument/2006/relationships/ctrlProp" Target="../ctrlProps/ctrlProp47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1.xml"/><Relationship Id="rId40" Type="http://schemas.openxmlformats.org/officeDocument/2006/relationships/ctrlProp" Target="../ctrlProps/ctrlProp302.xml"/><Relationship Id="rId115" Type="http://schemas.openxmlformats.org/officeDocument/2006/relationships/ctrlProp" Target="../ctrlProps/ctrlProp377.xml"/><Relationship Id="rId136" Type="http://schemas.openxmlformats.org/officeDocument/2006/relationships/ctrlProp" Target="../ctrlProps/ctrlProp398.xml"/><Relationship Id="rId157" Type="http://schemas.openxmlformats.org/officeDocument/2006/relationships/ctrlProp" Target="../ctrlProps/ctrlProp419.xml"/><Relationship Id="rId178" Type="http://schemas.openxmlformats.org/officeDocument/2006/relationships/ctrlProp" Target="../ctrlProps/ctrlProp440.xml"/><Relationship Id="rId61" Type="http://schemas.openxmlformats.org/officeDocument/2006/relationships/ctrlProp" Target="../ctrlProps/ctrlProp323.xml"/><Relationship Id="rId82" Type="http://schemas.openxmlformats.org/officeDocument/2006/relationships/ctrlProp" Target="../ctrlProps/ctrlProp344.xml"/><Relationship Id="rId199" Type="http://schemas.openxmlformats.org/officeDocument/2006/relationships/ctrlProp" Target="../ctrlProps/ctrlProp461.xml"/><Relationship Id="rId203" Type="http://schemas.openxmlformats.org/officeDocument/2006/relationships/ctrlProp" Target="../ctrlProps/ctrlProp4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J13" sqref="J13:K1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6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73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v>44480</v>
      </c>
      <c r="V5" s="97"/>
      <c r="W5" s="98"/>
      <c r="X5" s="24" t="s">
        <v>30</v>
      </c>
      <c r="Y5" s="99">
        <v>0.50694444444444442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v>44480</v>
      </c>
      <c r="V6" s="97"/>
      <c r="W6" s="98"/>
      <c r="X6" s="24" t="s">
        <v>30</v>
      </c>
      <c r="Y6" s="99">
        <v>0.71875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">
        <v>72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25" t="s">
        <v>37</v>
      </c>
      <c r="G13" s="69" t="s">
        <v>14</v>
      </c>
      <c r="H13" s="69"/>
      <c r="I13" s="69"/>
      <c r="J13" s="84">
        <v>4.474487964887965</v>
      </c>
      <c r="K13" s="84">
        <v>33.17347386232386</v>
      </c>
      <c r="L13" s="69" t="s">
        <v>15</v>
      </c>
      <c r="M13" s="69"/>
      <c r="N13" s="69"/>
      <c r="O13" s="104">
        <v>60</v>
      </c>
      <c r="P13" s="105"/>
      <c r="Q13" s="106"/>
      <c r="R13" s="69" t="s">
        <v>16</v>
      </c>
      <c r="S13" s="69"/>
      <c r="T13" s="69"/>
      <c r="U13" s="74">
        <v>5</v>
      </c>
      <c r="V13" s="74"/>
      <c r="W13" s="69" t="s">
        <v>17</v>
      </c>
      <c r="X13" s="69"/>
      <c r="Y13" s="69"/>
      <c r="Z13" s="69"/>
      <c r="AA13" s="74">
        <v>2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25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 t="s">
        <v>57</v>
      </c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59</v>
      </c>
      <c r="B18" s="68"/>
      <c r="C18" s="68"/>
      <c r="D18" s="68"/>
      <c r="E18" s="68"/>
      <c r="F18" s="68"/>
      <c r="G18" s="16">
        <v>-5</v>
      </c>
      <c r="H18" s="16">
        <v>3</v>
      </c>
      <c r="I18" s="16"/>
      <c r="J18" s="51"/>
      <c r="K18" s="52"/>
      <c r="L18" s="53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39" t="s">
        <v>71</v>
      </c>
      <c r="B19" s="40"/>
      <c r="C19" s="40"/>
      <c r="D19" s="40"/>
      <c r="E19" s="40"/>
      <c r="F19" s="41"/>
      <c r="G19" s="16"/>
      <c r="H19" s="16">
        <v>2</v>
      </c>
      <c r="I19" s="16"/>
      <c r="J19" s="51"/>
      <c r="K19" s="52"/>
      <c r="L19" s="53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39" t="s">
        <v>60</v>
      </c>
      <c r="B20" s="40"/>
      <c r="C20" s="40"/>
      <c r="D20" s="40"/>
      <c r="E20" s="40"/>
      <c r="F20" s="41"/>
      <c r="G20" s="16"/>
      <c r="H20" s="32">
        <v>7</v>
      </c>
      <c r="I20" s="16"/>
      <c r="J20" s="51"/>
      <c r="K20" s="52"/>
      <c r="L20" s="53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39" t="s">
        <v>61</v>
      </c>
      <c r="B21" s="40"/>
      <c r="C21" s="40"/>
      <c r="D21" s="40"/>
      <c r="E21" s="40"/>
      <c r="F21" s="41"/>
      <c r="G21" s="16"/>
      <c r="H21" s="16">
        <v>203</v>
      </c>
      <c r="I21" s="16"/>
      <c r="J21" s="51"/>
      <c r="K21" s="52"/>
      <c r="L21" s="53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39" t="s">
        <v>70</v>
      </c>
      <c r="B22" s="40"/>
      <c r="C22" s="40"/>
      <c r="D22" s="40"/>
      <c r="E22" s="40"/>
      <c r="F22" s="41"/>
      <c r="G22" s="32" t="s">
        <v>58</v>
      </c>
      <c r="H22" s="16">
        <v>1</v>
      </c>
      <c r="I22" s="16"/>
      <c r="J22" s="51"/>
      <c r="K22" s="52"/>
      <c r="L22" s="53"/>
      <c r="M22" s="16"/>
      <c r="N22" s="16">
        <v>0</v>
      </c>
      <c r="O22" s="16"/>
      <c r="P22" s="54"/>
      <c r="Q22" s="54"/>
      <c r="R22" s="54"/>
      <c r="S22" s="54"/>
      <c r="T22" s="17"/>
      <c r="U22" s="32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39" t="s">
        <v>69</v>
      </c>
      <c r="B23" s="40"/>
      <c r="C23" s="40"/>
      <c r="D23" s="40"/>
      <c r="E23" s="40"/>
      <c r="F23" s="41"/>
      <c r="G23" s="16"/>
      <c r="H23" s="16">
        <v>2</v>
      </c>
      <c r="I23" s="16"/>
      <c r="J23" s="51"/>
      <c r="K23" s="52"/>
      <c r="L23" s="53"/>
      <c r="M23" s="16"/>
      <c r="N23" s="16">
        <v>0</v>
      </c>
      <c r="O23" s="16"/>
      <c r="P23" s="67"/>
      <c r="Q23" s="67"/>
      <c r="R23" s="67"/>
      <c r="S23" s="67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39" t="s">
        <v>66</v>
      </c>
      <c r="B24" s="40"/>
      <c r="C24" s="40"/>
      <c r="D24" s="40"/>
      <c r="E24" s="40"/>
      <c r="F24" s="41"/>
      <c r="G24" s="16"/>
      <c r="H24" s="16">
        <v>51</v>
      </c>
      <c r="I24" s="16"/>
      <c r="J24" s="51"/>
      <c r="K24" s="52"/>
      <c r="L24" s="53"/>
      <c r="M24" s="16"/>
      <c r="N24" s="16">
        <v>0</v>
      </c>
      <c r="O24" s="16"/>
      <c r="P24" s="67"/>
      <c r="Q24" s="67"/>
      <c r="R24" s="67"/>
      <c r="S24" s="67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39" t="s">
        <v>68</v>
      </c>
      <c r="B25" s="40"/>
      <c r="C25" s="40"/>
      <c r="D25" s="40"/>
      <c r="E25" s="40"/>
      <c r="F25" s="41"/>
      <c r="G25" s="16"/>
      <c r="H25" s="16">
        <v>5</v>
      </c>
      <c r="I25" s="16"/>
      <c r="J25" s="71"/>
      <c r="K25" s="72"/>
      <c r="L25" s="73"/>
      <c r="M25" s="16"/>
      <c r="N25" s="16">
        <v>0</v>
      </c>
      <c r="O25" s="16"/>
      <c r="P25" s="67"/>
      <c r="Q25" s="67"/>
      <c r="R25" s="67"/>
      <c r="S25" s="67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39" t="s">
        <v>62</v>
      </c>
      <c r="B26" s="40"/>
      <c r="C26" s="40"/>
      <c r="D26" s="40"/>
      <c r="E26" s="40"/>
      <c r="F26" s="41"/>
      <c r="G26" s="16"/>
      <c r="H26" s="16">
        <v>5</v>
      </c>
      <c r="I26" s="16"/>
      <c r="J26" s="71"/>
      <c r="K26" s="72"/>
      <c r="L26" s="73"/>
      <c r="M26" s="16"/>
      <c r="N26" s="16">
        <v>0</v>
      </c>
      <c r="O26" s="16"/>
      <c r="P26" s="67"/>
      <c r="Q26" s="67"/>
      <c r="R26" s="67"/>
      <c r="S26" s="67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39" t="s">
        <v>63</v>
      </c>
      <c r="B27" s="40"/>
      <c r="C27" s="40"/>
      <c r="D27" s="40"/>
      <c r="E27" s="40"/>
      <c r="F27" s="41"/>
      <c r="G27" s="16"/>
      <c r="H27" s="16">
        <v>11</v>
      </c>
      <c r="I27" s="16"/>
      <c r="J27" s="51"/>
      <c r="K27" s="52"/>
      <c r="L27" s="53"/>
      <c r="M27" s="16"/>
      <c r="N27" s="16">
        <v>0</v>
      </c>
      <c r="O27" s="16"/>
      <c r="P27" s="67"/>
      <c r="Q27" s="67"/>
      <c r="R27" s="67"/>
      <c r="S27" s="67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39" t="s">
        <v>64</v>
      </c>
      <c r="B28" s="40"/>
      <c r="C28" s="40"/>
      <c r="D28" s="40"/>
      <c r="E28" s="40"/>
      <c r="F28" s="41"/>
      <c r="G28" s="16"/>
      <c r="H28" s="16">
        <v>6</v>
      </c>
      <c r="I28" s="16"/>
      <c r="J28" s="51"/>
      <c r="K28" s="52"/>
      <c r="L28" s="53"/>
      <c r="M28" s="16"/>
      <c r="N28" s="16">
        <v>0</v>
      </c>
      <c r="O28" s="16"/>
      <c r="P28" s="67"/>
      <c r="Q28" s="67"/>
      <c r="R28" s="67"/>
      <c r="S28" s="67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39" t="s">
        <v>67</v>
      </c>
      <c r="B29" s="40"/>
      <c r="C29" s="40"/>
      <c r="D29" s="40"/>
      <c r="E29" s="40"/>
      <c r="F29" s="41"/>
      <c r="G29" s="16"/>
      <c r="H29" s="16">
        <v>9</v>
      </c>
      <c r="I29" s="16"/>
      <c r="J29" s="51"/>
      <c r="K29" s="52"/>
      <c r="L29" s="53"/>
      <c r="M29" s="16"/>
      <c r="N29" s="16">
        <v>0</v>
      </c>
      <c r="O29" s="16"/>
      <c r="P29" s="67"/>
      <c r="Q29" s="67"/>
      <c r="R29" s="67"/>
      <c r="S29" s="67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39"/>
      <c r="B30" s="40"/>
      <c r="C30" s="40"/>
      <c r="D30" s="40"/>
      <c r="E30" s="40"/>
      <c r="F30" s="41"/>
      <c r="G30" s="16"/>
      <c r="H30" s="16"/>
      <c r="I30" s="16"/>
      <c r="J30" s="51"/>
      <c r="K30" s="52"/>
      <c r="L30" s="53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/>
      <c r="I31" s="16"/>
      <c r="J31" s="51"/>
      <c r="K31" s="52"/>
      <c r="L31" s="53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/>
      <c r="I32" s="16"/>
      <c r="J32" s="51"/>
      <c r="K32" s="52"/>
      <c r="L32" s="53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39"/>
      <c r="B33" s="40"/>
      <c r="C33" s="40"/>
      <c r="D33" s="40"/>
      <c r="E33" s="40"/>
      <c r="F33" s="41"/>
      <c r="G33" s="16"/>
      <c r="H33" s="16">
        <v>0</v>
      </c>
      <c r="I33" s="16"/>
      <c r="J33" s="51"/>
      <c r="K33" s="52"/>
      <c r="L33" s="53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39"/>
      <c r="B34" s="40"/>
      <c r="C34" s="40"/>
      <c r="D34" s="40"/>
      <c r="E34" s="40"/>
      <c r="F34" s="41"/>
      <c r="G34" s="16"/>
      <c r="H34" s="16">
        <v>0</v>
      </c>
      <c r="I34" s="16"/>
      <c r="J34" s="51"/>
      <c r="K34" s="52"/>
      <c r="L34" s="53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39"/>
      <c r="B35" s="40"/>
      <c r="C35" s="40"/>
      <c r="D35" s="40"/>
      <c r="E35" s="40"/>
      <c r="F35" s="41"/>
      <c r="G35" s="16"/>
      <c r="H35" s="16">
        <v>0</v>
      </c>
      <c r="I35" s="16"/>
      <c r="J35" s="51"/>
      <c r="K35" s="52"/>
      <c r="L35" s="53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1"/>
      <c r="K36" s="52"/>
      <c r="L36" s="53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39"/>
      <c r="B37" s="40"/>
      <c r="C37" s="40"/>
      <c r="D37" s="40"/>
      <c r="E37" s="40"/>
      <c r="F37" s="41"/>
      <c r="G37" s="16"/>
      <c r="H37" s="16">
        <v>0</v>
      </c>
      <c r="I37" s="16"/>
      <c r="J37" s="51"/>
      <c r="K37" s="52"/>
      <c r="L37" s="53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5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2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3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4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5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6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7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8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9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0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2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3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4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5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6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7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8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9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0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1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2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3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4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5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6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7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8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9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0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1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2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3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4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5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6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7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48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49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0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1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2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3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4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5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6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7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58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9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0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1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2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63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64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65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9A86-0CCA-453C-8178-3E5474E0F970}">
  <sheetPr codeName="Hoja5"/>
  <dimension ref="A1:AC42"/>
  <sheetViews>
    <sheetView showGridLines="0" view="pageBreakPreview" topLeftCell="A8" zoomScaleNormal="100" zoomScaleSheetLayoutView="110" workbookViewId="0">
      <selection activeCell="H19" sqref="H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37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37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56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f>'Densidad de Grupos'!U5</f>
        <v>44480</v>
      </c>
      <c r="V5" s="97"/>
      <c r="W5" s="98"/>
      <c r="X5" s="24" t="s">
        <v>30</v>
      </c>
      <c r="Y5" s="99">
        <f>'Densidad de Grupos'!Y5</f>
        <v>0.50694444444444442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f>'Densidad de Grupos'!U6</f>
        <v>44480</v>
      </c>
      <c r="V6" s="97"/>
      <c r="W6" s="98"/>
      <c r="X6" s="24" t="s">
        <v>30</v>
      </c>
      <c r="Y6" s="99">
        <f>'Densidad de Grupos'!Y6</f>
        <v>0.71875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tr">
        <f>'Densidad de Grupos'!U9</f>
        <v>SP-21-0221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38" t="s">
        <v>37</v>
      </c>
      <c r="G13" s="69" t="s">
        <v>14</v>
      </c>
      <c r="H13" s="69"/>
      <c r="I13" s="69"/>
      <c r="J13" s="111">
        <f>'Densidad de Grupos'!J13</f>
        <v>4.474487964887965</v>
      </c>
      <c r="K13" s="111"/>
      <c r="L13" s="69" t="s">
        <v>15</v>
      </c>
      <c r="M13" s="69"/>
      <c r="N13" s="69"/>
      <c r="O13" s="104" t="s">
        <v>44</v>
      </c>
      <c r="P13" s="105"/>
      <c r="Q13" s="106"/>
      <c r="R13" s="69" t="s">
        <v>16</v>
      </c>
      <c r="S13" s="69"/>
      <c r="T13" s="69"/>
      <c r="U13" s="74" t="s">
        <v>44</v>
      </c>
      <c r="V13" s="74"/>
      <c r="W13" s="69" t="s">
        <v>17</v>
      </c>
      <c r="X13" s="69"/>
      <c r="Y13" s="69"/>
      <c r="Z13" s="69"/>
      <c r="AA13" s="74" t="s">
        <v>44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38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65</v>
      </c>
      <c r="B18" s="68"/>
      <c r="C18" s="68"/>
      <c r="D18" s="68"/>
      <c r="E18" s="68"/>
      <c r="F18" s="68"/>
      <c r="G18" s="16">
        <v>-5</v>
      </c>
      <c r="H18" s="16">
        <v>1</v>
      </c>
      <c r="I18" s="16"/>
      <c r="J18" s="56"/>
      <c r="K18" s="56"/>
      <c r="L18" s="56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68"/>
      <c r="B19" s="68"/>
      <c r="C19" s="68"/>
      <c r="D19" s="68"/>
      <c r="E19" s="68"/>
      <c r="F19" s="68"/>
      <c r="G19" s="16"/>
      <c r="H19" s="16">
        <v>0</v>
      </c>
      <c r="I19" s="16"/>
      <c r="J19" s="56"/>
      <c r="K19" s="56"/>
      <c r="L19" s="56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68"/>
      <c r="B20" s="68"/>
      <c r="C20" s="68"/>
      <c r="D20" s="68"/>
      <c r="E20" s="68"/>
      <c r="F20" s="68"/>
      <c r="G20" s="16"/>
      <c r="H20" s="16">
        <v>0</v>
      </c>
      <c r="I20" s="16"/>
      <c r="J20" s="56"/>
      <c r="K20" s="56"/>
      <c r="L20" s="56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68"/>
      <c r="B21" s="68"/>
      <c r="C21" s="68"/>
      <c r="D21" s="68"/>
      <c r="E21" s="68"/>
      <c r="F21" s="68"/>
      <c r="G21" s="16"/>
      <c r="H21" s="16">
        <v>0</v>
      </c>
      <c r="I21" s="16"/>
      <c r="J21" s="56"/>
      <c r="K21" s="56"/>
      <c r="L21" s="56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68"/>
      <c r="B22" s="68"/>
      <c r="C22" s="68"/>
      <c r="D22" s="68"/>
      <c r="E22" s="68"/>
      <c r="F22" s="68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4"/>
      <c r="Q22" s="54"/>
      <c r="R22" s="54"/>
      <c r="S22" s="54"/>
      <c r="T22" s="17"/>
      <c r="U22" s="16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68"/>
      <c r="B23" s="68"/>
      <c r="C23" s="68"/>
      <c r="D23" s="68"/>
      <c r="E23" s="68"/>
      <c r="F23" s="68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4"/>
      <c r="Q23" s="54"/>
      <c r="R23" s="54"/>
      <c r="S23" s="54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68"/>
      <c r="B24" s="68"/>
      <c r="C24" s="68"/>
      <c r="D24" s="68"/>
      <c r="E24" s="68"/>
      <c r="F24" s="68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4"/>
      <c r="Q24" s="54"/>
      <c r="R24" s="54"/>
      <c r="S24" s="54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68"/>
      <c r="B25" s="68"/>
      <c r="C25" s="68"/>
      <c r="D25" s="68"/>
      <c r="E25" s="68"/>
      <c r="F25" s="68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4"/>
      <c r="Q25" s="54"/>
      <c r="R25" s="54"/>
      <c r="S25" s="54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68"/>
      <c r="B26" s="68"/>
      <c r="C26" s="68"/>
      <c r="D26" s="68"/>
      <c r="E26" s="68"/>
      <c r="F26" s="68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4"/>
      <c r="Q26" s="54"/>
      <c r="R26" s="54"/>
      <c r="S26" s="54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68"/>
      <c r="B27" s="68"/>
      <c r="C27" s="68"/>
      <c r="D27" s="68"/>
      <c r="E27" s="68"/>
      <c r="F27" s="68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4"/>
      <c r="Q27" s="54"/>
      <c r="R27" s="54"/>
      <c r="S27" s="54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68"/>
      <c r="B28" s="68"/>
      <c r="C28" s="68"/>
      <c r="D28" s="68"/>
      <c r="E28" s="68"/>
      <c r="F28" s="68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4"/>
      <c r="Q28" s="54"/>
      <c r="R28" s="54"/>
      <c r="S28" s="54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68"/>
      <c r="B29" s="68"/>
      <c r="C29" s="68"/>
      <c r="D29" s="68"/>
      <c r="E29" s="68"/>
      <c r="F29" s="68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4"/>
      <c r="Q29" s="54"/>
      <c r="R29" s="54"/>
      <c r="S29" s="54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68"/>
      <c r="B30" s="68"/>
      <c r="C30" s="68"/>
      <c r="D30" s="68"/>
      <c r="E30" s="68"/>
      <c r="F30" s="68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68"/>
      <c r="B33" s="68"/>
      <c r="C33" s="68"/>
      <c r="D33" s="68"/>
      <c r="E33" s="68"/>
      <c r="F33" s="68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68"/>
      <c r="B34" s="68"/>
      <c r="C34" s="68"/>
      <c r="D34" s="68"/>
      <c r="E34" s="68"/>
      <c r="F34" s="68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68"/>
      <c r="B35" s="68"/>
      <c r="C35" s="68"/>
      <c r="D35" s="68"/>
      <c r="E35" s="68"/>
      <c r="F35" s="68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68"/>
      <c r="B36" s="68"/>
      <c r="C36" s="68"/>
      <c r="D36" s="68"/>
      <c r="E36" s="68"/>
      <c r="F36" s="68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68"/>
      <c r="B37" s="68"/>
      <c r="C37" s="68"/>
      <c r="D37" s="68"/>
      <c r="E37" s="68"/>
      <c r="F37" s="68"/>
      <c r="G37" s="16"/>
      <c r="H37" s="16">
        <v>0</v>
      </c>
      <c r="I37" s="16"/>
      <c r="J37" s="56"/>
      <c r="K37" s="56"/>
      <c r="L37" s="56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6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SP-21-0221</v>
      </c>
      <c r="B2" s="29">
        <f>'Densidad de Grupos'!J13</f>
        <v>4.474487964887965</v>
      </c>
      <c r="C2" s="29">
        <f>'Densidad de Grupos'!O13</f>
        <v>60</v>
      </c>
      <c r="D2" s="29">
        <f>'Densidad de Grupos'!U13</f>
        <v>5</v>
      </c>
      <c r="E2" s="29">
        <f>'Densidad de Grupos'!AA13</f>
        <v>2</v>
      </c>
      <c r="F2" s="29">
        <f>E2*D2</f>
        <v>10</v>
      </c>
      <c r="G2" s="26" t="str">
        <f>'Densidad de Grupos'!A18</f>
        <v>Decapoda (Anomura Zoea)</v>
      </c>
      <c r="H2" s="26">
        <f>'Densidad de Grupos'!H18</f>
        <v>3</v>
      </c>
      <c r="I2" s="28">
        <f>((H2*C2)/(F2*B2))*2</f>
        <v>8.0456133265968894</v>
      </c>
      <c r="J2" s="28">
        <f>I2*1000</f>
        <v>8045.6133265968892</v>
      </c>
    </row>
    <row r="3" spans="1:10" x14ac:dyDescent="0.2">
      <c r="A3" s="27" t="str">
        <f>$A$2</f>
        <v>SP-21-0221</v>
      </c>
      <c r="B3" s="29">
        <f>$B$2</f>
        <v>4.474487964887965</v>
      </c>
      <c r="C3" s="29">
        <f>$C$2</f>
        <v>60</v>
      </c>
      <c r="D3" s="29">
        <f>$D$2</f>
        <v>5</v>
      </c>
      <c r="E3" s="29">
        <f>$E$2</f>
        <v>2</v>
      </c>
      <c r="F3" s="29">
        <f>$F$2</f>
        <v>10</v>
      </c>
      <c r="G3" s="26" t="str">
        <f>'Densidad de Grupos'!A19</f>
        <v>Mysidacea</v>
      </c>
      <c r="H3" s="26">
        <f>'Densidad de Grupos'!H19</f>
        <v>2</v>
      </c>
      <c r="I3" s="28">
        <f t="shared" ref="I3:I65" si="0">((H3*C3)/(F3*B3))*2</f>
        <v>5.363742217731259</v>
      </c>
      <c r="J3" s="28">
        <f t="shared" ref="J3:J65" si="1">I3*1000</f>
        <v>5363.7422177312592</v>
      </c>
    </row>
    <row r="4" spans="1:10" x14ac:dyDescent="0.2">
      <c r="A4" s="27" t="str">
        <f t="shared" ref="A4:A65" si="2">$A$2</f>
        <v>SP-21-0221</v>
      </c>
      <c r="B4" s="29">
        <f t="shared" ref="B4:B65" si="3">$B$2</f>
        <v>4.474487964887965</v>
      </c>
      <c r="C4" s="29">
        <f t="shared" ref="C4:C65" si="4">$C$2</f>
        <v>60</v>
      </c>
      <c r="D4" s="29">
        <f t="shared" ref="D4:D65" si="5">$D$2</f>
        <v>5</v>
      </c>
      <c r="E4" s="29">
        <f t="shared" ref="E4:E65" si="6">$E$2</f>
        <v>2</v>
      </c>
      <c r="F4" s="29">
        <f t="shared" ref="F4:F65" si="7">$F$2</f>
        <v>10</v>
      </c>
      <c r="G4" s="26" t="str">
        <f>'Densidad de Grupos'!A20</f>
        <v>Decapoda (Brachyura Zoea)</v>
      </c>
      <c r="H4" s="26">
        <f>'Densidad de Grupos'!H20</f>
        <v>7</v>
      </c>
      <c r="I4" s="31">
        <f t="shared" si="0"/>
        <v>18.773097762059408</v>
      </c>
      <c r="J4" s="28">
        <f t="shared" si="1"/>
        <v>18773.097762059406</v>
      </c>
    </row>
    <row r="5" spans="1:10" x14ac:dyDescent="0.2">
      <c r="A5" s="27" t="str">
        <f t="shared" si="2"/>
        <v>SP-21-0221</v>
      </c>
      <c r="B5" s="29">
        <f t="shared" si="3"/>
        <v>4.474487964887965</v>
      </c>
      <c r="C5" s="29">
        <f t="shared" si="4"/>
        <v>60</v>
      </c>
      <c r="D5" s="29">
        <f t="shared" si="5"/>
        <v>5</v>
      </c>
      <c r="E5" s="29">
        <f t="shared" si="6"/>
        <v>2</v>
      </c>
      <c r="F5" s="29">
        <f t="shared" si="7"/>
        <v>10</v>
      </c>
      <c r="G5" s="26" t="str">
        <f>'Densidad de Grupos'!A21</f>
        <v>Copepoda (Calanoida)</v>
      </c>
      <c r="H5" s="26">
        <f>'Densidad de Grupos'!H21</f>
        <v>203</v>
      </c>
      <c r="I5" s="28">
        <f t="shared" si="0"/>
        <v>544.41983509972283</v>
      </c>
      <c r="J5" s="28">
        <f t="shared" si="1"/>
        <v>544419.83509972284</v>
      </c>
    </row>
    <row r="6" spans="1:10" x14ac:dyDescent="0.2">
      <c r="A6" s="27" t="str">
        <f t="shared" si="2"/>
        <v>SP-21-0221</v>
      </c>
      <c r="B6" s="29">
        <f t="shared" si="3"/>
        <v>4.474487964887965</v>
      </c>
      <c r="C6" s="29">
        <f t="shared" si="4"/>
        <v>60</v>
      </c>
      <c r="D6" s="29">
        <f t="shared" si="5"/>
        <v>5</v>
      </c>
      <c r="E6" s="29">
        <f t="shared" si="6"/>
        <v>2</v>
      </c>
      <c r="F6" s="29">
        <f t="shared" si="7"/>
        <v>10</v>
      </c>
      <c r="G6" s="26" t="str">
        <f>'Densidad de Grupos'!A22</f>
        <v>Amphipoda (Hyperiidae)</v>
      </c>
      <c r="H6" s="26">
        <f>'Densidad de Grupos'!H22</f>
        <v>1</v>
      </c>
      <c r="I6" s="31">
        <f t="shared" si="0"/>
        <v>2.6818711088656295</v>
      </c>
      <c r="J6" s="28">
        <f t="shared" si="1"/>
        <v>2681.8711088656296</v>
      </c>
    </row>
    <row r="7" spans="1:10" x14ac:dyDescent="0.2">
      <c r="A7" s="27" t="str">
        <f t="shared" si="2"/>
        <v>SP-21-0221</v>
      </c>
      <c r="B7" s="29">
        <f t="shared" si="3"/>
        <v>4.474487964887965</v>
      </c>
      <c r="C7" s="29">
        <f t="shared" si="4"/>
        <v>60</v>
      </c>
      <c r="D7" s="29">
        <f t="shared" si="5"/>
        <v>5</v>
      </c>
      <c r="E7" s="29">
        <f t="shared" si="6"/>
        <v>2</v>
      </c>
      <c r="F7" s="29">
        <f t="shared" si="7"/>
        <v>10</v>
      </c>
      <c r="G7" s="26" t="str">
        <f>'Densidad de Grupos'!A23</f>
        <v>Brachiopoda (Lingula)</v>
      </c>
      <c r="H7" s="26">
        <f>'Densidad de Grupos'!H23</f>
        <v>2</v>
      </c>
      <c r="I7" s="31">
        <f t="shared" si="0"/>
        <v>5.363742217731259</v>
      </c>
      <c r="J7" s="28">
        <f t="shared" si="1"/>
        <v>5363.7422177312592</v>
      </c>
    </row>
    <row r="8" spans="1:10" x14ac:dyDescent="0.2">
      <c r="A8" s="27" t="str">
        <f t="shared" si="2"/>
        <v>SP-21-0221</v>
      </c>
      <c r="B8" s="29">
        <f t="shared" si="3"/>
        <v>4.474487964887965</v>
      </c>
      <c r="C8" s="29">
        <f t="shared" si="4"/>
        <v>60</v>
      </c>
      <c r="D8" s="29">
        <f t="shared" si="5"/>
        <v>5</v>
      </c>
      <c r="E8" s="29">
        <f t="shared" si="6"/>
        <v>2</v>
      </c>
      <c r="F8" s="29">
        <f t="shared" si="7"/>
        <v>10</v>
      </c>
      <c r="G8" s="26" t="str">
        <f>'Densidad de Grupos'!A24</f>
        <v>Chaetognatha</v>
      </c>
      <c r="H8" s="26">
        <f>'Densidad de Grupos'!H24</f>
        <v>51</v>
      </c>
      <c r="I8" s="31">
        <f t="shared" si="0"/>
        <v>136.77542655214711</v>
      </c>
      <c r="J8" s="28">
        <f t="shared" si="1"/>
        <v>136775.42655214711</v>
      </c>
    </row>
    <row r="9" spans="1:10" x14ac:dyDescent="0.2">
      <c r="A9" s="27" t="str">
        <f t="shared" si="2"/>
        <v>SP-21-0221</v>
      </c>
      <c r="B9" s="29">
        <f t="shared" si="3"/>
        <v>4.474487964887965</v>
      </c>
      <c r="C9" s="29">
        <f t="shared" si="4"/>
        <v>60</v>
      </c>
      <c r="D9" s="29">
        <f t="shared" si="5"/>
        <v>5</v>
      </c>
      <c r="E9" s="29">
        <f t="shared" si="6"/>
        <v>2</v>
      </c>
      <c r="F9" s="29">
        <f t="shared" si="7"/>
        <v>10</v>
      </c>
      <c r="G9" s="26" t="str">
        <f>'Densidad de Grupos'!A25</f>
        <v>Mollusca (Limacina)</v>
      </c>
      <c r="H9" s="26">
        <f>'Densidad de Grupos'!H25</f>
        <v>5</v>
      </c>
      <c r="I9" s="31">
        <f t="shared" si="0"/>
        <v>13.409355544328148</v>
      </c>
      <c r="J9" s="28">
        <f t="shared" si="1"/>
        <v>13409.355544328149</v>
      </c>
    </row>
    <row r="10" spans="1:10" x14ac:dyDescent="0.2">
      <c r="A10" s="27" t="str">
        <f t="shared" si="2"/>
        <v>SP-21-0221</v>
      </c>
      <c r="B10" s="29">
        <f t="shared" si="3"/>
        <v>4.474487964887965</v>
      </c>
      <c r="C10" s="29">
        <f t="shared" si="4"/>
        <v>60</v>
      </c>
      <c r="D10" s="29">
        <f t="shared" si="5"/>
        <v>5</v>
      </c>
      <c r="E10" s="29">
        <f t="shared" si="6"/>
        <v>2</v>
      </c>
      <c r="F10" s="29">
        <f t="shared" si="7"/>
        <v>10</v>
      </c>
      <c r="G10" s="26" t="str">
        <f>'Densidad de Grupos'!A26</f>
        <v>Mollusca (Atlanta)</v>
      </c>
      <c r="H10" s="26">
        <f>'Densidad de Grupos'!H26</f>
        <v>5</v>
      </c>
      <c r="I10" s="31">
        <f t="shared" si="0"/>
        <v>13.409355544328148</v>
      </c>
      <c r="J10" s="28">
        <f t="shared" si="1"/>
        <v>13409.355544328149</v>
      </c>
    </row>
    <row r="11" spans="1:10" x14ac:dyDescent="0.2">
      <c r="A11" s="27" t="str">
        <f t="shared" si="2"/>
        <v>SP-21-0221</v>
      </c>
      <c r="B11" s="29">
        <f t="shared" si="3"/>
        <v>4.474487964887965</v>
      </c>
      <c r="C11" s="29">
        <f t="shared" si="4"/>
        <v>60</v>
      </c>
      <c r="D11" s="29">
        <f t="shared" si="5"/>
        <v>5</v>
      </c>
      <c r="E11" s="29">
        <f t="shared" si="6"/>
        <v>2</v>
      </c>
      <c r="F11" s="29">
        <f t="shared" si="7"/>
        <v>10</v>
      </c>
      <c r="G11" s="26" t="str">
        <f>'Densidad de Grupos'!A27</f>
        <v>Pez (Huevo)</v>
      </c>
      <c r="H11" s="26">
        <f>'Densidad de Grupos'!H27</f>
        <v>11</v>
      </c>
      <c r="I11" s="31">
        <f t="shared" si="0"/>
        <v>29.500582197521926</v>
      </c>
      <c r="J11" s="28">
        <f t="shared" si="1"/>
        <v>29500.582197521926</v>
      </c>
    </row>
    <row r="12" spans="1:10" x14ac:dyDescent="0.2">
      <c r="A12" s="27" t="str">
        <f t="shared" si="2"/>
        <v>SP-21-0221</v>
      </c>
      <c r="B12" s="29">
        <f t="shared" si="3"/>
        <v>4.474487964887965</v>
      </c>
      <c r="C12" s="29">
        <f t="shared" si="4"/>
        <v>60</v>
      </c>
      <c r="D12" s="29">
        <f t="shared" si="5"/>
        <v>5</v>
      </c>
      <c r="E12" s="29">
        <f t="shared" si="6"/>
        <v>2</v>
      </c>
      <c r="F12" s="29">
        <f t="shared" si="7"/>
        <v>10</v>
      </c>
      <c r="G12" s="26" t="str">
        <f>'Densidad de Grupos'!A28</f>
        <v>Copepoda (Cyclopoida)</v>
      </c>
      <c r="H12" s="26">
        <f>'Densidad de Grupos'!H28</f>
        <v>6</v>
      </c>
      <c r="I12" s="31">
        <f t="shared" si="0"/>
        <v>16.091226653193779</v>
      </c>
      <c r="J12" s="28">
        <f t="shared" si="1"/>
        <v>16091.226653193778</v>
      </c>
    </row>
    <row r="13" spans="1:10" x14ac:dyDescent="0.2">
      <c r="A13" s="27" t="str">
        <f t="shared" si="2"/>
        <v>SP-21-0221</v>
      </c>
      <c r="B13" s="29">
        <f t="shared" si="3"/>
        <v>4.474487964887965</v>
      </c>
      <c r="C13" s="29">
        <f t="shared" si="4"/>
        <v>60</v>
      </c>
      <c r="D13" s="29">
        <f t="shared" si="5"/>
        <v>5</v>
      </c>
      <c r="E13" s="29">
        <f t="shared" si="6"/>
        <v>2</v>
      </c>
      <c r="F13" s="29">
        <f t="shared" si="7"/>
        <v>10</v>
      </c>
      <c r="G13" s="26" t="str">
        <f>'Densidad de Grupos'!A29</f>
        <v>Mollusca (Creseis)</v>
      </c>
      <c r="H13" s="26">
        <f>'Densidad de Grupos'!H29</f>
        <v>9</v>
      </c>
      <c r="I13" s="31">
        <f t="shared" si="0"/>
        <v>24.136839979790665</v>
      </c>
      <c r="J13" s="28">
        <f t="shared" si="1"/>
        <v>24136.839979790664</v>
      </c>
    </row>
    <row r="14" spans="1:10" x14ac:dyDescent="0.2">
      <c r="A14" s="27" t="str">
        <f t="shared" si="2"/>
        <v>SP-21-0221</v>
      </c>
      <c r="B14" s="29">
        <f t="shared" si="3"/>
        <v>4.474487964887965</v>
      </c>
      <c r="C14" s="29">
        <f t="shared" si="4"/>
        <v>60</v>
      </c>
      <c r="D14" s="29">
        <f t="shared" si="5"/>
        <v>5</v>
      </c>
      <c r="E14" s="29">
        <f t="shared" si="6"/>
        <v>2</v>
      </c>
      <c r="F14" s="29">
        <f t="shared" si="7"/>
        <v>10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SP-21-0221</v>
      </c>
      <c r="B15" s="29">
        <f t="shared" si="3"/>
        <v>4.474487964887965</v>
      </c>
      <c r="C15" s="29">
        <f t="shared" si="4"/>
        <v>60</v>
      </c>
      <c r="D15" s="29">
        <f t="shared" si="5"/>
        <v>5</v>
      </c>
      <c r="E15" s="29">
        <f t="shared" si="6"/>
        <v>2</v>
      </c>
      <c r="F15" s="29">
        <f t="shared" si="7"/>
        <v>10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SP-21-0221</v>
      </c>
      <c r="B16" s="29">
        <f t="shared" si="3"/>
        <v>4.474487964887965</v>
      </c>
      <c r="C16" s="29">
        <f t="shared" si="4"/>
        <v>60</v>
      </c>
      <c r="D16" s="29">
        <f t="shared" si="5"/>
        <v>5</v>
      </c>
      <c r="E16" s="29">
        <f t="shared" si="6"/>
        <v>2</v>
      </c>
      <c r="F16" s="29">
        <f t="shared" si="7"/>
        <v>10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SP-21-0221</v>
      </c>
      <c r="B17" s="29">
        <f t="shared" si="3"/>
        <v>4.474487964887965</v>
      </c>
      <c r="C17" s="29">
        <f t="shared" si="4"/>
        <v>60</v>
      </c>
      <c r="D17" s="29">
        <f t="shared" si="5"/>
        <v>5</v>
      </c>
      <c r="E17" s="29">
        <f t="shared" si="6"/>
        <v>2</v>
      </c>
      <c r="F17" s="29">
        <f t="shared" si="7"/>
        <v>10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SP-21-0221</v>
      </c>
      <c r="B18" s="29">
        <f t="shared" si="3"/>
        <v>4.474487964887965</v>
      </c>
      <c r="C18" s="29">
        <f t="shared" si="4"/>
        <v>60</v>
      </c>
      <c r="D18" s="29">
        <f t="shared" si="5"/>
        <v>5</v>
      </c>
      <c r="E18" s="29">
        <f t="shared" si="6"/>
        <v>2</v>
      </c>
      <c r="F18" s="29">
        <f t="shared" si="7"/>
        <v>10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SP-21-0221</v>
      </c>
      <c r="B19" s="29">
        <f t="shared" si="3"/>
        <v>4.474487964887965</v>
      </c>
      <c r="C19" s="29">
        <f t="shared" si="4"/>
        <v>60</v>
      </c>
      <c r="D19" s="29">
        <f t="shared" si="5"/>
        <v>5</v>
      </c>
      <c r="E19" s="29">
        <f t="shared" si="6"/>
        <v>2</v>
      </c>
      <c r="F19" s="29">
        <f t="shared" si="7"/>
        <v>10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SP-21-0221</v>
      </c>
      <c r="B20" s="29">
        <f t="shared" si="3"/>
        <v>4.474487964887965</v>
      </c>
      <c r="C20" s="29">
        <f t="shared" si="4"/>
        <v>60</v>
      </c>
      <c r="D20" s="29">
        <f t="shared" si="5"/>
        <v>5</v>
      </c>
      <c r="E20" s="29">
        <f t="shared" si="6"/>
        <v>2</v>
      </c>
      <c r="F20" s="29">
        <f t="shared" si="7"/>
        <v>10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SP-21-0221</v>
      </c>
      <c r="B21" s="34">
        <f t="shared" si="3"/>
        <v>4.474487964887965</v>
      </c>
      <c r="C21" s="34">
        <f t="shared" si="4"/>
        <v>60</v>
      </c>
      <c r="D21" s="34">
        <f t="shared" si="5"/>
        <v>5</v>
      </c>
      <c r="E21" s="34">
        <f t="shared" si="6"/>
        <v>2</v>
      </c>
      <c r="F21" s="34">
        <f t="shared" si="7"/>
        <v>10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SP-21-0221</v>
      </c>
      <c r="B22" s="29">
        <f t="shared" si="3"/>
        <v>4.474487964887965</v>
      </c>
      <c r="C22" s="29">
        <f t="shared" si="4"/>
        <v>60</v>
      </c>
      <c r="D22" s="29">
        <f t="shared" si="5"/>
        <v>5</v>
      </c>
      <c r="E22" s="29">
        <f t="shared" si="6"/>
        <v>2</v>
      </c>
      <c r="F22" s="29">
        <f t="shared" si="7"/>
        <v>10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SP-21-0221</v>
      </c>
      <c r="B23" s="29">
        <f t="shared" si="3"/>
        <v>4.474487964887965</v>
      </c>
      <c r="C23" s="29">
        <f t="shared" si="4"/>
        <v>60</v>
      </c>
      <c r="D23" s="29">
        <f t="shared" si="5"/>
        <v>5</v>
      </c>
      <c r="E23" s="29">
        <f t="shared" si="6"/>
        <v>2</v>
      </c>
      <c r="F23" s="29">
        <f t="shared" si="7"/>
        <v>10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SP-21-0221</v>
      </c>
      <c r="B24" s="29">
        <f t="shared" si="3"/>
        <v>4.474487964887965</v>
      </c>
      <c r="C24" s="29">
        <f t="shared" si="4"/>
        <v>60</v>
      </c>
      <c r="D24" s="29">
        <f t="shared" si="5"/>
        <v>5</v>
      </c>
      <c r="E24" s="29">
        <f t="shared" si="6"/>
        <v>2</v>
      </c>
      <c r="F24" s="29">
        <f t="shared" si="7"/>
        <v>10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SP-21-0221</v>
      </c>
      <c r="B25" s="29">
        <f t="shared" si="3"/>
        <v>4.474487964887965</v>
      </c>
      <c r="C25" s="29">
        <f t="shared" si="4"/>
        <v>60</v>
      </c>
      <c r="D25" s="29">
        <f t="shared" si="5"/>
        <v>5</v>
      </c>
      <c r="E25" s="29">
        <f t="shared" si="6"/>
        <v>2</v>
      </c>
      <c r="F25" s="29">
        <f t="shared" si="7"/>
        <v>10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SP-21-0221</v>
      </c>
      <c r="B26" s="29">
        <f t="shared" si="3"/>
        <v>4.474487964887965</v>
      </c>
      <c r="C26" s="29">
        <f t="shared" si="4"/>
        <v>60</v>
      </c>
      <c r="D26" s="29">
        <f t="shared" si="5"/>
        <v>5</v>
      </c>
      <c r="E26" s="29">
        <f t="shared" si="6"/>
        <v>2</v>
      </c>
      <c r="F26" s="29">
        <f t="shared" si="7"/>
        <v>10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SP-21-0221</v>
      </c>
      <c r="B27" s="29">
        <f t="shared" si="3"/>
        <v>4.474487964887965</v>
      </c>
      <c r="C27" s="29">
        <f t="shared" si="4"/>
        <v>60</v>
      </c>
      <c r="D27" s="29">
        <f t="shared" si="5"/>
        <v>5</v>
      </c>
      <c r="E27" s="29">
        <f t="shared" si="6"/>
        <v>2</v>
      </c>
      <c r="F27" s="29">
        <f t="shared" si="7"/>
        <v>10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SP-21-0221</v>
      </c>
      <c r="B28" s="29">
        <f t="shared" si="3"/>
        <v>4.474487964887965</v>
      </c>
      <c r="C28" s="29">
        <f t="shared" si="4"/>
        <v>60</v>
      </c>
      <c r="D28" s="29">
        <f t="shared" si="5"/>
        <v>5</v>
      </c>
      <c r="E28" s="29">
        <f t="shared" si="6"/>
        <v>2</v>
      </c>
      <c r="F28" s="29">
        <f t="shared" si="7"/>
        <v>10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SP-21-0221</v>
      </c>
      <c r="B29" s="29">
        <f t="shared" si="3"/>
        <v>4.474487964887965</v>
      </c>
      <c r="C29" s="29">
        <f t="shared" si="4"/>
        <v>60</v>
      </c>
      <c r="D29" s="29">
        <f t="shared" si="5"/>
        <v>5</v>
      </c>
      <c r="E29" s="29">
        <f t="shared" si="6"/>
        <v>2</v>
      </c>
      <c r="F29" s="29">
        <f t="shared" si="7"/>
        <v>10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SP-21-0221</v>
      </c>
      <c r="B30" s="29">
        <f t="shared" si="3"/>
        <v>4.474487964887965</v>
      </c>
      <c r="C30" s="29">
        <f t="shared" si="4"/>
        <v>60</v>
      </c>
      <c r="D30" s="29">
        <f t="shared" si="5"/>
        <v>5</v>
      </c>
      <c r="E30" s="29">
        <f t="shared" si="6"/>
        <v>2</v>
      </c>
      <c r="F30" s="29">
        <f t="shared" si="7"/>
        <v>10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SP-21-0221</v>
      </c>
      <c r="B31" s="29">
        <f t="shared" si="3"/>
        <v>4.474487964887965</v>
      </c>
      <c r="C31" s="29">
        <f t="shared" si="4"/>
        <v>60</v>
      </c>
      <c r="D31" s="29">
        <f t="shared" si="5"/>
        <v>5</v>
      </c>
      <c r="E31" s="29">
        <f t="shared" si="6"/>
        <v>2</v>
      </c>
      <c r="F31" s="29">
        <f t="shared" si="7"/>
        <v>10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SP-21-0221</v>
      </c>
      <c r="B32" s="29">
        <f t="shared" si="3"/>
        <v>4.474487964887965</v>
      </c>
      <c r="C32" s="29">
        <f t="shared" si="4"/>
        <v>60</v>
      </c>
      <c r="D32" s="29">
        <f t="shared" si="5"/>
        <v>5</v>
      </c>
      <c r="E32" s="29">
        <f t="shared" si="6"/>
        <v>2</v>
      </c>
      <c r="F32" s="29">
        <f t="shared" si="7"/>
        <v>10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SP-21-0221</v>
      </c>
      <c r="B33" s="29">
        <f t="shared" si="3"/>
        <v>4.474487964887965</v>
      </c>
      <c r="C33" s="29">
        <f t="shared" si="4"/>
        <v>60</v>
      </c>
      <c r="D33" s="29">
        <f t="shared" si="5"/>
        <v>5</v>
      </c>
      <c r="E33" s="29">
        <f t="shared" si="6"/>
        <v>2</v>
      </c>
      <c r="F33" s="29">
        <f t="shared" si="7"/>
        <v>10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SP-21-0221</v>
      </c>
      <c r="B34" s="29">
        <f t="shared" si="3"/>
        <v>4.474487964887965</v>
      </c>
      <c r="C34" s="29">
        <f t="shared" si="4"/>
        <v>60</v>
      </c>
      <c r="D34" s="29">
        <f t="shared" si="5"/>
        <v>5</v>
      </c>
      <c r="E34" s="29">
        <f t="shared" si="6"/>
        <v>2</v>
      </c>
      <c r="F34" s="29">
        <f t="shared" si="7"/>
        <v>10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SP-21-0221</v>
      </c>
      <c r="B35" s="29">
        <f t="shared" si="3"/>
        <v>4.474487964887965</v>
      </c>
      <c r="C35" s="29">
        <f t="shared" si="4"/>
        <v>60</v>
      </c>
      <c r="D35" s="29">
        <f t="shared" si="5"/>
        <v>5</v>
      </c>
      <c r="E35" s="29">
        <f t="shared" si="6"/>
        <v>2</v>
      </c>
      <c r="F35" s="29">
        <f t="shared" si="7"/>
        <v>10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SP-21-0221</v>
      </c>
      <c r="B36" s="29">
        <f t="shared" si="3"/>
        <v>4.474487964887965</v>
      </c>
      <c r="C36" s="29">
        <f t="shared" si="4"/>
        <v>60</v>
      </c>
      <c r="D36" s="29">
        <f t="shared" si="5"/>
        <v>5</v>
      </c>
      <c r="E36" s="29">
        <f t="shared" si="6"/>
        <v>2</v>
      </c>
      <c r="F36" s="29">
        <f t="shared" si="7"/>
        <v>10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SP-21-0221</v>
      </c>
      <c r="B37" s="29">
        <f t="shared" si="3"/>
        <v>4.474487964887965</v>
      </c>
      <c r="C37" s="29">
        <f t="shared" si="4"/>
        <v>60</v>
      </c>
      <c r="D37" s="29">
        <f t="shared" si="5"/>
        <v>5</v>
      </c>
      <c r="E37" s="29">
        <f t="shared" si="6"/>
        <v>2</v>
      </c>
      <c r="F37" s="29">
        <f t="shared" si="7"/>
        <v>10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SP-21-0221</v>
      </c>
      <c r="B38" s="29">
        <f t="shared" si="3"/>
        <v>4.474487964887965</v>
      </c>
      <c r="C38" s="29">
        <f t="shared" si="4"/>
        <v>60</v>
      </c>
      <c r="D38" s="29">
        <f t="shared" si="5"/>
        <v>5</v>
      </c>
      <c r="E38" s="29">
        <f t="shared" si="6"/>
        <v>2</v>
      </c>
      <c r="F38" s="29">
        <f t="shared" si="7"/>
        <v>10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SP-21-0221</v>
      </c>
      <c r="B39" s="29">
        <f t="shared" si="3"/>
        <v>4.474487964887965</v>
      </c>
      <c r="C39" s="29">
        <f t="shared" si="4"/>
        <v>60</v>
      </c>
      <c r="D39" s="29">
        <f t="shared" si="5"/>
        <v>5</v>
      </c>
      <c r="E39" s="29">
        <f t="shared" si="6"/>
        <v>2</v>
      </c>
      <c r="F39" s="29">
        <f t="shared" si="7"/>
        <v>10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SP-21-0221</v>
      </c>
      <c r="B40" s="29">
        <f t="shared" si="3"/>
        <v>4.474487964887965</v>
      </c>
      <c r="C40" s="29">
        <f t="shared" si="4"/>
        <v>60</v>
      </c>
      <c r="D40" s="29">
        <f t="shared" si="5"/>
        <v>5</v>
      </c>
      <c r="E40" s="29">
        <f t="shared" si="6"/>
        <v>2</v>
      </c>
      <c r="F40" s="29">
        <f t="shared" si="7"/>
        <v>10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SP-21-0221</v>
      </c>
      <c r="B41" s="34">
        <f t="shared" si="3"/>
        <v>4.474487964887965</v>
      </c>
      <c r="C41" s="34">
        <f t="shared" si="4"/>
        <v>60</v>
      </c>
      <c r="D41" s="34">
        <f t="shared" si="5"/>
        <v>5</v>
      </c>
      <c r="E41" s="34">
        <f t="shared" si="6"/>
        <v>2</v>
      </c>
      <c r="F41" s="34">
        <f t="shared" si="7"/>
        <v>10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SP-21-0221</v>
      </c>
      <c r="B42" s="29">
        <f t="shared" si="3"/>
        <v>4.474487964887965</v>
      </c>
      <c r="C42" s="29">
        <f t="shared" si="4"/>
        <v>60</v>
      </c>
      <c r="D42" s="29">
        <f t="shared" si="5"/>
        <v>5</v>
      </c>
      <c r="E42" s="29">
        <f t="shared" si="6"/>
        <v>2</v>
      </c>
      <c r="F42" s="29">
        <f t="shared" si="7"/>
        <v>10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SP-21-0221</v>
      </c>
      <c r="B43" s="29">
        <f t="shared" si="3"/>
        <v>4.474487964887965</v>
      </c>
      <c r="C43" s="29">
        <f t="shared" si="4"/>
        <v>60</v>
      </c>
      <c r="D43" s="29">
        <f t="shared" si="5"/>
        <v>5</v>
      </c>
      <c r="E43" s="29">
        <f t="shared" si="6"/>
        <v>2</v>
      </c>
      <c r="F43" s="29">
        <f t="shared" si="7"/>
        <v>10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SP-21-0221</v>
      </c>
      <c r="B44" s="29">
        <f t="shared" si="3"/>
        <v>4.474487964887965</v>
      </c>
      <c r="C44" s="29">
        <f t="shared" si="4"/>
        <v>60</v>
      </c>
      <c r="D44" s="29">
        <f t="shared" si="5"/>
        <v>5</v>
      </c>
      <c r="E44" s="29">
        <f t="shared" si="6"/>
        <v>2</v>
      </c>
      <c r="F44" s="29">
        <f t="shared" si="7"/>
        <v>10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SP-21-0221</v>
      </c>
      <c r="B45" s="29">
        <f t="shared" si="3"/>
        <v>4.474487964887965</v>
      </c>
      <c r="C45" s="29">
        <f t="shared" si="4"/>
        <v>60</v>
      </c>
      <c r="D45" s="29">
        <f t="shared" si="5"/>
        <v>5</v>
      </c>
      <c r="E45" s="29">
        <f t="shared" si="6"/>
        <v>2</v>
      </c>
      <c r="F45" s="29">
        <f t="shared" si="7"/>
        <v>10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SP-21-0221</v>
      </c>
      <c r="B46" s="29">
        <f t="shared" si="3"/>
        <v>4.474487964887965</v>
      </c>
      <c r="C46" s="29">
        <f t="shared" si="4"/>
        <v>60</v>
      </c>
      <c r="D46" s="29">
        <f t="shared" si="5"/>
        <v>5</v>
      </c>
      <c r="E46" s="29">
        <f t="shared" si="6"/>
        <v>2</v>
      </c>
      <c r="F46" s="29">
        <f t="shared" si="7"/>
        <v>10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SP-21-0221</v>
      </c>
      <c r="B47" s="29">
        <f t="shared" si="3"/>
        <v>4.474487964887965</v>
      </c>
      <c r="C47" s="29">
        <f t="shared" si="4"/>
        <v>60</v>
      </c>
      <c r="D47" s="29">
        <f t="shared" si="5"/>
        <v>5</v>
      </c>
      <c r="E47" s="29">
        <f t="shared" si="6"/>
        <v>2</v>
      </c>
      <c r="F47" s="29">
        <f t="shared" si="7"/>
        <v>10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SP-21-0221</v>
      </c>
      <c r="B48" s="29">
        <f t="shared" si="3"/>
        <v>4.474487964887965</v>
      </c>
      <c r="C48" s="29">
        <f t="shared" si="4"/>
        <v>60</v>
      </c>
      <c r="D48" s="29">
        <f t="shared" si="5"/>
        <v>5</v>
      </c>
      <c r="E48" s="29">
        <f t="shared" si="6"/>
        <v>2</v>
      </c>
      <c r="F48" s="29">
        <f t="shared" si="7"/>
        <v>10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SP-21-0221</v>
      </c>
      <c r="B49" s="29">
        <f t="shared" si="3"/>
        <v>4.474487964887965</v>
      </c>
      <c r="C49" s="29">
        <f t="shared" si="4"/>
        <v>60</v>
      </c>
      <c r="D49" s="29">
        <f t="shared" si="5"/>
        <v>5</v>
      </c>
      <c r="E49" s="29">
        <f t="shared" si="6"/>
        <v>2</v>
      </c>
      <c r="F49" s="29">
        <f t="shared" si="7"/>
        <v>10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SP-21-0221</v>
      </c>
      <c r="B50" s="29">
        <f t="shared" si="3"/>
        <v>4.474487964887965</v>
      </c>
      <c r="C50" s="29">
        <f t="shared" si="4"/>
        <v>60</v>
      </c>
      <c r="D50" s="29">
        <f t="shared" si="5"/>
        <v>5</v>
      </c>
      <c r="E50" s="29">
        <f t="shared" si="6"/>
        <v>2</v>
      </c>
      <c r="F50" s="29">
        <f t="shared" si="7"/>
        <v>10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SP-21-0221</v>
      </c>
      <c r="B51" s="29">
        <f t="shared" si="3"/>
        <v>4.474487964887965</v>
      </c>
      <c r="C51" s="29">
        <f t="shared" si="4"/>
        <v>60</v>
      </c>
      <c r="D51" s="29">
        <f t="shared" si="5"/>
        <v>5</v>
      </c>
      <c r="E51" s="29">
        <f t="shared" si="6"/>
        <v>2</v>
      </c>
      <c r="F51" s="29">
        <f t="shared" si="7"/>
        <v>10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SP-21-0221</v>
      </c>
      <c r="B52" s="29">
        <f t="shared" si="3"/>
        <v>4.474487964887965</v>
      </c>
      <c r="C52" s="29">
        <f t="shared" si="4"/>
        <v>60</v>
      </c>
      <c r="D52" s="29">
        <f t="shared" si="5"/>
        <v>5</v>
      </c>
      <c r="E52" s="29">
        <f t="shared" si="6"/>
        <v>2</v>
      </c>
      <c r="F52" s="29">
        <f t="shared" si="7"/>
        <v>10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SP-21-0221</v>
      </c>
      <c r="B53" s="29">
        <f t="shared" si="3"/>
        <v>4.474487964887965</v>
      </c>
      <c r="C53" s="29">
        <f t="shared" si="4"/>
        <v>60</v>
      </c>
      <c r="D53" s="29">
        <f t="shared" si="5"/>
        <v>5</v>
      </c>
      <c r="E53" s="29">
        <f t="shared" si="6"/>
        <v>2</v>
      </c>
      <c r="F53" s="29">
        <f t="shared" si="7"/>
        <v>10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SP-21-0221</v>
      </c>
      <c r="B54" s="29">
        <f t="shared" si="3"/>
        <v>4.474487964887965</v>
      </c>
      <c r="C54" s="29">
        <f t="shared" si="4"/>
        <v>60</v>
      </c>
      <c r="D54" s="29">
        <f t="shared" si="5"/>
        <v>5</v>
      </c>
      <c r="E54" s="29">
        <f t="shared" si="6"/>
        <v>2</v>
      </c>
      <c r="F54" s="29">
        <f t="shared" si="7"/>
        <v>10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SP-21-0221</v>
      </c>
      <c r="B55" s="29">
        <f t="shared" si="3"/>
        <v>4.474487964887965</v>
      </c>
      <c r="C55" s="29">
        <f t="shared" si="4"/>
        <v>60</v>
      </c>
      <c r="D55" s="29">
        <f t="shared" si="5"/>
        <v>5</v>
      </c>
      <c r="E55" s="29">
        <f t="shared" si="6"/>
        <v>2</v>
      </c>
      <c r="F55" s="29">
        <f t="shared" si="7"/>
        <v>10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SP-21-0221</v>
      </c>
      <c r="B56" s="29">
        <f t="shared" si="3"/>
        <v>4.474487964887965</v>
      </c>
      <c r="C56" s="29">
        <f t="shared" si="4"/>
        <v>60</v>
      </c>
      <c r="D56" s="29">
        <f t="shared" si="5"/>
        <v>5</v>
      </c>
      <c r="E56" s="29">
        <f t="shared" si="6"/>
        <v>2</v>
      </c>
      <c r="F56" s="29">
        <f t="shared" si="7"/>
        <v>10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SP-21-0221</v>
      </c>
      <c r="B57" s="29">
        <f t="shared" si="3"/>
        <v>4.474487964887965</v>
      </c>
      <c r="C57" s="29">
        <f t="shared" si="4"/>
        <v>60</v>
      </c>
      <c r="D57" s="29">
        <f t="shared" si="5"/>
        <v>5</v>
      </c>
      <c r="E57" s="29">
        <f t="shared" si="6"/>
        <v>2</v>
      </c>
      <c r="F57" s="29">
        <f t="shared" si="7"/>
        <v>10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SP-21-0221</v>
      </c>
      <c r="B58" s="29">
        <f t="shared" si="3"/>
        <v>4.474487964887965</v>
      </c>
      <c r="C58" s="29">
        <f t="shared" si="4"/>
        <v>60</v>
      </c>
      <c r="D58" s="29">
        <f t="shared" si="5"/>
        <v>5</v>
      </c>
      <c r="E58" s="29">
        <f t="shared" si="6"/>
        <v>2</v>
      </c>
      <c r="F58" s="29">
        <f t="shared" si="7"/>
        <v>10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SP-21-0221</v>
      </c>
      <c r="B59" s="29">
        <f t="shared" si="3"/>
        <v>4.474487964887965</v>
      </c>
      <c r="C59" s="29">
        <f t="shared" si="4"/>
        <v>60</v>
      </c>
      <c r="D59" s="29">
        <f t="shared" si="5"/>
        <v>5</v>
      </c>
      <c r="E59" s="29">
        <f t="shared" si="6"/>
        <v>2</v>
      </c>
      <c r="F59" s="29">
        <f t="shared" si="7"/>
        <v>10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SP-21-0221</v>
      </c>
      <c r="B60" s="29">
        <f t="shared" si="3"/>
        <v>4.474487964887965</v>
      </c>
      <c r="C60" s="29">
        <f t="shared" si="4"/>
        <v>60</v>
      </c>
      <c r="D60" s="29">
        <f t="shared" si="5"/>
        <v>5</v>
      </c>
      <c r="E60" s="29">
        <f t="shared" si="6"/>
        <v>2</v>
      </c>
      <c r="F60" s="29">
        <f t="shared" si="7"/>
        <v>10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SP-21-0221</v>
      </c>
      <c r="B61" s="34">
        <f t="shared" si="3"/>
        <v>4.474487964887965</v>
      </c>
      <c r="C61" s="34">
        <f t="shared" si="4"/>
        <v>60</v>
      </c>
      <c r="D61" s="34">
        <f t="shared" si="5"/>
        <v>5</v>
      </c>
      <c r="E61" s="34">
        <f t="shared" si="6"/>
        <v>2</v>
      </c>
      <c r="F61" s="34">
        <f t="shared" si="7"/>
        <v>10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SP-21-0221</v>
      </c>
      <c r="B62" s="29">
        <f t="shared" si="3"/>
        <v>4.474487964887965</v>
      </c>
      <c r="C62" s="29">
        <f t="shared" si="4"/>
        <v>60</v>
      </c>
      <c r="D62" s="29">
        <f t="shared" si="5"/>
        <v>5</v>
      </c>
      <c r="E62" s="29">
        <f t="shared" si="6"/>
        <v>2</v>
      </c>
      <c r="F62" s="29">
        <f t="shared" si="7"/>
        <v>10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SP-21-0221</v>
      </c>
      <c r="B63" s="29">
        <f t="shared" si="3"/>
        <v>4.474487964887965</v>
      </c>
      <c r="C63" s="29">
        <f t="shared" si="4"/>
        <v>60</v>
      </c>
      <c r="D63" s="29">
        <f t="shared" si="5"/>
        <v>5</v>
      </c>
      <c r="E63" s="29">
        <f t="shared" si="6"/>
        <v>2</v>
      </c>
      <c r="F63" s="29">
        <f t="shared" si="7"/>
        <v>10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SP-21-0221</v>
      </c>
      <c r="B64" s="29">
        <f t="shared" si="3"/>
        <v>4.474487964887965</v>
      </c>
      <c r="C64" s="29">
        <f t="shared" si="4"/>
        <v>60</v>
      </c>
      <c r="D64" s="29">
        <f t="shared" si="5"/>
        <v>5</v>
      </c>
      <c r="E64" s="29">
        <f t="shared" si="6"/>
        <v>2</v>
      </c>
      <c r="F64" s="29">
        <f t="shared" si="7"/>
        <v>10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SP-21-0221</v>
      </c>
      <c r="B65" s="29">
        <f t="shared" si="3"/>
        <v>4.474487964887965</v>
      </c>
      <c r="C65" s="29">
        <f t="shared" si="4"/>
        <v>60</v>
      </c>
      <c r="D65" s="29">
        <f t="shared" si="5"/>
        <v>5</v>
      </c>
      <c r="E65" s="29">
        <f t="shared" si="6"/>
        <v>2</v>
      </c>
      <c r="F65" s="29">
        <f t="shared" si="7"/>
        <v>10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SP-21-0221</v>
      </c>
      <c r="B66" s="29">
        <f t="shared" ref="B66:B81" si="9">$B$2</f>
        <v>4.474487964887965</v>
      </c>
      <c r="C66" s="29">
        <f t="shared" ref="C66:C81" si="10">$C$2</f>
        <v>60</v>
      </c>
      <c r="D66" s="29">
        <f t="shared" ref="D66:D81" si="11">$D$2</f>
        <v>5</v>
      </c>
      <c r="E66" s="29">
        <f t="shared" ref="E66:E81" si="12">$E$2</f>
        <v>2</v>
      </c>
      <c r="F66" s="29">
        <f t="shared" ref="F66:F81" si="13">$F$2</f>
        <v>10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SP-21-0221</v>
      </c>
      <c r="B67" s="29">
        <f t="shared" si="9"/>
        <v>4.474487964887965</v>
      </c>
      <c r="C67" s="29">
        <f t="shared" si="10"/>
        <v>60</v>
      </c>
      <c r="D67" s="29">
        <f t="shared" si="11"/>
        <v>5</v>
      </c>
      <c r="E67" s="29">
        <f t="shared" si="12"/>
        <v>2</v>
      </c>
      <c r="F67" s="29">
        <f t="shared" si="13"/>
        <v>10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SP-21-0221</v>
      </c>
      <c r="B68" s="29">
        <f t="shared" si="9"/>
        <v>4.474487964887965</v>
      </c>
      <c r="C68" s="29">
        <f t="shared" si="10"/>
        <v>60</v>
      </c>
      <c r="D68" s="29">
        <f t="shared" si="11"/>
        <v>5</v>
      </c>
      <c r="E68" s="29">
        <f t="shared" si="12"/>
        <v>2</v>
      </c>
      <c r="F68" s="29">
        <f t="shared" si="13"/>
        <v>10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SP-21-0221</v>
      </c>
      <c r="B69" s="29">
        <f t="shared" si="9"/>
        <v>4.474487964887965</v>
      </c>
      <c r="C69" s="29">
        <f t="shared" si="10"/>
        <v>60</v>
      </c>
      <c r="D69" s="29">
        <f t="shared" si="11"/>
        <v>5</v>
      </c>
      <c r="E69" s="29">
        <f t="shared" si="12"/>
        <v>2</v>
      </c>
      <c r="F69" s="29">
        <f t="shared" si="13"/>
        <v>10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SP-21-0221</v>
      </c>
      <c r="B70" s="29">
        <f t="shared" si="9"/>
        <v>4.474487964887965</v>
      </c>
      <c r="C70" s="29">
        <f t="shared" si="10"/>
        <v>60</v>
      </c>
      <c r="D70" s="29">
        <f t="shared" si="11"/>
        <v>5</v>
      </c>
      <c r="E70" s="29">
        <f t="shared" si="12"/>
        <v>2</v>
      </c>
      <c r="F70" s="29">
        <f t="shared" si="13"/>
        <v>10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SP-21-0221</v>
      </c>
      <c r="B71" s="29">
        <f t="shared" si="9"/>
        <v>4.474487964887965</v>
      </c>
      <c r="C71" s="29">
        <f t="shared" si="10"/>
        <v>60</v>
      </c>
      <c r="D71" s="29">
        <f t="shared" si="11"/>
        <v>5</v>
      </c>
      <c r="E71" s="29">
        <f t="shared" si="12"/>
        <v>2</v>
      </c>
      <c r="F71" s="29">
        <f t="shared" si="13"/>
        <v>10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SP-21-0221</v>
      </c>
      <c r="B72" s="29">
        <f t="shared" si="9"/>
        <v>4.474487964887965</v>
      </c>
      <c r="C72" s="29">
        <f t="shared" si="10"/>
        <v>60</v>
      </c>
      <c r="D72" s="29">
        <f t="shared" si="11"/>
        <v>5</v>
      </c>
      <c r="E72" s="29">
        <f t="shared" si="12"/>
        <v>2</v>
      </c>
      <c r="F72" s="29">
        <f t="shared" si="13"/>
        <v>10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SP-21-0221</v>
      </c>
      <c r="B73" s="29">
        <f t="shared" si="9"/>
        <v>4.474487964887965</v>
      </c>
      <c r="C73" s="29">
        <f t="shared" si="10"/>
        <v>60</v>
      </c>
      <c r="D73" s="29">
        <f t="shared" si="11"/>
        <v>5</v>
      </c>
      <c r="E73" s="29">
        <f t="shared" si="12"/>
        <v>2</v>
      </c>
      <c r="F73" s="29">
        <f t="shared" si="13"/>
        <v>10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SP-21-0221</v>
      </c>
      <c r="B74" s="29">
        <f t="shared" si="9"/>
        <v>4.474487964887965</v>
      </c>
      <c r="C74" s="29">
        <f t="shared" si="10"/>
        <v>60</v>
      </c>
      <c r="D74" s="29">
        <f t="shared" si="11"/>
        <v>5</v>
      </c>
      <c r="E74" s="29">
        <f t="shared" si="12"/>
        <v>2</v>
      </c>
      <c r="F74" s="29">
        <f t="shared" si="13"/>
        <v>10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SP-21-0221</v>
      </c>
      <c r="B75" s="29">
        <f t="shared" si="9"/>
        <v>4.474487964887965</v>
      </c>
      <c r="C75" s="29">
        <f t="shared" si="10"/>
        <v>60</v>
      </c>
      <c r="D75" s="29">
        <f t="shared" si="11"/>
        <v>5</v>
      </c>
      <c r="E75" s="29">
        <f t="shared" si="12"/>
        <v>2</v>
      </c>
      <c r="F75" s="29">
        <f t="shared" si="13"/>
        <v>10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SP-21-0221</v>
      </c>
      <c r="B76" s="29">
        <f t="shared" si="9"/>
        <v>4.474487964887965</v>
      </c>
      <c r="C76" s="29">
        <f t="shared" si="10"/>
        <v>60</v>
      </c>
      <c r="D76" s="29">
        <f t="shared" si="11"/>
        <v>5</v>
      </c>
      <c r="E76" s="29">
        <f t="shared" si="12"/>
        <v>2</v>
      </c>
      <c r="F76" s="29">
        <f t="shared" si="13"/>
        <v>10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SP-21-0221</v>
      </c>
      <c r="B77" s="29">
        <f t="shared" si="9"/>
        <v>4.474487964887965</v>
      </c>
      <c r="C77" s="29">
        <f t="shared" si="10"/>
        <v>60</v>
      </c>
      <c r="D77" s="29">
        <f t="shared" si="11"/>
        <v>5</v>
      </c>
      <c r="E77" s="29">
        <f t="shared" si="12"/>
        <v>2</v>
      </c>
      <c r="F77" s="29">
        <f t="shared" si="13"/>
        <v>10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SP-21-0221</v>
      </c>
      <c r="B78" s="29">
        <f t="shared" si="9"/>
        <v>4.474487964887965</v>
      </c>
      <c r="C78" s="29">
        <f t="shared" si="10"/>
        <v>60</v>
      </c>
      <c r="D78" s="29">
        <f t="shared" si="11"/>
        <v>5</v>
      </c>
      <c r="E78" s="29">
        <f t="shared" si="12"/>
        <v>2</v>
      </c>
      <c r="F78" s="29">
        <f t="shared" si="13"/>
        <v>10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SP-21-0221</v>
      </c>
      <c r="B79" s="29">
        <f t="shared" si="9"/>
        <v>4.474487964887965</v>
      </c>
      <c r="C79" s="29">
        <f t="shared" si="10"/>
        <v>60</v>
      </c>
      <c r="D79" s="29">
        <f t="shared" si="11"/>
        <v>5</v>
      </c>
      <c r="E79" s="29">
        <f t="shared" si="12"/>
        <v>2</v>
      </c>
      <c r="F79" s="29">
        <f t="shared" si="13"/>
        <v>10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SP-21-0221</v>
      </c>
      <c r="B80" s="29">
        <f t="shared" si="9"/>
        <v>4.474487964887965</v>
      </c>
      <c r="C80" s="29">
        <f t="shared" si="10"/>
        <v>60</v>
      </c>
      <c r="D80" s="29">
        <f t="shared" si="11"/>
        <v>5</v>
      </c>
      <c r="E80" s="29">
        <f t="shared" si="12"/>
        <v>2</v>
      </c>
      <c r="F80" s="29">
        <f t="shared" si="13"/>
        <v>10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SP-21-0221</v>
      </c>
      <c r="B81" s="29">
        <f t="shared" si="9"/>
        <v>4.474487964887965</v>
      </c>
      <c r="C81" s="29">
        <f t="shared" si="10"/>
        <v>60</v>
      </c>
      <c r="D81" s="29">
        <f t="shared" si="11"/>
        <v>5</v>
      </c>
      <c r="E81" s="29">
        <f t="shared" si="12"/>
        <v>2</v>
      </c>
      <c r="F81" s="29">
        <f t="shared" si="13"/>
        <v>10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FC06-8E9F-4CAA-A3A3-F34C4EBAED37}">
  <dimension ref="A1:J23"/>
  <sheetViews>
    <sheetView topLeftCell="E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DOLIOLIDA!U9</f>
        <v>SP-21-0221</v>
      </c>
      <c r="B2" s="26">
        <f>DOLIOLIDA!J$13</f>
        <v>4.474487964887965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DOLIOLIDA!A18</f>
        <v>Doliolida</v>
      </c>
      <c r="H2" s="26">
        <f>DOLIOLIDA!H18</f>
        <v>1</v>
      </c>
      <c r="I2" s="31">
        <f>((H2/B2)*2)</f>
        <v>0.44697851814427159</v>
      </c>
      <c r="J2" s="28">
        <f>((H2/B2)*2)*1000</f>
        <v>446.97851814427156</v>
      </c>
    </row>
    <row r="3" spans="1:10" x14ac:dyDescent="0.2">
      <c r="B3" s="26">
        <f>DOLIOLIDA!J$13</f>
        <v>4.474487964887965</v>
      </c>
      <c r="F3" s="26">
        <f t="shared" ref="F3:F21" si="0">E3*D3</f>
        <v>0</v>
      </c>
      <c r="G3" s="26">
        <f>DOLIOLIDA!A19</f>
        <v>0</v>
      </c>
      <c r="H3" s="26">
        <f>DOLIOLIDA!H19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DOLIOLIDA!J$13</f>
        <v>4.474487964887965</v>
      </c>
      <c r="F4" s="26">
        <f t="shared" si="0"/>
        <v>0</v>
      </c>
      <c r="G4" s="26">
        <f>DOLIOLIDA!A20</f>
        <v>0</v>
      </c>
      <c r="H4" s="26">
        <f>DOLIOLIDA!H20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DOLIOLIDA!J$13</f>
        <v>4.474487964887965</v>
      </c>
      <c r="F5" s="26">
        <f t="shared" si="0"/>
        <v>0</v>
      </c>
      <c r="G5" s="26">
        <f>DOLIOLIDA!A21</f>
        <v>0</v>
      </c>
      <c r="H5" s="26">
        <f>DOLIOLIDA!H21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DOLIOLIDA!J$13</f>
        <v>4.474487964887965</v>
      </c>
      <c r="F6" s="26">
        <f t="shared" si="0"/>
        <v>0</v>
      </c>
      <c r="G6" s="26">
        <f>DOLIOLIDA!A22</f>
        <v>0</v>
      </c>
      <c r="H6" s="26">
        <f>DOLIOLIDA!H22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DOLIOLIDA!J$13</f>
        <v>4.474487964887965</v>
      </c>
      <c r="F7" s="26">
        <f t="shared" si="0"/>
        <v>0</v>
      </c>
      <c r="G7" s="26">
        <f>DOLIOLIDA!A23</f>
        <v>0</v>
      </c>
      <c r="H7" s="26">
        <f>DOLIOLIDA!H23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DOLIOLIDA!J$13</f>
        <v>4.474487964887965</v>
      </c>
      <c r="F8" s="26">
        <f t="shared" si="0"/>
        <v>0</v>
      </c>
      <c r="G8" s="26">
        <f>DOLIOLIDA!A24</f>
        <v>0</v>
      </c>
      <c r="H8" s="26">
        <f>DOLIOLIDA!H24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DOLIOLIDA!J$13</f>
        <v>4.474487964887965</v>
      </c>
      <c r="F9" s="26">
        <f t="shared" si="0"/>
        <v>0</v>
      </c>
      <c r="G9" s="26">
        <f>DOLIOLIDA!A25</f>
        <v>0</v>
      </c>
      <c r="H9" s="26">
        <f>DOLIOLIDA!H25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DOLIOLIDA!J$13</f>
        <v>4.474487964887965</v>
      </c>
      <c r="F10" s="26">
        <f t="shared" si="0"/>
        <v>0</v>
      </c>
      <c r="G10" s="26">
        <f>DOLIOLIDA!A26</f>
        <v>0</v>
      </c>
      <c r="H10" s="26">
        <f>DOLIOLIDA!H26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DOLIOLIDA!J$13</f>
        <v>4.474487964887965</v>
      </c>
      <c r="F11" s="26">
        <f t="shared" si="0"/>
        <v>0</v>
      </c>
      <c r="G11" s="26">
        <f>DOLIOLIDA!A27</f>
        <v>0</v>
      </c>
      <c r="H11" s="26">
        <f>DOLIOLIDA!H27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DOLIOLIDA!J$13</f>
        <v>4.474487964887965</v>
      </c>
      <c r="F12" s="26">
        <f t="shared" si="0"/>
        <v>0</v>
      </c>
      <c r="G12" s="26">
        <f>DOLIOLIDA!A28</f>
        <v>0</v>
      </c>
      <c r="H12" s="26">
        <f>DOLIOLIDA!H28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DOLIOLIDA!J$13</f>
        <v>4.474487964887965</v>
      </c>
      <c r="F13" s="26">
        <f t="shared" si="0"/>
        <v>0</v>
      </c>
      <c r="G13" s="26">
        <f>DOLIOLIDA!A29</f>
        <v>0</v>
      </c>
      <c r="H13" s="26">
        <f>DOLIOLIDA!H29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DOLIOLIDA!J$13</f>
        <v>4.474487964887965</v>
      </c>
      <c r="F14" s="26">
        <f t="shared" si="0"/>
        <v>0</v>
      </c>
      <c r="G14" s="26">
        <f>DOLIOLIDA!A30</f>
        <v>0</v>
      </c>
      <c r="H14" s="26">
        <f>DOLIOLIDA!H30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DOLIOLIDA!J$13</f>
        <v>4.474487964887965</v>
      </c>
      <c r="F15" s="26">
        <f t="shared" si="0"/>
        <v>0</v>
      </c>
      <c r="G15" s="26">
        <f>DOLIOLIDA!A31</f>
        <v>0</v>
      </c>
      <c r="H15" s="26">
        <f>DOLIOLIDA!H31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DOLIOLIDA!J$13</f>
        <v>4.474487964887965</v>
      </c>
      <c r="F16" s="26">
        <f t="shared" si="0"/>
        <v>0</v>
      </c>
      <c r="G16" s="26">
        <f>DOLIOLIDA!A32</f>
        <v>0</v>
      </c>
      <c r="H16" s="26">
        <f>DOLIOLIDA!H32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DOLIOLIDA!J$13</f>
        <v>4.474487964887965</v>
      </c>
      <c r="F17" s="26">
        <f t="shared" si="0"/>
        <v>0</v>
      </c>
      <c r="G17" s="26">
        <f>DOLIOLIDA!A33</f>
        <v>0</v>
      </c>
      <c r="H17" s="26">
        <f>DOLIOLIDA!H33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DOLIOLIDA!J$13</f>
        <v>4.474487964887965</v>
      </c>
      <c r="F18" s="26">
        <f t="shared" si="0"/>
        <v>0</v>
      </c>
      <c r="G18" s="26">
        <f>DOLIOLIDA!A34</f>
        <v>0</v>
      </c>
      <c r="H18" s="26">
        <f>DOLIOLIDA!H34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DOLIOLIDA!J$13</f>
        <v>4.474487964887965</v>
      </c>
      <c r="F19" s="26">
        <f t="shared" si="0"/>
        <v>0</v>
      </c>
      <c r="G19" s="26">
        <f>DOLIOLIDA!A35</f>
        <v>0</v>
      </c>
      <c r="H19" s="26">
        <f>DOLIOLIDA!H35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DOLIOLIDA!J$13</f>
        <v>4.474487964887965</v>
      </c>
      <c r="F20" s="26">
        <f t="shared" si="0"/>
        <v>0</v>
      </c>
      <c r="G20" s="26">
        <f>DOLIOLIDA!A36</f>
        <v>0</v>
      </c>
      <c r="H20" s="26">
        <f>DOLIOLIDA!H36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DOLIOLIDA!J$13</f>
        <v>4.474487964887965</v>
      </c>
      <c r="F21" s="26">
        <f t="shared" si="0"/>
        <v>0</v>
      </c>
      <c r="G21" s="26">
        <f>DOLIOLIDA!A37</f>
        <v>0</v>
      </c>
      <c r="H21" s="26">
        <f>DOLIOLIDA!H37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DOLIOLIDA</vt:lpstr>
      <vt:lpstr>Cálculos_Densidad_De_Grupos</vt:lpstr>
      <vt:lpstr>Calculos_DOLIOLIDA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2022-02-27T21:14:48Z</dcterms:modified>
</cp:coreProperties>
</file>