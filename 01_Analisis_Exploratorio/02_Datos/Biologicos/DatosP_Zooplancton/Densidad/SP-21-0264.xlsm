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22E3BBCA-B1A1-4D60-8418-97563108E529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Cálculos_Densidad_De_Grupos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4" l="1"/>
  <c r="H4" i="4"/>
  <c r="H5" i="4"/>
  <c r="H6" i="4"/>
  <c r="H7" i="4"/>
  <c r="H8" i="4"/>
  <c r="H9" i="4"/>
  <c r="H10" i="4"/>
  <c r="H11" i="4"/>
  <c r="H12" i="4"/>
  <c r="H13" i="4"/>
  <c r="H14" i="4"/>
  <c r="G3" i="4"/>
  <c r="G4" i="4"/>
  <c r="G5" i="4"/>
  <c r="G6" i="4"/>
  <c r="G7" i="4"/>
  <c r="G8" i="4"/>
  <c r="G9" i="4"/>
  <c r="G10" i="4"/>
  <c r="G11" i="4"/>
  <c r="G12" i="4"/>
  <c r="G13" i="4"/>
  <c r="G14" i="4"/>
  <c r="G2" i="4" l="1"/>
  <c r="H2" i="4" l="1"/>
  <c r="E2" i="4"/>
  <c r="D2" i="4"/>
  <c r="C2" i="4"/>
  <c r="B2" i="4"/>
  <c r="A2" i="4"/>
  <c r="B11" i="4" l="1"/>
  <c r="B6" i="4"/>
  <c r="C6" i="4"/>
  <c r="D11" i="4"/>
  <c r="D6" i="4"/>
  <c r="E6" i="4"/>
  <c r="A6" i="4"/>
  <c r="D4" i="4"/>
  <c r="B7" i="4"/>
  <c r="B3" i="4"/>
  <c r="B10" i="4"/>
  <c r="B8" i="4"/>
  <c r="B4" i="4"/>
  <c r="B5" i="4"/>
  <c r="B9" i="4"/>
  <c r="C13" i="4"/>
  <c r="C14" i="4"/>
  <c r="D3" i="4"/>
  <c r="D5" i="4"/>
  <c r="D7" i="4"/>
  <c r="D9" i="4"/>
  <c r="B12" i="4"/>
  <c r="D14" i="4"/>
  <c r="D13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D8" i="4"/>
  <c r="D10" i="4"/>
  <c r="D12" i="4"/>
  <c r="A14" i="4"/>
  <c r="A13" i="4"/>
  <c r="E14" i="4"/>
  <c r="E13" i="4"/>
  <c r="F2" i="4"/>
  <c r="B13" i="4"/>
  <c r="B14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F6" i="4" l="1"/>
  <c r="I6" i="4" s="1"/>
  <c r="J6" i="4" s="1"/>
  <c r="I2" i="4"/>
  <c r="J2" i="4" s="1"/>
  <c r="F13" i="4"/>
  <c r="F14" i="4"/>
  <c r="I14" i="4" s="1"/>
  <c r="J14" i="4" s="1"/>
  <c r="F3" i="4"/>
  <c r="I3" i="4" s="1"/>
  <c r="J3" i="4" s="1"/>
  <c r="F11" i="4"/>
  <c r="F9" i="4"/>
  <c r="F7" i="4"/>
  <c r="F5" i="4"/>
  <c r="I5" i="4" s="1"/>
  <c r="J5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<sst xmlns="http://schemas.openxmlformats.org/spreadsheetml/2006/main" count="71" uniqueCount="70">
  <si>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</si>
  <si>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</si>
  <si>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</si>
  <si>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</si>
  <si>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</si>
  <si>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</si>
  <si>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</si>
  <si>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</si>
  <si>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</si>
  <si>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</si>
  <si>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</si>
  <si>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</si>
  <si>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</si>
  <si>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</si>
  <si>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</si>
  <si>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</si>
  <si>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</si>
  <si>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</si>
  <si>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</si>
  <si>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</si>
  <si>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</si>
  <si>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</si>
  <si>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</si>
  <si>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</si>
  <si>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</si>
  <si>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</si>
  <si>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</si>
  <si>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</si>
  <si>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</si>
  <si>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</si>
  <si>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</si>
  <si>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</si>
  <si>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</si>
  <si>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</si>
  <si>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</si>
  <si>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</si>
  <si>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</si>
  <si>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</si>
  <si>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</si>
  <si>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</si>
  <si>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</si>
  <si>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</si>
  <si>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</si>
  <si>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</si>
  <si>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</si>
  <si>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</si>
  <si>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</si>
  <si>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</si>
  <si>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</si>
  <si>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</si>
  <si>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</si>
  <si>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</si>
  <si>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</si>
  <si>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</si>
  <si>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 xml:space="preserve"> </t>
  </si>
  <si>
    <t>|</t>
  </si>
  <si>
    <t>Decapoda (Anomura Zoea)</t>
  </si>
  <si>
    <t>Decapoda (Brachyura Zoea)</t>
  </si>
  <si>
    <t>Copepoda (Calanoida)</t>
  </si>
  <si>
    <t>Pez (Huevo)</t>
  </si>
  <si>
    <t>Copepoda (Cyclopoida)</t>
  </si>
  <si>
    <t>Chaetognatha</t>
  </si>
  <si>
    <t>Ostracoda</t>
  </si>
  <si>
    <t>Mollusca (Atlanta)</t>
  </si>
  <si>
    <t>Mollusca (Limacina)</t>
  </si>
  <si>
    <t>Euphausiacea</t>
  </si>
  <si>
    <t>SP-21-0264</t>
  </si>
  <si>
    <t>Pyrocystis pseudonoctiluca</t>
  </si>
  <si>
    <t>Radiolaria (Spongodiscidae)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</si>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</sst>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2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13" fillId="0" borderId="2" xfId="0" applyFont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2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 wrapText="1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C42"/>
  <sheetViews>
    <sheetView showGridLines="0" tabSelected="1" view="pageBreakPreview" zoomScaleNormal="100" zoomScaleSheetLayoutView="100" workbookViewId="0">
      <selection activeCell="J21" sqref="J21:L21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51"/>
      <c r="B1" s="6"/>
      <c r="I1" s="57" t="s">
        <v>32</v>
      </c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3"/>
    </row>
    <row r="2" spans="1:29" ht="37.5" customHeight="1" x14ac:dyDescent="0.2">
      <c r="A2" s="51"/>
      <c r="B2" s="6"/>
      <c r="I2" s="52" t="s">
        <v>31</v>
      </c>
      <c r="J2" s="53"/>
      <c r="K2" s="53"/>
      <c r="L2" s="53"/>
      <c r="M2" s="53"/>
      <c r="N2" s="53"/>
      <c r="O2" s="5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56" t="s">
        <v>1</v>
      </c>
      <c r="B4" s="56"/>
      <c r="C4" s="56"/>
      <c r="D4" s="56"/>
      <c r="E4" s="56"/>
      <c r="F4" s="59"/>
      <c r="G4" s="54" t="s">
        <v>69</v>
      </c>
      <c r="H4" s="54"/>
      <c r="I4" s="54"/>
      <c r="J4" s="54"/>
      <c r="K4" s="54"/>
      <c r="L4" s="54"/>
      <c r="M4" s="54"/>
      <c r="N4" s="55" t="s">
        <v>11</v>
      </c>
      <c r="O4" s="55"/>
      <c r="P4" s="55"/>
      <c r="Q4" s="55"/>
      <c r="R4" s="55"/>
      <c r="S4" s="55"/>
      <c r="T4" s="55"/>
      <c r="U4" s="36" t="s">
        <v>53</v>
      </c>
      <c r="V4" s="37"/>
      <c r="W4" s="37"/>
      <c r="X4" s="37"/>
      <c r="Y4" s="37"/>
      <c r="Z4" s="37"/>
      <c r="AA4" s="37"/>
      <c r="AB4" s="38"/>
      <c r="AC4" s="3"/>
    </row>
    <row r="5" spans="1:29" ht="24" customHeight="1" x14ac:dyDescent="0.2">
      <c r="A5" s="56" t="s">
        <v>5</v>
      </c>
      <c r="B5" s="56"/>
      <c r="C5" s="56"/>
      <c r="D5" s="56"/>
      <c r="E5" s="56"/>
      <c r="F5" s="59"/>
      <c r="G5" s="40" t="s">
        <v>37</v>
      </c>
      <c r="H5" s="40"/>
      <c r="I5" s="40"/>
      <c r="J5" s="40"/>
      <c r="K5" s="40"/>
      <c r="L5" s="40"/>
      <c r="M5" s="40"/>
      <c r="N5" s="56" t="s">
        <v>9</v>
      </c>
      <c r="O5" s="56"/>
      <c r="P5" s="56"/>
      <c r="Q5" s="56"/>
      <c r="R5" s="56"/>
      <c r="S5" s="56"/>
      <c r="T5" s="56"/>
      <c r="U5" s="43">
        <v>44529</v>
      </c>
      <c r="V5" s="44"/>
      <c r="W5" s="45"/>
      <c r="X5" s="24" t="s">
        <v>29</v>
      </c>
      <c r="Y5" s="62">
        <v>0.35416666666666669</v>
      </c>
      <c r="Z5" s="63"/>
      <c r="AA5" s="63"/>
      <c r="AB5" s="63"/>
    </row>
    <row r="6" spans="1:29" ht="24" customHeight="1" x14ac:dyDescent="0.2">
      <c r="A6" s="60" t="s">
        <v>7</v>
      </c>
      <c r="B6" s="60"/>
      <c r="C6" s="60"/>
      <c r="D6" s="60"/>
      <c r="E6" s="60"/>
      <c r="F6" s="61"/>
      <c r="G6" s="40" t="s">
        <v>40</v>
      </c>
      <c r="H6" s="40"/>
      <c r="I6" s="40"/>
      <c r="J6" s="40"/>
      <c r="K6" s="40"/>
      <c r="L6" s="40"/>
      <c r="M6" s="40"/>
      <c r="N6" s="64" t="s">
        <v>0</v>
      </c>
      <c r="O6" s="64"/>
      <c r="P6" s="64"/>
      <c r="Q6" s="64"/>
      <c r="R6" s="64"/>
      <c r="S6" s="64"/>
      <c r="T6" s="64"/>
      <c r="U6" s="43">
        <v>44529</v>
      </c>
      <c r="V6" s="44"/>
      <c r="W6" s="45"/>
      <c r="X6" s="24" t="s">
        <v>29</v>
      </c>
      <c r="Y6" s="62">
        <v>0.5</v>
      </c>
      <c r="Z6" s="63"/>
      <c r="AA6" s="63"/>
      <c r="AB6" s="63"/>
    </row>
    <row r="7" spans="1:29" ht="24" customHeight="1" x14ac:dyDescent="0.2">
      <c r="A7" s="56" t="s">
        <v>10</v>
      </c>
      <c r="B7" s="56"/>
      <c r="C7" s="56"/>
      <c r="D7" s="56"/>
      <c r="E7" s="56"/>
      <c r="F7" s="59"/>
      <c r="G7" s="40" t="s">
        <v>41</v>
      </c>
      <c r="H7" s="40"/>
      <c r="I7" s="40"/>
      <c r="J7" s="40"/>
      <c r="K7" s="40"/>
      <c r="L7" s="40"/>
      <c r="M7" s="40"/>
      <c r="N7" s="41" t="s">
        <v>34</v>
      </c>
      <c r="O7" s="41"/>
      <c r="P7" s="41"/>
      <c r="Q7" s="41"/>
      <c r="R7" s="41"/>
      <c r="S7" s="41"/>
      <c r="T7" s="41"/>
      <c r="U7" s="67" t="s">
        <v>39</v>
      </c>
      <c r="V7" s="67"/>
      <c r="W7" s="67"/>
      <c r="X7" s="67"/>
      <c r="Y7" s="67"/>
      <c r="Z7" s="67"/>
      <c r="AA7" s="67"/>
      <c r="AB7" s="67"/>
    </row>
    <row r="8" spans="1:29" ht="24" customHeight="1" x14ac:dyDescent="0.2">
      <c r="A8" s="60" t="s">
        <v>2</v>
      </c>
      <c r="B8" s="60"/>
      <c r="C8" s="60"/>
      <c r="D8" s="60"/>
      <c r="E8" s="60"/>
      <c r="F8" s="61"/>
      <c r="G8" s="40">
        <v>20065667</v>
      </c>
      <c r="H8" s="40"/>
      <c r="I8" s="40"/>
      <c r="J8" s="40"/>
      <c r="K8" s="40"/>
      <c r="L8" s="40"/>
      <c r="M8" s="40"/>
      <c r="N8" s="41" t="s">
        <v>4</v>
      </c>
      <c r="O8" s="41"/>
      <c r="P8" s="41"/>
      <c r="Q8" s="41"/>
      <c r="R8" s="41"/>
      <c r="S8" s="41"/>
      <c r="T8" s="41"/>
      <c r="U8" s="42" t="s">
        <v>38</v>
      </c>
      <c r="V8" s="42"/>
      <c r="W8" s="42"/>
      <c r="X8" s="42"/>
      <c r="Y8" s="42"/>
      <c r="Z8" s="42"/>
      <c r="AA8" s="42"/>
      <c r="AB8" s="42"/>
    </row>
    <row r="9" spans="1:29" ht="24" customHeight="1" x14ac:dyDescent="0.2">
      <c r="A9" s="60" t="s">
        <v>6</v>
      </c>
      <c r="B9" s="60"/>
      <c r="C9" s="60"/>
      <c r="D9" s="60"/>
      <c r="E9" s="60"/>
      <c r="F9" s="61"/>
      <c r="G9" s="65" t="s">
        <v>42</v>
      </c>
      <c r="H9" s="65"/>
      <c r="I9" s="65"/>
      <c r="J9" s="65"/>
      <c r="K9" s="65"/>
      <c r="L9" s="65"/>
      <c r="M9" s="65"/>
      <c r="N9" s="41" t="s">
        <v>30</v>
      </c>
      <c r="O9" s="41"/>
      <c r="P9" s="41"/>
      <c r="Q9" s="41"/>
      <c r="R9" s="41"/>
      <c r="S9" s="41"/>
      <c r="T9" s="41"/>
      <c r="U9" s="66" t="s">
        <v>66</v>
      </c>
      <c r="V9" s="66"/>
      <c r="W9" s="66"/>
      <c r="X9" s="66"/>
      <c r="Y9" s="66"/>
      <c r="Z9" s="66"/>
      <c r="AA9" s="66"/>
      <c r="AB9" s="66"/>
    </row>
    <row r="10" spans="1:29" ht="6" customHeight="1" x14ac:dyDescent="0.2">
      <c r="U10" s="8"/>
      <c r="V10" s="8"/>
      <c r="W10" s="8"/>
    </row>
    <row r="11" spans="1:29" ht="23.25" customHeight="1" x14ac:dyDescent="0.2">
      <c r="A11" s="46" t="s">
        <v>8</v>
      </c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19"/>
      <c r="N11" s="41" t="s">
        <v>12</v>
      </c>
      <c r="O11" s="41"/>
      <c r="P11" s="41"/>
      <c r="Q11" s="41"/>
      <c r="R11" s="41"/>
      <c r="S11" s="40"/>
      <c r="T11" s="40"/>
      <c r="U11" s="41" t="s">
        <v>13</v>
      </c>
      <c r="V11" s="41"/>
      <c r="W11" s="41"/>
      <c r="X11" s="41"/>
      <c r="Y11" s="41"/>
      <c r="Z11" s="41"/>
      <c r="AA11" s="36"/>
      <c r="AB11" s="38"/>
    </row>
    <row r="12" spans="1:29" ht="6" customHeight="1" x14ac:dyDescent="0.2"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</row>
    <row r="13" spans="1:29" ht="36" customHeight="1" x14ac:dyDescent="0.2">
      <c r="A13" s="48" t="s">
        <v>35</v>
      </c>
      <c r="B13" s="49"/>
      <c r="C13" s="49"/>
      <c r="D13" s="49"/>
      <c r="E13" s="49"/>
      <c r="F13" s="25" t="s">
        <v>36</v>
      </c>
      <c r="G13" s="39" t="s">
        <v>14</v>
      </c>
      <c r="H13" s="39"/>
      <c r="I13" s="39"/>
      <c r="J13" s="50">
        <v>5.4084317971817972</v>
      </c>
      <c r="K13" s="50">
        <v>33.17347386232386</v>
      </c>
      <c r="L13" s="39" t="s">
        <v>15</v>
      </c>
      <c r="M13" s="39"/>
      <c r="N13" s="39"/>
      <c r="O13" s="36">
        <v>125</v>
      </c>
      <c r="P13" s="37"/>
      <c r="Q13" s="38"/>
      <c r="R13" s="39" t="s">
        <v>16</v>
      </c>
      <c r="S13" s="39"/>
      <c r="T13" s="39"/>
      <c r="U13" s="40">
        <v>5</v>
      </c>
      <c r="V13" s="40"/>
      <c r="W13" s="39" t="s">
        <v>17</v>
      </c>
      <c r="X13" s="39"/>
      <c r="Y13" s="39"/>
      <c r="Z13" s="39"/>
      <c r="AA13" s="40">
        <v>1</v>
      </c>
      <c r="AB13" s="40"/>
    </row>
    <row r="14" spans="1:29" ht="27" customHeight="1" x14ac:dyDescent="0.2">
      <c r="A14" s="49" t="s">
        <v>3</v>
      </c>
      <c r="B14" s="49"/>
      <c r="C14" s="49"/>
      <c r="D14" s="49"/>
      <c r="E14" s="49"/>
      <c r="F14" s="25"/>
      <c r="G14" s="39" t="s">
        <v>18</v>
      </c>
      <c r="H14" s="39"/>
      <c r="I14" s="39"/>
      <c r="J14" s="39"/>
      <c r="K14" s="39"/>
      <c r="L14" s="39"/>
      <c r="M14" s="68"/>
      <c r="N14" s="69"/>
      <c r="O14" s="69"/>
      <c r="P14" s="69"/>
      <c r="Q14" s="70"/>
      <c r="R14" s="39" t="s">
        <v>19</v>
      </c>
      <c r="S14" s="39"/>
      <c r="T14" s="39"/>
      <c r="U14" s="39"/>
      <c r="V14" s="39"/>
      <c r="W14" s="80" t="s">
        <v>54</v>
      </c>
      <c r="X14" s="80"/>
      <c r="Y14" s="80"/>
      <c r="Z14" s="80"/>
      <c r="AA14" s="80"/>
      <c r="AB14" s="8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76" t="s">
        <v>20</v>
      </c>
      <c r="B17" s="77"/>
      <c r="C17" s="77"/>
      <c r="D17" s="77"/>
      <c r="E17" s="77"/>
      <c r="F17" s="78"/>
      <c r="G17" s="71" t="s">
        <v>21</v>
      </c>
      <c r="H17" s="71"/>
      <c r="I17" s="71"/>
      <c r="J17" s="71" t="s">
        <v>23</v>
      </c>
      <c r="K17" s="71"/>
      <c r="L17" s="71"/>
      <c r="M17" s="71" t="s">
        <v>24</v>
      </c>
      <c r="N17" s="71"/>
      <c r="O17" s="71"/>
      <c r="P17" s="71" t="s">
        <v>22</v>
      </c>
      <c r="Q17" s="71"/>
      <c r="R17" s="71"/>
      <c r="S17" s="71"/>
      <c r="T17" s="71" t="s">
        <v>25</v>
      </c>
      <c r="U17" s="71"/>
      <c r="V17" s="71"/>
      <c r="W17" s="71" t="s">
        <v>26</v>
      </c>
      <c r="X17" s="71"/>
      <c r="Y17" s="71"/>
      <c r="Z17" s="71" t="s">
        <v>27</v>
      </c>
      <c r="AA17" s="71"/>
      <c r="AB17" s="71"/>
    </row>
    <row r="18" spans="1:28" ht="15" customHeight="1" x14ac:dyDescent="0.2">
      <c r="A18" s="79" t="s">
        <v>56</v>
      </c>
      <c r="B18" s="79"/>
      <c r="C18" s="79"/>
      <c r="D18" s="79"/>
      <c r="E18" s="79"/>
      <c r="F18" s="79"/>
      <c r="G18" s="16">
        <v>-5</v>
      </c>
      <c r="H18" s="16">
        <v>1</v>
      </c>
      <c r="I18" s="16"/>
      <c r="J18" s="72"/>
      <c r="K18" s="73"/>
      <c r="L18" s="74"/>
      <c r="M18" s="16"/>
      <c r="N18" s="16">
        <v>0</v>
      </c>
      <c r="O18" s="16"/>
      <c r="P18" s="75"/>
      <c r="Q18" s="75"/>
      <c r="R18" s="75"/>
      <c r="S18" s="75"/>
      <c r="T18" s="17"/>
      <c r="U18" s="16">
        <v>0</v>
      </c>
      <c r="V18" s="17"/>
      <c r="W18" s="75"/>
      <c r="X18" s="75"/>
      <c r="Y18" s="75"/>
      <c r="Z18" s="17"/>
      <c r="AA18" s="16">
        <v>0</v>
      </c>
      <c r="AB18" s="17"/>
    </row>
    <row r="19" spans="1:28" ht="15" customHeight="1" x14ac:dyDescent="0.2">
      <c r="A19" s="33" t="s">
        <v>68</v>
      </c>
      <c r="B19" s="34"/>
      <c r="C19" s="34"/>
      <c r="D19" s="34"/>
      <c r="E19" s="34"/>
      <c r="F19" s="35"/>
      <c r="G19" s="16"/>
      <c r="H19" s="16">
        <v>1</v>
      </c>
      <c r="I19" s="16"/>
      <c r="J19" s="72"/>
      <c r="K19" s="73"/>
      <c r="L19" s="74"/>
      <c r="M19" s="16"/>
      <c r="N19" s="16">
        <v>0</v>
      </c>
      <c r="O19" s="16"/>
      <c r="P19" s="75"/>
      <c r="Q19" s="75"/>
      <c r="R19" s="75"/>
      <c r="S19" s="75"/>
      <c r="T19" s="17"/>
      <c r="U19" s="16">
        <v>0</v>
      </c>
      <c r="V19" s="17"/>
      <c r="W19" s="75"/>
      <c r="X19" s="75"/>
      <c r="Y19" s="75"/>
      <c r="Z19" s="17"/>
      <c r="AA19" s="16">
        <v>0</v>
      </c>
      <c r="AB19" s="17"/>
    </row>
    <row r="20" spans="1:28" ht="15" customHeight="1" x14ac:dyDescent="0.2">
      <c r="A20" s="33" t="s">
        <v>57</v>
      </c>
      <c r="B20" s="34"/>
      <c r="C20" s="34"/>
      <c r="D20" s="34"/>
      <c r="E20" s="34"/>
      <c r="F20" s="35"/>
      <c r="G20" s="16"/>
      <c r="H20" s="32">
        <v>3</v>
      </c>
      <c r="I20" s="16"/>
      <c r="J20" s="72"/>
      <c r="K20" s="73"/>
      <c r="L20" s="74"/>
      <c r="M20" s="16"/>
      <c r="N20" s="16">
        <v>0</v>
      </c>
      <c r="O20" s="16"/>
      <c r="P20" s="75"/>
      <c r="Q20" s="75"/>
      <c r="R20" s="75"/>
      <c r="S20" s="75"/>
      <c r="T20" s="17"/>
      <c r="U20" s="16">
        <v>0</v>
      </c>
      <c r="V20" s="17"/>
      <c r="W20" s="75"/>
      <c r="X20" s="75"/>
      <c r="Y20" s="75"/>
      <c r="Z20" s="18"/>
      <c r="AA20" s="16">
        <v>0</v>
      </c>
      <c r="AB20" s="17"/>
    </row>
    <row r="21" spans="1:28" ht="15" customHeight="1" x14ac:dyDescent="0.2">
      <c r="A21" s="33" t="s">
        <v>58</v>
      </c>
      <c r="B21" s="34"/>
      <c r="C21" s="34"/>
      <c r="D21" s="34"/>
      <c r="E21" s="34"/>
      <c r="F21" s="35"/>
      <c r="G21" s="16"/>
      <c r="H21" s="16">
        <v>283</v>
      </c>
      <c r="I21" s="16"/>
      <c r="J21" s="72"/>
      <c r="K21" s="73"/>
      <c r="L21" s="74"/>
      <c r="M21" s="16"/>
      <c r="N21" s="16">
        <v>0</v>
      </c>
      <c r="O21" s="16"/>
      <c r="P21" s="75"/>
      <c r="Q21" s="75"/>
      <c r="R21" s="75"/>
      <c r="S21" s="75"/>
      <c r="T21" s="17"/>
      <c r="U21" s="16">
        <v>0</v>
      </c>
      <c r="V21" s="17"/>
      <c r="W21" s="81"/>
      <c r="X21" s="81"/>
      <c r="Y21" s="81"/>
      <c r="Z21" s="17"/>
      <c r="AA21" s="16">
        <v>0</v>
      </c>
      <c r="AB21" s="17"/>
    </row>
    <row r="22" spans="1:28" ht="15" customHeight="1" x14ac:dyDescent="0.2">
      <c r="A22" s="33" t="s">
        <v>60</v>
      </c>
      <c r="B22" s="34"/>
      <c r="C22" s="34"/>
      <c r="D22" s="34"/>
      <c r="E22" s="34"/>
      <c r="F22" s="35"/>
      <c r="G22" s="32" t="s">
        <v>55</v>
      </c>
      <c r="H22" s="16">
        <v>178</v>
      </c>
      <c r="I22" s="16"/>
      <c r="J22" s="72"/>
      <c r="K22" s="73"/>
      <c r="L22" s="74"/>
      <c r="M22" s="16"/>
      <c r="N22" s="16">
        <v>0</v>
      </c>
      <c r="O22" s="16"/>
      <c r="P22" s="75"/>
      <c r="Q22" s="75"/>
      <c r="R22" s="75"/>
      <c r="S22" s="75"/>
      <c r="T22" s="17"/>
      <c r="U22" s="32">
        <v>0</v>
      </c>
      <c r="V22" s="17"/>
      <c r="W22" s="81"/>
      <c r="X22" s="81"/>
      <c r="Y22" s="81"/>
      <c r="Z22" s="17"/>
      <c r="AA22" s="16">
        <v>0</v>
      </c>
      <c r="AB22" s="17"/>
    </row>
    <row r="23" spans="1:28" ht="15" customHeight="1" x14ac:dyDescent="0.2">
      <c r="A23" s="33" t="s">
        <v>67</v>
      </c>
      <c r="B23" s="34"/>
      <c r="C23" s="34"/>
      <c r="D23" s="34"/>
      <c r="E23" s="34"/>
      <c r="F23" s="35"/>
      <c r="G23" s="16"/>
      <c r="H23" s="16">
        <v>210</v>
      </c>
      <c r="I23" s="16"/>
      <c r="J23" s="72"/>
      <c r="K23" s="73"/>
      <c r="L23" s="74"/>
      <c r="M23" s="16"/>
      <c r="N23" s="16">
        <v>0</v>
      </c>
      <c r="O23" s="16"/>
      <c r="P23" s="82"/>
      <c r="Q23" s="82"/>
      <c r="R23" s="82"/>
      <c r="S23" s="82"/>
      <c r="T23" s="17"/>
      <c r="U23" s="16">
        <v>0</v>
      </c>
      <c r="V23" s="17"/>
      <c r="W23" s="81"/>
      <c r="X23" s="81"/>
      <c r="Y23" s="81"/>
      <c r="Z23" s="17"/>
      <c r="AA23" s="16">
        <v>0</v>
      </c>
      <c r="AB23" s="17"/>
    </row>
    <row r="24" spans="1:28" ht="15" customHeight="1" x14ac:dyDescent="0.2">
      <c r="A24" s="33" t="s">
        <v>61</v>
      </c>
      <c r="B24" s="34"/>
      <c r="C24" s="34"/>
      <c r="D24" s="34"/>
      <c r="E24" s="34"/>
      <c r="F24" s="35"/>
      <c r="G24" s="16"/>
      <c r="H24" s="16">
        <v>23</v>
      </c>
      <c r="I24" s="16"/>
      <c r="J24" s="72"/>
      <c r="K24" s="73"/>
      <c r="L24" s="74"/>
      <c r="M24" s="16"/>
      <c r="N24" s="16">
        <v>0</v>
      </c>
      <c r="O24" s="16"/>
      <c r="P24" s="82"/>
      <c r="Q24" s="82"/>
      <c r="R24" s="82"/>
      <c r="S24" s="82"/>
      <c r="T24" s="17"/>
      <c r="U24" s="16">
        <v>0</v>
      </c>
      <c r="V24" s="17"/>
      <c r="W24" s="81"/>
      <c r="X24" s="81"/>
      <c r="Y24" s="81"/>
      <c r="Z24" s="17"/>
      <c r="AA24" s="16">
        <v>0</v>
      </c>
      <c r="AB24" s="17"/>
    </row>
    <row r="25" spans="1:28" ht="15" customHeight="1" x14ac:dyDescent="0.2">
      <c r="A25" s="79" t="s">
        <v>62</v>
      </c>
      <c r="B25" s="79"/>
      <c r="C25" s="79"/>
      <c r="D25" s="79"/>
      <c r="E25" s="79"/>
      <c r="F25" s="79"/>
      <c r="G25" s="16"/>
      <c r="H25" s="16">
        <v>16</v>
      </c>
      <c r="I25" s="16"/>
      <c r="J25" s="83"/>
      <c r="K25" s="84"/>
      <c r="L25" s="85"/>
      <c r="M25" s="16"/>
      <c r="N25" s="16">
        <v>0</v>
      </c>
      <c r="O25" s="16"/>
      <c r="P25" s="82"/>
      <c r="Q25" s="82"/>
      <c r="R25" s="82"/>
      <c r="S25" s="82"/>
      <c r="T25" s="17"/>
      <c r="U25" s="16">
        <v>0</v>
      </c>
      <c r="V25" s="17"/>
      <c r="W25" s="81"/>
      <c r="X25" s="81"/>
      <c r="Y25" s="81"/>
      <c r="Z25" s="17"/>
      <c r="AA25" s="16">
        <v>0</v>
      </c>
      <c r="AB25" s="17"/>
    </row>
    <row r="26" spans="1:28" ht="15" customHeight="1" x14ac:dyDescent="0.2">
      <c r="A26" s="33" t="s">
        <v>63</v>
      </c>
      <c r="B26" s="34"/>
      <c r="C26" s="34"/>
      <c r="D26" s="34"/>
      <c r="E26" s="34"/>
      <c r="F26" s="35"/>
      <c r="G26" s="16"/>
      <c r="H26" s="16">
        <v>1</v>
      </c>
      <c r="I26" s="16"/>
      <c r="J26" s="83"/>
      <c r="K26" s="84"/>
      <c r="L26" s="85"/>
      <c r="M26" s="16"/>
      <c r="N26" s="16">
        <v>0</v>
      </c>
      <c r="O26" s="16"/>
      <c r="P26" s="82"/>
      <c r="Q26" s="82"/>
      <c r="R26" s="82"/>
      <c r="S26" s="82"/>
      <c r="T26" s="17"/>
      <c r="U26" s="16">
        <v>0</v>
      </c>
      <c r="V26" s="17"/>
      <c r="W26" s="81"/>
      <c r="X26" s="81"/>
      <c r="Y26" s="81"/>
      <c r="Z26" s="17"/>
      <c r="AA26" s="16">
        <v>0</v>
      </c>
      <c r="AB26" s="17"/>
    </row>
    <row r="27" spans="1:28" ht="15" customHeight="1" x14ac:dyDescent="0.2">
      <c r="A27" s="33" t="s">
        <v>59</v>
      </c>
      <c r="B27" s="34"/>
      <c r="C27" s="34"/>
      <c r="D27" s="34"/>
      <c r="E27" s="34"/>
      <c r="F27" s="35"/>
      <c r="G27" s="16"/>
      <c r="H27" s="16">
        <v>1</v>
      </c>
      <c r="I27" s="16"/>
      <c r="J27" s="72"/>
      <c r="K27" s="73"/>
      <c r="L27" s="74"/>
      <c r="M27" s="16"/>
      <c r="N27" s="16">
        <v>0</v>
      </c>
      <c r="O27" s="16"/>
      <c r="P27" s="82"/>
      <c r="Q27" s="82"/>
      <c r="R27" s="82"/>
      <c r="S27" s="82"/>
      <c r="T27" s="17"/>
      <c r="U27" s="16">
        <v>0</v>
      </c>
      <c r="V27" s="17"/>
      <c r="W27" s="81"/>
      <c r="X27" s="81"/>
      <c r="Y27" s="81"/>
      <c r="Z27" s="17"/>
      <c r="AA27" s="16">
        <v>0</v>
      </c>
      <c r="AB27" s="17"/>
    </row>
    <row r="28" spans="1:28" ht="15" customHeight="1" x14ac:dyDescent="0.2">
      <c r="A28" s="33" t="s">
        <v>64</v>
      </c>
      <c r="B28" s="34"/>
      <c r="C28" s="34"/>
      <c r="D28" s="34"/>
      <c r="E28" s="34"/>
      <c r="F28" s="35"/>
      <c r="G28" s="16"/>
      <c r="H28" s="16">
        <v>2</v>
      </c>
      <c r="I28" s="16"/>
      <c r="J28" s="72"/>
      <c r="K28" s="73"/>
      <c r="L28" s="74"/>
      <c r="M28" s="16"/>
      <c r="N28" s="16">
        <v>0</v>
      </c>
      <c r="O28" s="16"/>
      <c r="P28" s="82"/>
      <c r="Q28" s="82"/>
      <c r="R28" s="82"/>
      <c r="S28" s="82"/>
      <c r="T28" s="17"/>
      <c r="U28" s="16">
        <v>0</v>
      </c>
      <c r="V28" s="17"/>
      <c r="W28" s="81"/>
      <c r="X28" s="81"/>
      <c r="Y28" s="81"/>
      <c r="Z28" s="17"/>
      <c r="AA28" s="16">
        <v>0</v>
      </c>
      <c r="AB28" s="17"/>
    </row>
    <row r="29" spans="1:28" ht="15" customHeight="1" x14ac:dyDescent="0.2">
      <c r="A29" s="33" t="s">
        <v>65</v>
      </c>
      <c r="B29" s="34"/>
      <c r="C29" s="34"/>
      <c r="D29" s="34"/>
      <c r="E29" s="34"/>
      <c r="F29" s="35"/>
      <c r="G29" s="16"/>
      <c r="H29" s="16">
        <v>1</v>
      </c>
      <c r="I29" s="16"/>
      <c r="J29" s="72"/>
      <c r="K29" s="73"/>
      <c r="L29" s="74"/>
      <c r="M29" s="16"/>
      <c r="N29" s="16">
        <v>0</v>
      </c>
      <c r="O29" s="16"/>
      <c r="P29" s="82"/>
      <c r="Q29" s="82"/>
      <c r="R29" s="82"/>
      <c r="S29" s="82"/>
      <c r="T29" s="17"/>
      <c r="U29" s="16">
        <v>0</v>
      </c>
      <c r="V29" s="17"/>
      <c r="W29" s="81"/>
      <c r="X29" s="81"/>
      <c r="Y29" s="81"/>
      <c r="Z29" s="17"/>
      <c r="AA29" s="16">
        <v>0</v>
      </c>
      <c r="AB29" s="17"/>
    </row>
    <row r="30" spans="1:28" ht="15" customHeight="1" x14ac:dyDescent="0.2">
      <c r="A30" s="33"/>
      <c r="B30" s="34"/>
      <c r="C30" s="34"/>
      <c r="D30" s="34"/>
      <c r="E30" s="34"/>
      <c r="F30" s="35"/>
      <c r="G30" s="16"/>
      <c r="H30" s="16">
        <v>0</v>
      </c>
      <c r="I30" s="16"/>
      <c r="J30" s="72"/>
      <c r="K30" s="73"/>
      <c r="L30" s="74"/>
      <c r="M30" s="16"/>
      <c r="N30" s="16">
        <v>0</v>
      </c>
      <c r="O30" s="16"/>
      <c r="P30" s="75"/>
      <c r="Q30" s="75"/>
      <c r="R30" s="75"/>
      <c r="S30" s="75"/>
      <c r="T30" s="17"/>
      <c r="U30" s="16">
        <v>0</v>
      </c>
      <c r="V30" s="17"/>
      <c r="W30" s="81"/>
      <c r="X30" s="81"/>
      <c r="Y30" s="81"/>
      <c r="Z30" s="17"/>
      <c r="AA30" s="16">
        <v>0</v>
      </c>
      <c r="AB30" s="17"/>
    </row>
    <row r="31" spans="1:28" ht="15" customHeight="1" x14ac:dyDescent="0.2">
      <c r="A31" s="79"/>
      <c r="B31" s="79"/>
      <c r="C31" s="79"/>
      <c r="D31" s="79"/>
      <c r="E31" s="79"/>
      <c r="F31" s="79"/>
      <c r="G31" s="16"/>
      <c r="H31" s="16">
        <v>0</v>
      </c>
      <c r="I31" s="16"/>
      <c r="J31" s="72"/>
      <c r="K31" s="73"/>
      <c r="L31" s="74"/>
      <c r="M31" s="16"/>
      <c r="N31" s="16">
        <v>0</v>
      </c>
      <c r="O31" s="16"/>
      <c r="P31" s="75"/>
      <c r="Q31" s="75"/>
      <c r="R31" s="75"/>
      <c r="S31" s="75"/>
      <c r="T31" s="17"/>
      <c r="U31" s="16">
        <v>0</v>
      </c>
      <c r="V31" s="17"/>
      <c r="W31" s="81"/>
      <c r="X31" s="81"/>
      <c r="Y31" s="81"/>
      <c r="Z31" s="17"/>
      <c r="AA31" s="16">
        <v>0</v>
      </c>
      <c r="AB31" s="17"/>
    </row>
    <row r="32" spans="1:28" ht="15" customHeight="1" x14ac:dyDescent="0.2">
      <c r="A32" s="79"/>
      <c r="B32" s="79"/>
      <c r="C32" s="79"/>
      <c r="D32" s="79"/>
      <c r="E32" s="79"/>
      <c r="F32" s="79"/>
      <c r="G32" s="16"/>
      <c r="H32" s="16">
        <v>0</v>
      </c>
      <c r="I32" s="16"/>
      <c r="J32" s="72"/>
      <c r="K32" s="73"/>
      <c r="L32" s="74"/>
      <c r="M32" s="16"/>
      <c r="N32" s="16">
        <v>0</v>
      </c>
      <c r="O32" s="16"/>
      <c r="P32" s="75"/>
      <c r="Q32" s="75"/>
      <c r="R32" s="75"/>
      <c r="S32" s="75"/>
      <c r="T32" s="17"/>
      <c r="U32" s="16">
        <v>0</v>
      </c>
      <c r="V32" s="17"/>
      <c r="W32" s="81"/>
      <c r="X32" s="81"/>
      <c r="Y32" s="81"/>
      <c r="Z32" s="17"/>
      <c r="AA32" s="16">
        <v>0</v>
      </c>
      <c r="AB32" s="17"/>
    </row>
    <row r="33" spans="1:28" ht="15" customHeight="1" x14ac:dyDescent="0.2">
      <c r="A33" s="33"/>
      <c r="B33" s="34"/>
      <c r="C33" s="34"/>
      <c r="D33" s="34"/>
      <c r="E33" s="34"/>
      <c r="F33" s="35"/>
      <c r="G33" s="16"/>
      <c r="H33" s="16">
        <v>0</v>
      </c>
      <c r="I33" s="16"/>
      <c r="J33" s="72"/>
      <c r="K33" s="73"/>
      <c r="L33" s="74"/>
      <c r="M33" s="16"/>
      <c r="N33" s="16">
        <v>0</v>
      </c>
      <c r="O33" s="16"/>
      <c r="P33" s="75"/>
      <c r="Q33" s="75"/>
      <c r="R33" s="75"/>
      <c r="S33" s="75"/>
      <c r="T33" s="17"/>
      <c r="U33" s="16">
        <v>0</v>
      </c>
      <c r="V33" s="17"/>
      <c r="W33" s="81"/>
      <c r="X33" s="81"/>
      <c r="Y33" s="81"/>
      <c r="Z33" s="17"/>
      <c r="AA33" s="16">
        <v>0</v>
      </c>
      <c r="AB33" s="17"/>
    </row>
    <row r="34" spans="1:28" ht="15" customHeight="1" x14ac:dyDescent="0.2">
      <c r="A34" s="33"/>
      <c r="B34" s="34"/>
      <c r="C34" s="34"/>
      <c r="D34" s="34"/>
      <c r="E34" s="34"/>
      <c r="F34" s="35"/>
      <c r="G34" s="16"/>
      <c r="H34" s="16">
        <v>0</v>
      </c>
      <c r="I34" s="16"/>
      <c r="J34" s="72"/>
      <c r="K34" s="73"/>
      <c r="L34" s="74"/>
      <c r="M34" s="16"/>
      <c r="N34" s="16">
        <v>0</v>
      </c>
      <c r="O34" s="16"/>
      <c r="P34" s="75"/>
      <c r="Q34" s="75"/>
      <c r="R34" s="75"/>
      <c r="S34" s="75"/>
      <c r="T34" s="17"/>
      <c r="U34" s="16">
        <v>0</v>
      </c>
      <c r="V34" s="17"/>
      <c r="W34" s="81"/>
      <c r="X34" s="81"/>
      <c r="Y34" s="81"/>
      <c r="Z34" s="17"/>
      <c r="AA34" s="16">
        <v>0</v>
      </c>
      <c r="AB34" s="17"/>
    </row>
    <row r="35" spans="1:28" ht="15" customHeight="1" x14ac:dyDescent="0.2">
      <c r="A35" s="33"/>
      <c r="B35" s="34"/>
      <c r="C35" s="34"/>
      <c r="D35" s="34"/>
      <c r="E35" s="34"/>
      <c r="F35" s="35"/>
      <c r="G35" s="16"/>
      <c r="H35" s="16">
        <v>0</v>
      </c>
      <c r="I35" s="16"/>
      <c r="J35" s="72"/>
      <c r="K35" s="73"/>
      <c r="L35" s="74"/>
      <c r="M35" s="16"/>
      <c r="N35" s="16">
        <v>0</v>
      </c>
      <c r="O35" s="16"/>
      <c r="P35" s="75"/>
      <c r="Q35" s="75"/>
      <c r="R35" s="75"/>
      <c r="S35" s="75"/>
      <c r="T35" s="17"/>
      <c r="U35" s="16">
        <v>0</v>
      </c>
      <c r="V35" s="17"/>
      <c r="W35" s="81"/>
      <c r="X35" s="81"/>
      <c r="Y35" s="81"/>
      <c r="Z35" s="17"/>
      <c r="AA35" s="16">
        <v>0</v>
      </c>
      <c r="AB35" s="17"/>
    </row>
    <row r="36" spans="1:28" ht="15" customHeight="1" x14ac:dyDescent="0.2">
      <c r="A36" s="33"/>
      <c r="B36" s="34"/>
      <c r="C36" s="34"/>
      <c r="D36" s="34"/>
      <c r="E36" s="34"/>
      <c r="F36" s="35"/>
      <c r="G36" s="16"/>
      <c r="H36" s="16">
        <v>0</v>
      </c>
      <c r="I36" s="16"/>
      <c r="J36" s="72"/>
      <c r="K36" s="73"/>
      <c r="L36" s="74"/>
      <c r="M36" s="16"/>
      <c r="N36" s="16">
        <v>0</v>
      </c>
      <c r="O36" s="16"/>
      <c r="P36" s="75"/>
      <c r="Q36" s="75"/>
      <c r="R36" s="75"/>
      <c r="S36" s="75"/>
      <c r="T36" s="17"/>
      <c r="U36" s="16">
        <v>0</v>
      </c>
      <c r="V36" s="17"/>
      <c r="W36" s="81"/>
      <c r="X36" s="81"/>
      <c r="Y36" s="81"/>
      <c r="Z36" s="17"/>
      <c r="AA36" s="16">
        <v>0</v>
      </c>
      <c r="AB36" s="17"/>
    </row>
    <row r="37" spans="1:28" ht="15" customHeight="1" x14ac:dyDescent="0.2">
      <c r="A37" s="33"/>
      <c r="B37" s="34"/>
      <c r="C37" s="34"/>
      <c r="D37" s="34"/>
      <c r="E37" s="34"/>
      <c r="F37" s="35"/>
      <c r="G37" s="16"/>
      <c r="H37" s="16">
        <v>0</v>
      </c>
      <c r="I37" s="16"/>
      <c r="J37" s="72"/>
      <c r="K37" s="73"/>
      <c r="L37" s="74"/>
      <c r="M37" s="16"/>
      <c r="N37" s="16">
        <v>0</v>
      </c>
      <c r="O37" s="16"/>
      <c r="P37" s="75"/>
      <c r="Q37" s="75"/>
      <c r="R37" s="75"/>
      <c r="S37" s="75"/>
      <c r="T37" s="17"/>
      <c r="U37" s="16">
        <v>0</v>
      </c>
      <c r="V37" s="17"/>
      <c r="W37" s="94"/>
      <c r="X37" s="81"/>
      <c r="Y37" s="81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W39" s="48" t="s">
        <v>33</v>
      </c>
      <c r="X39" s="48"/>
      <c r="Y39" s="48"/>
      <c r="Z39" s="48"/>
      <c r="AA39" s="48"/>
      <c r="AB39" s="48"/>
    </row>
    <row r="40" spans="1:28" ht="22.5" customHeight="1" x14ac:dyDescent="0.2">
      <c r="A40" s="96">
        <v>0</v>
      </c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8"/>
      <c r="W40" s="86"/>
      <c r="X40" s="87"/>
      <c r="Y40" s="87"/>
      <c r="Z40" s="87"/>
      <c r="AA40" s="87"/>
      <c r="AB40" s="88"/>
    </row>
    <row r="41" spans="1:28" ht="26.25" customHeight="1" x14ac:dyDescent="0.2">
      <c r="A41" s="99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1"/>
      <c r="V41" s="90"/>
      <c r="W41" s="89" t="s">
        <v>28</v>
      </c>
      <c r="X41" s="48"/>
      <c r="Y41" s="48"/>
      <c r="Z41" s="48"/>
      <c r="AA41" s="48"/>
      <c r="AB41" s="48"/>
    </row>
    <row r="42" spans="1:28" ht="22.5" customHeight="1" x14ac:dyDescent="0.2">
      <c r="A42" s="99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1"/>
      <c r="V42" s="90"/>
      <c r="W42" s="91"/>
      <c r="X42" s="92"/>
      <c r="Y42" s="92"/>
      <c r="Z42" s="92"/>
      <c r="AA42" s="92"/>
      <c r="AB42" s="93"/>
    </row>
  </sheetData>
  <sheetProtection formatCells="0" insertRows="0" deleteRows="0" selectLockedCells="1" sort="0"/>
  <mergeCells count="144"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A20:F20"/>
    <mergeCell ref="A26:F26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1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2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3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4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5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6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7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8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09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10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11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12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13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4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5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6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7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8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9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20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21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22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23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24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25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6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27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28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29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30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31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32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33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34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35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36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7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38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39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40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41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42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43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44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45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46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47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48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49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50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51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52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53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54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55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56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57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58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59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6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61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62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63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64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65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14"/>
  <sheetViews>
    <sheetView topLeftCell="F1" zoomScale="101" workbookViewId="0">
      <selection activeCell="M1" activeCellId="1" sqref="L1:L1048576 M1:M1048576"/>
    </sheetView>
  </sheetViews>
  <sheetFormatPr baseColWidth="10" defaultColWidth="11.42578125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43</v>
      </c>
      <c r="B1" s="30" t="s">
        <v>44</v>
      </c>
      <c r="C1" s="30" t="s">
        <v>45</v>
      </c>
      <c r="D1" s="30" t="s">
        <v>46</v>
      </c>
      <c r="E1" s="30" t="s">
        <v>47</v>
      </c>
      <c r="F1" s="30" t="s">
        <v>48</v>
      </c>
      <c r="G1" s="30" t="s">
        <v>49</v>
      </c>
      <c r="H1" s="30" t="s">
        <v>50</v>
      </c>
      <c r="I1" s="30" t="s">
        <v>51</v>
      </c>
      <c r="J1" s="30" t="s">
        <v>52</v>
      </c>
    </row>
    <row r="2" spans="1:10" x14ac:dyDescent="0.2">
      <c r="A2" s="27" t="str">
        <f>'Densidad de Grupos'!U9</f>
        <v>SP-21-0264</v>
      </c>
      <c r="B2" s="29">
        <f>'Densidad de Grupos'!J13</f>
        <v>5.4084317971817972</v>
      </c>
      <c r="C2" s="29">
        <f>'Densidad de Grupos'!O13</f>
        <v>125</v>
      </c>
      <c r="D2" s="29">
        <f>'Densidad de Grupos'!U13</f>
        <v>5</v>
      </c>
      <c r="E2" s="29">
        <f>'Densidad de Grupos'!AA13</f>
        <v>1</v>
      </c>
      <c r="F2" s="29">
        <f>E2*D2</f>
        <v>5</v>
      </c>
      <c r="G2" s="26" t="str">
        <f>'Densidad de Grupos'!A18</f>
        <v>Decapoda (Anomura Zoea)</v>
      </c>
      <c r="H2" s="26">
        <f>'Densidad de Grupos'!H18</f>
        <v>1</v>
      </c>
      <c r="I2" s="28">
        <f>((H2*C2)/(F2*B2))*2</f>
        <v>9.2448239850327383</v>
      </c>
      <c r="J2" s="28">
        <f>I2*1000</f>
        <v>9244.8239850327391</v>
      </c>
    </row>
    <row r="3" spans="1:10" x14ac:dyDescent="0.2">
      <c r="A3" s="27" t="str">
        <f>$A$2</f>
        <v>SP-21-0264</v>
      </c>
      <c r="B3" s="29">
        <f>$B$2</f>
        <v>5.4084317971817972</v>
      </c>
      <c r="C3" s="29">
        <f>$C$2</f>
        <v>125</v>
      </c>
      <c r="D3" s="29">
        <f>$D$2</f>
        <v>5</v>
      </c>
      <c r="E3" s="29">
        <f>$E$2</f>
        <v>1</v>
      </c>
      <c r="F3" s="29">
        <f>$F$2</f>
        <v>5</v>
      </c>
      <c r="G3" s="26" t="str">
        <f>'Densidad de Grupos'!A19</f>
        <v>Radiolaria (Spongodiscidae)</v>
      </c>
      <c r="H3" s="26">
        <f>'Densidad de Grupos'!H19</f>
        <v>1</v>
      </c>
      <c r="I3" s="28">
        <f t="shared" ref="I3:I14" si="0">((H3*C3)/(F3*B3))*2</f>
        <v>9.2448239850327383</v>
      </c>
      <c r="J3" s="28">
        <f t="shared" ref="J3:J14" si="1">I3*1000</f>
        <v>9244.8239850327391</v>
      </c>
    </row>
    <row r="4" spans="1:10" x14ac:dyDescent="0.2">
      <c r="A4" s="27" t="str">
        <f t="shared" ref="A4:A14" si="2">$A$2</f>
        <v>SP-21-0264</v>
      </c>
      <c r="B4" s="29">
        <f t="shared" ref="B4:B14" si="3">$B$2</f>
        <v>5.4084317971817972</v>
      </c>
      <c r="C4" s="29">
        <f t="shared" ref="C4:C14" si="4">$C$2</f>
        <v>125</v>
      </c>
      <c r="D4" s="29">
        <f t="shared" ref="D4:D14" si="5">$D$2</f>
        <v>5</v>
      </c>
      <c r="E4" s="29">
        <f t="shared" ref="E4:E14" si="6">$E$2</f>
        <v>1</v>
      </c>
      <c r="F4" s="29">
        <f t="shared" ref="F4:F14" si="7">$F$2</f>
        <v>5</v>
      </c>
      <c r="G4" s="26" t="str">
        <f>'Densidad de Grupos'!A20</f>
        <v>Decapoda (Brachyura Zoea)</v>
      </c>
      <c r="H4" s="26">
        <f>'Densidad de Grupos'!H20</f>
        <v>3</v>
      </c>
      <c r="I4" s="31">
        <f t="shared" si="0"/>
        <v>27.734471955098215</v>
      </c>
      <c r="J4" s="28">
        <f t="shared" si="1"/>
        <v>27734.471955098215</v>
      </c>
    </row>
    <row r="5" spans="1:10" x14ac:dyDescent="0.2">
      <c r="A5" s="27" t="str">
        <f t="shared" si="2"/>
        <v>SP-21-0264</v>
      </c>
      <c r="B5" s="29">
        <f t="shared" si="3"/>
        <v>5.4084317971817972</v>
      </c>
      <c r="C5" s="29">
        <f t="shared" si="4"/>
        <v>125</v>
      </c>
      <c r="D5" s="29">
        <f t="shared" si="5"/>
        <v>5</v>
      </c>
      <c r="E5" s="29">
        <f t="shared" si="6"/>
        <v>1</v>
      </c>
      <c r="F5" s="29">
        <f t="shared" si="7"/>
        <v>5</v>
      </c>
      <c r="G5" s="26" t="str">
        <f>'Densidad de Grupos'!A21</f>
        <v>Copepoda (Calanoida)</v>
      </c>
      <c r="H5" s="26">
        <f>'Densidad de Grupos'!H21</f>
        <v>283</v>
      </c>
      <c r="I5" s="28">
        <f t="shared" si="0"/>
        <v>2616.2851877642652</v>
      </c>
      <c r="J5" s="28">
        <f t="shared" si="1"/>
        <v>2616285.1877642651</v>
      </c>
    </row>
    <row r="6" spans="1:10" x14ac:dyDescent="0.2">
      <c r="A6" s="27" t="str">
        <f t="shared" si="2"/>
        <v>SP-21-0264</v>
      </c>
      <c r="B6" s="29">
        <f t="shared" si="3"/>
        <v>5.4084317971817972</v>
      </c>
      <c r="C6" s="29">
        <f t="shared" si="4"/>
        <v>125</v>
      </c>
      <c r="D6" s="29">
        <f t="shared" si="5"/>
        <v>5</v>
      </c>
      <c r="E6" s="29">
        <f t="shared" si="6"/>
        <v>1</v>
      </c>
      <c r="F6" s="29">
        <f t="shared" si="7"/>
        <v>5</v>
      </c>
      <c r="G6" s="26" t="str">
        <f>'Densidad de Grupos'!A22</f>
        <v>Copepoda (Cyclopoida)</v>
      </c>
      <c r="H6" s="26">
        <f>'Densidad de Grupos'!H22</f>
        <v>178</v>
      </c>
      <c r="I6" s="31">
        <f t="shared" si="0"/>
        <v>1645.5786693358275</v>
      </c>
      <c r="J6" s="28">
        <f t="shared" si="1"/>
        <v>1645578.6693358275</v>
      </c>
    </row>
    <row r="7" spans="1:10" x14ac:dyDescent="0.2">
      <c r="A7" s="27" t="str">
        <f t="shared" si="2"/>
        <v>SP-21-0264</v>
      </c>
      <c r="B7" s="29">
        <f t="shared" si="3"/>
        <v>5.4084317971817972</v>
      </c>
      <c r="C7" s="29">
        <f t="shared" si="4"/>
        <v>125</v>
      </c>
      <c r="D7" s="29">
        <f t="shared" si="5"/>
        <v>5</v>
      </c>
      <c r="E7" s="29">
        <f t="shared" si="6"/>
        <v>1</v>
      </c>
      <c r="F7" s="29">
        <f t="shared" si="7"/>
        <v>5</v>
      </c>
      <c r="G7" s="26" t="str">
        <f>'Densidad de Grupos'!A23</f>
        <v>Pyrocystis pseudonoctiluca</v>
      </c>
      <c r="H7" s="26">
        <f>'Densidad de Grupos'!H23</f>
        <v>210</v>
      </c>
      <c r="I7" s="31">
        <f t="shared" si="0"/>
        <v>1941.4130368568751</v>
      </c>
      <c r="J7" s="28">
        <f t="shared" si="1"/>
        <v>1941413.0368568751</v>
      </c>
    </row>
    <row r="8" spans="1:10" x14ac:dyDescent="0.2">
      <c r="A8" s="27" t="str">
        <f t="shared" si="2"/>
        <v>SP-21-0264</v>
      </c>
      <c r="B8" s="29">
        <f t="shared" si="3"/>
        <v>5.4084317971817972</v>
      </c>
      <c r="C8" s="29">
        <f t="shared" si="4"/>
        <v>125</v>
      </c>
      <c r="D8" s="29">
        <f t="shared" si="5"/>
        <v>5</v>
      </c>
      <c r="E8" s="29">
        <f t="shared" si="6"/>
        <v>1</v>
      </c>
      <c r="F8" s="29">
        <f t="shared" si="7"/>
        <v>5</v>
      </c>
      <c r="G8" s="26" t="str">
        <f>'Densidad de Grupos'!A24</f>
        <v>Chaetognatha</v>
      </c>
      <c r="H8" s="26">
        <f>'Densidad de Grupos'!H24</f>
        <v>23</v>
      </c>
      <c r="I8" s="31">
        <f t="shared" si="0"/>
        <v>212.63095165575299</v>
      </c>
      <c r="J8" s="28">
        <f t="shared" si="1"/>
        <v>212630.95165575299</v>
      </c>
    </row>
    <row r="9" spans="1:10" x14ac:dyDescent="0.2">
      <c r="A9" s="27" t="str">
        <f t="shared" si="2"/>
        <v>SP-21-0264</v>
      </c>
      <c r="B9" s="29">
        <f t="shared" si="3"/>
        <v>5.4084317971817972</v>
      </c>
      <c r="C9" s="29">
        <f t="shared" si="4"/>
        <v>125</v>
      </c>
      <c r="D9" s="29">
        <f t="shared" si="5"/>
        <v>5</v>
      </c>
      <c r="E9" s="29">
        <f t="shared" si="6"/>
        <v>1</v>
      </c>
      <c r="F9" s="29">
        <f t="shared" si="7"/>
        <v>5</v>
      </c>
      <c r="G9" s="26" t="str">
        <f>'Densidad de Grupos'!A25</f>
        <v>Ostracoda</v>
      </c>
      <c r="H9" s="26">
        <f>'Densidad de Grupos'!H25</f>
        <v>16</v>
      </c>
      <c r="I9" s="31">
        <f t="shared" si="0"/>
        <v>147.91718376052381</v>
      </c>
      <c r="J9" s="28">
        <f t="shared" si="1"/>
        <v>147917.18376052383</v>
      </c>
    </row>
    <row r="10" spans="1:10" x14ac:dyDescent="0.2">
      <c r="A10" s="27" t="str">
        <f t="shared" si="2"/>
        <v>SP-21-0264</v>
      </c>
      <c r="B10" s="29">
        <f t="shared" si="3"/>
        <v>5.4084317971817972</v>
      </c>
      <c r="C10" s="29">
        <f t="shared" si="4"/>
        <v>125</v>
      </c>
      <c r="D10" s="29">
        <f t="shared" si="5"/>
        <v>5</v>
      </c>
      <c r="E10" s="29">
        <f t="shared" si="6"/>
        <v>1</v>
      </c>
      <c r="F10" s="29">
        <f t="shared" si="7"/>
        <v>5</v>
      </c>
      <c r="G10" s="26" t="str">
        <f>'Densidad de Grupos'!A26</f>
        <v>Mollusca (Atlanta)</v>
      </c>
      <c r="H10" s="26">
        <f>'Densidad de Grupos'!H26</f>
        <v>1</v>
      </c>
      <c r="I10" s="31">
        <f t="shared" si="0"/>
        <v>9.2448239850327383</v>
      </c>
      <c r="J10" s="28">
        <f t="shared" si="1"/>
        <v>9244.8239850327391</v>
      </c>
    </row>
    <row r="11" spans="1:10" x14ac:dyDescent="0.2">
      <c r="A11" s="27" t="str">
        <f t="shared" si="2"/>
        <v>SP-21-0264</v>
      </c>
      <c r="B11" s="29">
        <f t="shared" si="3"/>
        <v>5.4084317971817972</v>
      </c>
      <c r="C11" s="29">
        <f t="shared" si="4"/>
        <v>125</v>
      </c>
      <c r="D11" s="29">
        <f t="shared" si="5"/>
        <v>5</v>
      </c>
      <c r="E11" s="29">
        <f t="shared" si="6"/>
        <v>1</v>
      </c>
      <c r="F11" s="29">
        <f t="shared" si="7"/>
        <v>5</v>
      </c>
      <c r="G11" s="26" t="str">
        <f>'Densidad de Grupos'!A27</f>
        <v>Pez (Huevo)</v>
      </c>
      <c r="H11" s="26">
        <f>'Densidad de Grupos'!H27</f>
        <v>1</v>
      </c>
      <c r="I11" s="31">
        <f t="shared" si="0"/>
        <v>9.2448239850327383</v>
      </c>
      <c r="J11" s="28">
        <f t="shared" si="1"/>
        <v>9244.8239850327391</v>
      </c>
    </row>
    <row r="12" spans="1:10" x14ac:dyDescent="0.2">
      <c r="A12" s="27" t="str">
        <f t="shared" si="2"/>
        <v>SP-21-0264</v>
      </c>
      <c r="B12" s="29">
        <f t="shared" si="3"/>
        <v>5.4084317971817972</v>
      </c>
      <c r="C12" s="29">
        <f t="shared" si="4"/>
        <v>125</v>
      </c>
      <c r="D12" s="29">
        <f t="shared" si="5"/>
        <v>5</v>
      </c>
      <c r="E12" s="29">
        <f t="shared" si="6"/>
        <v>1</v>
      </c>
      <c r="F12" s="29">
        <f t="shared" si="7"/>
        <v>5</v>
      </c>
      <c r="G12" s="26" t="str">
        <f>'Densidad de Grupos'!A28</f>
        <v>Mollusca (Limacina)</v>
      </c>
      <c r="H12" s="26">
        <f>'Densidad de Grupos'!H28</f>
        <v>2</v>
      </c>
      <c r="I12" s="31">
        <f t="shared" si="0"/>
        <v>18.489647970065477</v>
      </c>
      <c r="J12" s="28">
        <f t="shared" si="1"/>
        <v>18489.647970065478</v>
      </c>
    </row>
    <row r="13" spans="1:10" x14ac:dyDescent="0.2">
      <c r="A13" s="27" t="str">
        <f t="shared" si="2"/>
        <v>SP-21-0264</v>
      </c>
      <c r="B13" s="29">
        <f t="shared" si="3"/>
        <v>5.4084317971817972</v>
      </c>
      <c r="C13" s="29">
        <f t="shared" si="4"/>
        <v>125</v>
      </c>
      <c r="D13" s="29">
        <f t="shared" si="5"/>
        <v>5</v>
      </c>
      <c r="E13" s="29">
        <f t="shared" si="6"/>
        <v>1</v>
      </c>
      <c r="F13" s="29">
        <f t="shared" si="7"/>
        <v>5</v>
      </c>
      <c r="G13" s="26" t="str">
        <f>'Densidad de Grupos'!A29</f>
        <v>Euphausiacea</v>
      </c>
      <c r="H13" s="26">
        <f>'Densidad de Grupos'!H29</f>
        <v>1</v>
      </c>
      <c r="I13" s="31">
        <f t="shared" si="0"/>
        <v>9.2448239850327383</v>
      </c>
      <c r="J13" s="28">
        <f t="shared" si="1"/>
        <v>9244.8239850327391</v>
      </c>
    </row>
    <row r="14" spans="1:10" x14ac:dyDescent="0.2">
      <c r="A14" s="27" t="str">
        <f t="shared" si="2"/>
        <v>SP-21-0264</v>
      </c>
      <c r="B14" s="29">
        <f t="shared" si="3"/>
        <v>5.4084317971817972</v>
      </c>
      <c r="C14" s="29">
        <f t="shared" si="4"/>
        <v>125</v>
      </c>
      <c r="D14" s="29">
        <f t="shared" si="5"/>
        <v>5</v>
      </c>
      <c r="E14" s="29">
        <f t="shared" si="6"/>
        <v>1</v>
      </c>
      <c r="F14" s="29">
        <f t="shared" si="7"/>
        <v>5</v>
      </c>
      <c r="G14" s="26">
        <f>'Densidad de Grupos'!A30</f>
        <v>0</v>
      </c>
      <c r="H14" s="26">
        <f>'Densidad de Grupos'!H30</f>
        <v>0</v>
      </c>
      <c r="I14" s="28">
        <f t="shared" si="0"/>
        <v>0</v>
      </c>
      <c r="J14" s="28">
        <f t="shared" si="1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Densidad de Grupos</vt:lpstr>
      <vt:lpstr>Cálculos_Densidad_De_Grupos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2022-02-28T04:16:16Z</dcterms:modified>
</cp:coreProperties>
</file>