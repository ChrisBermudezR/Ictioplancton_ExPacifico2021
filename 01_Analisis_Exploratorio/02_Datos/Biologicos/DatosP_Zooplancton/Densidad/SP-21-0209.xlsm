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2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drawings/drawing3.xml" ContentType="application/vnd.openxmlformats-officedocument.drawing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92C02E06-1B41-4114-ACA3-BE608A481E59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Polychaeta" sheetId="13" r:id="rId2"/>
    <sheet name="Larvas de peces" sheetId="3" r:id="rId3"/>
    <sheet name="Cálculos_Densidad_De_Grupos" sheetId="4" r:id="rId4"/>
    <sheet name="Cálculos_Polychaeta" sheetId="14" r:id="rId5"/>
    <sheet name="Cálculos_Larvas_de_Peces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4" l="1"/>
  <c r="H2" i="14"/>
  <c r="G2" i="14"/>
  <c r="E2" i="14"/>
  <c r="D2" i="14"/>
  <c r="C2" i="14"/>
  <c r="J13" i="13"/>
  <c r="U9" i="13"/>
  <c r="Y6" i="13"/>
  <c r="U6" i="13"/>
  <c r="Y5" i="13"/>
  <c r="U5" i="13"/>
  <c r="U6" i="3"/>
  <c r="U5" i="3"/>
  <c r="Y6" i="3"/>
  <c r="Y5" i="3"/>
  <c r="J13" i="3"/>
  <c r="U9" i="3"/>
  <c r="F2" i="14" l="1"/>
  <c r="B2" i="14"/>
  <c r="I2" i="14" s="1"/>
  <c r="J2" i="14" l="1"/>
  <c r="G3" i="4"/>
  <c r="G4" i="4"/>
  <c r="G5" i="4"/>
  <c r="G6" i="4"/>
  <c r="G7" i="4"/>
  <c r="G2" i="4"/>
  <c r="H6" i="4"/>
  <c r="D2" i="5"/>
  <c r="E2" i="5" l="1"/>
  <c r="H2" i="5" l="1"/>
  <c r="G2" i="5"/>
  <c r="C2" i="5"/>
  <c r="B2" i="5"/>
  <c r="A2" i="5"/>
  <c r="F2" i="5"/>
  <c r="H3" i="4"/>
  <c r="H4" i="4"/>
  <c r="H5" i="4"/>
  <c r="H7" i="4"/>
  <c r="H2" i="4"/>
  <c r="E2" i="4"/>
  <c r="D2" i="4"/>
  <c r="C2" i="4"/>
  <c r="B2" i="4"/>
  <c r="A2" i="4"/>
  <c r="B6" i="4" l="1"/>
  <c r="C6" i="4"/>
  <c r="D6" i="4"/>
  <c r="E6" i="4"/>
  <c r="A6" i="4"/>
  <c r="D4" i="4"/>
  <c r="B7" i="4"/>
  <c r="B3" i="4"/>
  <c r="B4" i="4"/>
  <c r="B5" i="4"/>
  <c r="J2" i="5"/>
  <c r="I2" i="5"/>
  <c r="D3" i="4"/>
  <c r="D5" i="4"/>
  <c r="D7" i="4"/>
  <c r="A3" i="4"/>
  <c r="E3" i="4"/>
  <c r="C4" i="4"/>
  <c r="A5" i="4"/>
  <c r="E5" i="4"/>
  <c r="A7" i="4"/>
  <c r="E7" i="4"/>
  <c r="F2" i="4"/>
  <c r="C3" i="4"/>
  <c r="A4" i="4"/>
  <c r="E4" i="4"/>
  <c r="C5" i="4"/>
  <c r="C7" i="4"/>
  <c r="F6" i="4" l="1"/>
  <c r="I6" i="4" s="1"/>
  <c r="J6" i="4" s="1"/>
  <c r="I2" i="4"/>
  <c r="J2" i="4" s="1"/>
  <c r="F3" i="4"/>
  <c r="I3" i="4" s="1"/>
  <c r="J3" i="4" s="1"/>
  <c r="F7" i="4"/>
  <c r="F5" i="4"/>
  <c r="I5" i="4" s="1"/>
  <c r="J5" i="4" s="1"/>
  <c r="F4" i="4"/>
  <c r="I4" i="4" s="1"/>
  <c r="J4" i="4" s="1"/>
  <c r="I7" i="4" l="1"/>
  <c r="J7" i="4" s="1"/>
</calcChain>
</file>

<file path=xl/sharedStrings.xml><?xml version="1.0" encoding="utf-8"?>
<sst xmlns="http://schemas.openxmlformats.org/spreadsheetml/2006/main" count="188" uniqueCount="69">
  <si>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</si>
  <si>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</si>
  <si>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</si>
  <si>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</si>
  <si>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</si>
  <si>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</si>
  <si>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</si>
  <si>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</si>
  <si>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</si>
  <si>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</si>
  <si>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</si>
  <si>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</si>
  <si>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</si>
  <si>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</si>
  <si>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</si>
  <si>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</si>
  <si>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</si>
  <si>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</si>
  <si>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</si>
  <si>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</si>
  <si>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</si>
  <si>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</si>
  <si>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</si>
  <si>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</si>
  <si>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</si>
  <si>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</si>
  <si>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</si>
  <si>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</si>
  <si>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</si>
  <si>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</si>
  <si>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</si>
  <si>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</si>
  <si>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</si>
  <si>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</si>
  <si>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</si>
  <si>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</si>
  <si>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</si>
  <si>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</si>
  <si>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</si>
  <si>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</si>
  <si>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</si>
  <si>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</si>
  <si>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</si>
  <si>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</si>
  <si>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</si>
  <si>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</si>
  <si>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</si>
  <si>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</si>
  <si>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</si>
  <si>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</si>
  <si>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</si>
  <si>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</si>
  <si>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</si>
  <si>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</si>
  <si>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</si>
  <si>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</si>
  <si>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</si>
  <si>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</si>
  <si>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</si>
  <si>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SP-21-0209</t>
  </si>
  <si>
    <t>Decapoda (Anomura Zoea)</t>
  </si>
  <si>
    <t>Decapoda (Brachyura Zoea)</t>
  </si>
  <si>
    <t>Copepoda (Calanoida)</t>
  </si>
  <si>
    <t>Ostracoda</t>
  </si>
  <si>
    <t>Copepoda (Farranula)</t>
  </si>
  <si>
    <t>Pez (Perciformes)</t>
  </si>
  <si>
    <t>Coscinodiscopsis</t>
  </si>
  <si>
    <t>Polychaeta (Larva)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</si>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</sst>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0"/>
    <numFmt numFmtId="166" formatCode="0.0"/>
    <numFmt numFmtId="167" formatCode="0.0000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167" fontId="2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1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1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1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1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1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1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1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1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1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1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1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1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1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1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1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1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1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1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1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1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1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1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1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1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1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1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1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1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1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1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1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1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1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1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1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1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1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1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1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1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1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1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1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1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1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1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1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1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1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1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1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1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1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1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1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1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1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1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1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1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1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1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1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1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1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1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1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1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1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1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1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1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1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1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1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1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1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1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1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1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1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1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1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1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1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1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1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1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1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1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1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1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1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1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1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1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1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1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1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1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1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1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1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1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1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1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1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1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1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1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1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1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1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1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1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1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1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1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1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1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1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1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1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1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1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1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1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1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1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1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1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1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1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1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1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1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1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1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1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1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1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1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1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1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1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1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1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1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1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1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1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1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1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1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1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1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1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2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2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2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2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2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2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2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2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2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2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2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2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2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2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2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2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2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2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2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2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2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2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2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2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2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2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2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2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2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2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2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2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2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2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2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2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2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2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2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2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2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2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2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2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2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2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2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2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2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2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2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2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2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2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2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2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2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2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2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2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2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2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2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2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2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2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2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2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2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2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2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2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2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2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2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2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2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2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2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2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2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2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2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2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2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2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2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2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2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2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2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2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2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2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2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2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2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2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2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2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2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2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2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2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2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2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2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2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2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2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2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2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2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2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2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2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2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2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2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2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2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2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63" Type="http://schemas.openxmlformats.org/officeDocument/2006/relationships/ctrlProp" Target="../ctrlProps/ctrlProp322.xml"/><Relationship Id="rId84" Type="http://schemas.openxmlformats.org/officeDocument/2006/relationships/ctrlProp" Target="../ctrlProps/ctrlProp343.xml"/><Relationship Id="rId138" Type="http://schemas.openxmlformats.org/officeDocument/2006/relationships/ctrlProp" Target="../ctrlProps/ctrlProp397.xml"/><Relationship Id="rId159" Type="http://schemas.openxmlformats.org/officeDocument/2006/relationships/ctrlProp" Target="../ctrlProps/ctrlProp418.xml"/><Relationship Id="rId170" Type="http://schemas.openxmlformats.org/officeDocument/2006/relationships/ctrlProp" Target="../ctrlProps/ctrlProp429.xml"/><Relationship Id="rId191" Type="http://schemas.openxmlformats.org/officeDocument/2006/relationships/ctrlProp" Target="../ctrlProps/ctrlProp450.xml"/><Relationship Id="rId205" Type="http://schemas.openxmlformats.org/officeDocument/2006/relationships/ctrlProp" Target="../ctrlProps/ctrlProp464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53" Type="http://schemas.openxmlformats.org/officeDocument/2006/relationships/ctrlProp" Target="../ctrlProps/ctrlProp312.xml"/><Relationship Id="rId74" Type="http://schemas.openxmlformats.org/officeDocument/2006/relationships/ctrlProp" Target="../ctrlProps/ctrlProp333.xml"/><Relationship Id="rId128" Type="http://schemas.openxmlformats.org/officeDocument/2006/relationships/ctrlProp" Target="../ctrlProps/ctrlProp387.xml"/><Relationship Id="rId149" Type="http://schemas.openxmlformats.org/officeDocument/2006/relationships/ctrlProp" Target="../ctrlProps/ctrlProp408.xml"/><Relationship Id="rId5" Type="http://schemas.openxmlformats.org/officeDocument/2006/relationships/ctrlProp" Target="../ctrlProps/ctrlProp264.xml"/><Relationship Id="rId95" Type="http://schemas.openxmlformats.org/officeDocument/2006/relationships/ctrlProp" Target="../ctrlProps/ctrlProp354.xml"/><Relationship Id="rId160" Type="http://schemas.openxmlformats.org/officeDocument/2006/relationships/ctrlProp" Target="../ctrlProps/ctrlProp419.xml"/><Relationship Id="rId181" Type="http://schemas.openxmlformats.org/officeDocument/2006/relationships/ctrlProp" Target="../ctrlProps/ctrlProp440.xml"/><Relationship Id="rId22" Type="http://schemas.openxmlformats.org/officeDocument/2006/relationships/ctrlProp" Target="../ctrlProps/ctrlProp281.xml"/><Relationship Id="rId43" Type="http://schemas.openxmlformats.org/officeDocument/2006/relationships/ctrlProp" Target="../ctrlProps/ctrlProp302.xml"/><Relationship Id="rId64" Type="http://schemas.openxmlformats.org/officeDocument/2006/relationships/ctrlProp" Target="../ctrlProps/ctrlProp323.xml"/><Relationship Id="rId118" Type="http://schemas.openxmlformats.org/officeDocument/2006/relationships/ctrlProp" Target="../ctrlProps/ctrlProp377.xml"/><Relationship Id="rId139" Type="http://schemas.openxmlformats.org/officeDocument/2006/relationships/ctrlProp" Target="../ctrlProps/ctrlProp398.xml"/><Relationship Id="rId85" Type="http://schemas.openxmlformats.org/officeDocument/2006/relationships/ctrlProp" Target="../ctrlProps/ctrlProp344.xml"/><Relationship Id="rId150" Type="http://schemas.openxmlformats.org/officeDocument/2006/relationships/ctrlProp" Target="../ctrlProps/ctrlProp409.xml"/><Relationship Id="rId171" Type="http://schemas.openxmlformats.org/officeDocument/2006/relationships/ctrlProp" Target="../ctrlProps/ctrlProp430.xml"/><Relationship Id="rId192" Type="http://schemas.openxmlformats.org/officeDocument/2006/relationships/ctrlProp" Target="../ctrlProps/ctrlProp451.xml"/><Relationship Id="rId206" Type="http://schemas.openxmlformats.org/officeDocument/2006/relationships/ctrlProp" Target="../ctrlProps/ctrlProp465.xml"/><Relationship Id="rId12" Type="http://schemas.openxmlformats.org/officeDocument/2006/relationships/ctrlProp" Target="../ctrlProps/ctrlProp271.xml"/><Relationship Id="rId33" Type="http://schemas.openxmlformats.org/officeDocument/2006/relationships/ctrlProp" Target="../ctrlProps/ctrlProp292.xml"/><Relationship Id="rId108" Type="http://schemas.openxmlformats.org/officeDocument/2006/relationships/ctrlProp" Target="../ctrlProps/ctrlProp367.xml"/><Relationship Id="rId129" Type="http://schemas.openxmlformats.org/officeDocument/2006/relationships/ctrlProp" Target="../ctrlProps/ctrlProp388.xml"/><Relationship Id="rId54" Type="http://schemas.openxmlformats.org/officeDocument/2006/relationships/ctrlProp" Target="../ctrlProps/ctrlProp313.xml"/><Relationship Id="rId75" Type="http://schemas.openxmlformats.org/officeDocument/2006/relationships/ctrlProp" Target="../ctrlProps/ctrlProp334.xml"/><Relationship Id="rId96" Type="http://schemas.openxmlformats.org/officeDocument/2006/relationships/ctrlProp" Target="../ctrlProps/ctrlProp355.xml"/><Relationship Id="rId140" Type="http://schemas.openxmlformats.org/officeDocument/2006/relationships/ctrlProp" Target="../ctrlProps/ctrlProp399.xml"/><Relationship Id="rId161" Type="http://schemas.openxmlformats.org/officeDocument/2006/relationships/ctrlProp" Target="../ctrlProps/ctrlProp420.xml"/><Relationship Id="rId182" Type="http://schemas.openxmlformats.org/officeDocument/2006/relationships/ctrlProp" Target="../ctrlProps/ctrlProp441.xml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119" Type="http://schemas.openxmlformats.org/officeDocument/2006/relationships/ctrlProp" Target="../ctrlProps/ctrlProp378.xml"/><Relationship Id="rId44" Type="http://schemas.openxmlformats.org/officeDocument/2006/relationships/ctrlProp" Target="../ctrlProps/ctrlProp303.xml"/><Relationship Id="rId65" Type="http://schemas.openxmlformats.org/officeDocument/2006/relationships/ctrlProp" Target="../ctrlProps/ctrlProp324.xml"/><Relationship Id="rId86" Type="http://schemas.openxmlformats.org/officeDocument/2006/relationships/ctrlProp" Target="../ctrlProps/ctrlProp345.xml"/><Relationship Id="rId130" Type="http://schemas.openxmlformats.org/officeDocument/2006/relationships/ctrlProp" Target="../ctrlProps/ctrlProp389.xml"/><Relationship Id="rId151" Type="http://schemas.openxmlformats.org/officeDocument/2006/relationships/ctrlProp" Target="../ctrlProps/ctrlProp410.xml"/><Relationship Id="rId172" Type="http://schemas.openxmlformats.org/officeDocument/2006/relationships/ctrlProp" Target="../ctrlProps/ctrlProp431.xml"/><Relationship Id="rId193" Type="http://schemas.openxmlformats.org/officeDocument/2006/relationships/ctrlProp" Target="../ctrlProps/ctrlProp452.xml"/><Relationship Id="rId207" Type="http://schemas.openxmlformats.org/officeDocument/2006/relationships/ctrlProp" Target="../ctrlProps/ctrlProp466.xml"/><Relationship Id="rId13" Type="http://schemas.openxmlformats.org/officeDocument/2006/relationships/ctrlProp" Target="../ctrlProps/ctrlProp272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20" Type="http://schemas.openxmlformats.org/officeDocument/2006/relationships/ctrlProp" Target="../ctrlProps/ctrlProp379.xml"/><Relationship Id="rId141" Type="http://schemas.openxmlformats.org/officeDocument/2006/relationships/ctrlProp" Target="../ctrlProps/ctrlProp400.xml"/><Relationship Id="rId7" Type="http://schemas.openxmlformats.org/officeDocument/2006/relationships/ctrlProp" Target="../ctrlProps/ctrlProp266.xml"/><Relationship Id="rId162" Type="http://schemas.openxmlformats.org/officeDocument/2006/relationships/ctrlProp" Target="../ctrlProps/ctrlProp421.xml"/><Relationship Id="rId183" Type="http://schemas.openxmlformats.org/officeDocument/2006/relationships/ctrlProp" Target="../ctrlProps/ctrlProp442.xml"/><Relationship Id="rId24" Type="http://schemas.openxmlformats.org/officeDocument/2006/relationships/ctrlProp" Target="../ctrlProps/ctrlProp283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31" Type="http://schemas.openxmlformats.org/officeDocument/2006/relationships/ctrlProp" Target="../ctrlProps/ctrlProp390.xml"/><Relationship Id="rId152" Type="http://schemas.openxmlformats.org/officeDocument/2006/relationships/ctrlProp" Target="../ctrlProps/ctrlProp411.xml"/><Relationship Id="rId173" Type="http://schemas.openxmlformats.org/officeDocument/2006/relationships/ctrlProp" Target="../ctrlProps/ctrlProp432.xml"/><Relationship Id="rId194" Type="http://schemas.openxmlformats.org/officeDocument/2006/relationships/ctrlProp" Target="../ctrlProps/ctrlProp453.xml"/><Relationship Id="rId208" Type="http://schemas.openxmlformats.org/officeDocument/2006/relationships/ctrlProp" Target="../ctrlProps/ctrlProp467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126" Type="http://schemas.openxmlformats.org/officeDocument/2006/relationships/ctrlProp" Target="../ctrlProps/ctrlProp385.xml"/><Relationship Id="rId147" Type="http://schemas.openxmlformats.org/officeDocument/2006/relationships/ctrlProp" Target="../ctrlProps/ctrlProp406.xml"/><Relationship Id="rId168" Type="http://schemas.openxmlformats.org/officeDocument/2006/relationships/ctrlProp" Target="../ctrlProps/ctrlProp427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121" Type="http://schemas.openxmlformats.org/officeDocument/2006/relationships/ctrlProp" Target="../ctrlProps/ctrlProp380.xml"/><Relationship Id="rId142" Type="http://schemas.openxmlformats.org/officeDocument/2006/relationships/ctrlProp" Target="../ctrlProps/ctrlProp401.xml"/><Relationship Id="rId163" Type="http://schemas.openxmlformats.org/officeDocument/2006/relationships/ctrlProp" Target="../ctrlProps/ctrlProp422.xml"/><Relationship Id="rId184" Type="http://schemas.openxmlformats.org/officeDocument/2006/relationships/ctrlProp" Target="../ctrlProps/ctrlProp443.xml"/><Relationship Id="rId189" Type="http://schemas.openxmlformats.org/officeDocument/2006/relationships/ctrlProp" Target="../ctrlProps/ctrlProp44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3.x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137" Type="http://schemas.openxmlformats.org/officeDocument/2006/relationships/ctrlProp" Target="../ctrlProps/ctrlProp396.xml"/><Relationship Id="rId158" Type="http://schemas.openxmlformats.org/officeDocument/2006/relationships/ctrlProp" Target="../ctrlProps/ctrlProp417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32" Type="http://schemas.openxmlformats.org/officeDocument/2006/relationships/ctrlProp" Target="../ctrlProps/ctrlProp391.xml"/><Relationship Id="rId153" Type="http://schemas.openxmlformats.org/officeDocument/2006/relationships/ctrlProp" Target="../ctrlProps/ctrlProp412.xml"/><Relationship Id="rId174" Type="http://schemas.openxmlformats.org/officeDocument/2006/relationships/ctrlProp" Target="../ctrlProps/ctrlProp433.xml"/><Relationship Id="rId179" Type="http://schemas.openxmlformats.org/officeDocument/2006/relationships/ctrlProp" Target="../ctrlProps/ctrlProp438.xml"/><Relationship Id="rId195" Type="http://schemas.openxmlformats.org/officeDocument/2006/relationships/ctrlProp" Target="../ctrlProps/ctrlProp454.xml"/><Relationship Id="rId209" Type="http://schemas.openxmlformats.org/officeDocument/2006/relationships/ctrlProp" Target="../ctrlProps/ctrlProp468.xml"/><Relationship Id="rId190" Type="http://schemas.openxmlformats.org/officeDocument/2006/relationships/ctrlProp" Target="../ctrlProps/ctrlProp449.xml"/><Relationship Id="rId204" Type="http://schemas.openxmlformats.org/officeDocument/2006/relationships/ctrlProp" Target="../ctrlProps/ctrlProp463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Relationship Id="rId127" Type="http://schemas.openxmlformats.org/officeDocument/2006/relationships/ctrlProp" Target="../ctrlProps/ctrlProp386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52" Type="http://schemas.openxmlformats.org/officeDocument/2006/relationships/ctrlProp" Target="../ctrlProps/ctrlProp311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122" Type="http://schemas.openxmlformats.org/officeDocument/2006/relationships/ctrlProp" Target="../ctrlProps/ctrlProp381.xml"/><Relationship Id="rId143" Type="http://schemas.openxmlformats.org/officeDocument/2006/relationships/ctrlProp" Target="../ctrlProps/ctrlProp402.xml"/><Relationship Id="rId148" Type="http://schemas.openxmlformats.org/officeDocument/2006/relationships/ctrlProp" Target="../ctrlProps/ctrlProp407.xml"/><Relationship Id="rId164" Type="http://schemas.openxmlformats.org/officeDocument/2006/relationships/ctrlProp" Target="../ctrlProps/ctrlProp423.xml"/><Relationship Id="rId169" Type="http://schemas.openxmlformats.org/officeDocument/2006/relationships/ctrlProp" Target="../ctrlProps/ctrlProp428.xml"/><Relationship Id="rId185" Type="http://schemas.openxmlformats.org/officeDocument/2006/relationships/ctrlProp" Target="../ctrlProps/ctrlProp444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80" Type="http://schemas.openxmlformats.org/officeDocument/2006/relationships/ctrlProp" Target="../ctrlProps/ctrlProp439.xml"/><Relationship Id="rId210" Type="http://schemas.openxmlformats.org/officeDocument/2006/relationships/ctrlProp" Target="../ctrlProps/ctrlProp469.xml"/><Relationship Id="rId215" Type="http://schemas.openxmlformats.org/officeDocument/2006/relationships/ctrlProp" Target="../ctrlProps/ctrlProp474.xml"/><Relationship Id="rId26" Type="http://schemas.openxmlformats.org/officeDocument/2006/relationships/ctrlProp" Target="../ctrlProps/ctrlProp285.xml"/><Relationship Id="rId47" Type="http://schemas.openxmlformats.org/officeDocument/2006/relationships/ctrlProp" Target="../ctrlProps/ctrlProp306.xml"/><Relationship Id="rId68" Type="http://schemas.openxmlformats.org/officeDocument/2006/relationships/ctrlProp" Target="../ctrlProps/ctrlProp327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33" Type="http://schemas.openxmlformats.org/officeDocument/2006/relationships/ctrlProp" Target="../ctrlProps/ctrlProp392.xml"/><Relationship Id="rId154" Type="http://schemas.openxmlformats.org/officeDocument/2006/relationships/ctrlProp" Target="../ctrlProps/ctrlProp413.xml"/><Relationship Id="rId175" Type="http://schemas.openxmlformats.org/officeDocument/2006/relationships/ctrlProp" Target="../ctrlProps/ctrlProp434.xml"/><Relationship Id="rId196" Type="http://schemas.openxmlformats.org/officeDocument/2006/relationships/ctrlProp" Target="../ctrlProps/ctrlProp455.xml"/><Relationship Id="rId200" Type="http://schemas.openxmlformats.org/officeDocument/2006/relationships/ctrlProp" Target="../ctrlProps/ctrlProp459.xml"/><Relationship Id="rId16" Type="http://schemas.openxmlformats.org/officeDocument/2006/relationships/ctrlProp" Target="../ctrlProps/ctrlProp275.xml"/><Relationship Id="rId37" Type="http://schemas.openxmlformats.org/officeDocument/2006/relationships/ctrlProp" Target="../ctrlProps/ctrlProp296.xml"/><Relationship Id="rId58" Type="http://schemas.openxmlformats.org/officeDocument/2006/relationships/ctrlProp" Target="../ctrlProps/ctrlProp317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123" Type="http://schemas.openxmlformats.org/officeDocument/2006/relationships/ctrlProp" Target="../ctrlProps/ctrlProp382.xml"/><Relationship Id="rId144" Type="http://schemas.openxmlformats.org/officeDocument/2006/relationships/ctrlProp" Target="../ctrlProps/ctrlProp403.xml"/><Relationship Id="rId90" Type="http://schemas.openxmlformats.org/officeDocument/2006/relationships/ctrlProp" Target="../ctrlProps/ctrlProp349.xml"/><Relationship Id="rId165" Type="http://schemas.openxmlformats.org/officeDocument/2006/relationships/ctrlProp" Target="../ctrlProps/ctrlProp424.xml"/><Relationship Id="rId186" Type="http://schemas.openxmlformats.org/officeDocument/2006/relationships/ctrlProp" Target="../ctrlProps/ctrlProp445.xml"/><Relationship Id="rId211" Type="http://schemas.openxmlformats.org/officeDocument/2006/relationships/ctrlProp" Target="../ctrlProps/ctrlProp470.xml"/><Relationship Id="rId27" Type="http://schemas.openxmlformats.org/officeDocument/2006/relationships/ctrlProp" Target="../ctrlProps/ctrlProp286.xml"/><Relationship Id="rId48" Type="http://schemas.openxmlformats.org/officeDocument/2006/relationships/ctrlProp" Target="../ctrlProps/ctrlProp307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134" Type="http://schemas.openxmlformats.org/officeDocument/2006/relationships/ctrlProp" Target="../ctrlProps/ctrlProp393.xml"/><Relationship Id="rId80" Type="http://schemas.openxmlformats.org/officeDocument/2006/relationships/ctrlProp" Target="../ctrlProps/ctrlProp339.xml"/><Relationship Id="rId155" Type="http://schemas.openxmlformats.org/officeDocument/2006/relationships/ctrlProp" Target="../ctrlProps/ctrlProp414.xml"/><Relationship Id="rId176" Type="http://schemas.openxmlformats.org/officeDocument/2006/relationships/ctrlProp" Target="../ctrlProps/ctrlProp435.xml"/><Relationship Id="rId197" Type="http://schemas.openxmlformats.org/officeDocument/2006/relationships/ctrlProp" Target="../ctrlProps/ctrlProp456.xml"/><Relationship Id="rId201" Type="http://schemas.openxmlformats.org/officeDocument/2006/relationships/ctrlProp" Target="../ctrlProps/ctrlProp460.xml"/><Relationship Id="rId17" Type="http://schemas.openxmlformats.org/officeDocument/2006/relationships/ctrlProp" Target="../ctrlProps/ctrlProp276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24" Type="http://schemas.openxmlformats.org/officeDocument/2006/relationships/ctrlProp" Target="../ctrlProps/ctrlProp383.xml"/><Relationship Id="rId70" Type="http://schemas.openxmlformats.org/officeDocument/2006/relationships/ctrlProp" Target="../ctrlProps/ctrlProp329.xml"/><Relationship Id="rId91" Type="http://schemas.openxmlformats.org/officeDocument/2006/relationships/ctrlProp" Target="../ctrlProps/ctrlProp350.xml"/><Relationship Id="rId145" Type="http://schemas.openxmlformats.org/officeDocument/2006/relationships/ctrlProp" Target="../ctrlProps/ctrlProp404.xml"/><Relationship Id="rId166" Type="http://schemas.openxmlformats.org/officeDocument/2006/relationships/ctrlProp" Target="../ctrlProps/ctrlProp425.xml"/><Relationship Id="rId187" Type="http://schemas.openxmlformats.org/officeDocument/2006/relationships/ctrlProp" Target="../ctrlProps/ctrlProp44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1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60" Type="http://schemas.openxmlformats.org/officeDocument/2006/relationships/ctrlProp" Target="../ctrlProps/ctrlProp319.xml"/><Relationship Id="rId81" Type="http://schemas.openxmlformats.org/officeDocument/2006/relationships/ctrlProp" Target="../ctrlProps/ctrlProp340.xml"/><Relationship Id="rId135" Type="http://schemas.openxmlformats.org/officeDocument/2006/relationships/ctrlProp" Target="../ctrlProps/ctrlProp394.xml"/><Relationship Id="rId156" Type="http://schemas.openxmlformats.org/officeDocument/2006/relationships/ctrlProp" Target="../ctrlProps/ctrlProp415.xml"/><Relationship Id="rId177" Type="http://schemas.openxmlformats.org/officeDocument/2006/relationships/ctrlProp" Target="../ctrlProps/ctrlProp436.xml"/><Relationship Id="rId198" Type="http://schemas.openxmlformats.org/officeDocument/2006/relationships/ctrlProp" Target="../ctrlProps/ctrlProp457.xml"/><Relationship Id="rId202" Type="http://schemas.openxmlformats.org/officeDocument/2006/relationships/ctrlProp" Target="../ctrlProps/ctrlProp461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50" Type="http://schemas.openxmlformats.org/officeDocument/2006/relationships/ctrlProp" Target="../ctrlProps/ctrlProp309.xml"/><Relationship Id="rId104" Type="http://schemas.openxmlformats.org/officeDocument/2006/relationships/ctrlProp" Target="../ctrlProps/ctrlProp363.xml"/><Relationship Id="rId125" Type="http://schemas.openxmlformats.org/officeDocument/2006/relationships/ctrlProp" Target="../ctrlProps/ctrlProp384.xml"/><Relationship Id="rId146" Type="http://schemas.openxmlformats.org/officeDocument/2006/relationships/ctrlProp" Target="../ctrlProps/ctrlProp405.xml"/><Relationship Id="rId167" Type="http://schemas.openxmlformats.org/officeDocument/2006/relationships/ctrlProp" Target="../ctrlProps/ctrlProp426.xml"/><Relationship Id="rId188" Type="http://schemas.openxmlformats.org/officeDocument/2006/relationships/ctrlProp" Target="../ctrlProps/ctrlProp447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13" Type="http://schemas.openxmlformats.org/officeDocument/2006/relationships/ctrlProp" Target="../ctrlProps/ctrlProp47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8.xml"/><Relationship Id="rId40" Type="http://schemas.openxmlformats.org/officeDocument/2006/relationships/ctrlProp" Target="../ctrlProps/ctrlProp299.xml"/><Relationship Id="rId115" Type="http://schemas.openxmlformats.org/officeDocument/2006/relationships/ctrlProp" Target="../ctrlProps/ctrlProp374.xml"/><Relationship Id="rId136" Type="http://schemas.openxmlformats.org/officeDocument/2006/relationships/ctrlProp" Target="../ctrlProps/ctrlProp395.xml"/><Relationship Id="rId157" Type="http://schemas.openxmlformats.org/officeDocument/2006/relationships/ctrlProp" Target="../ctrlProps/ctrlProp416.xml"/><Relationship Id="rId178" Type="http://schemas.openxmlformats.org/officeDocument/2006/relationships/ctrlProp" Target="../ctrlProps/ctrlProp437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9" Type="http://schemas.openxmlformats.org/officeDocument/2006/relationships/ctrlProp" Target="../ctrlProps/ctrlProp458.xml"/><Relationship Id="rId203" Type="http://schemas.openxmlformats.org/officeDocument/2006/relationships/ctrlProp" Target="../ctrlProps/ctrlProp46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88.xml"/><Relationship Id="rId21" Type="http://schemas.openxmlformats.org/officeDocument/2006/relationships/ctrlProp" Target="../ctrlProps/ctrlProp492.xml"/><Relationship Id="rId42" Type="http://schemas.openxmlformats.org/officeDocument/2006/relationships/ctrlProp" Target="../ctrlProps/ctrlProp513.xml"/><Relationship Id="rId63" Type="http://schemas.openxmlformats.org/officeDocument/2006/relationships/ctrlProp" Target="../ctrlProps/ctrlProp534.xml"/><Relationship Id="rId84" Type="http://schemas.openxmlformats.org/officeDocument/2006/relationships/ctrlProp" Target="../ctrlProps/ctrlProp555.xml"/><Relationship Id="rId138" Type="http://schemas.openxmlformats.org/officeDocument/2006/relationships/ctrlProp" Target="../ctrlProps/ctrlProp609.xml"/><Relationship Id="rId159" Type="http://schemas.openxmlformats.org/officeDocument/2006/relationships/ctrlProp" Target="../ctrlProps/ctrlProp630.xml"/><Relationship Id="rId170" Type="http://schemas.openxmlformats.org/officeDocument/2006/relationships/ctrlProp" Target="../ctrlProps/ctrlProp641.xml"/><Relationship Id="rId191" Type="http://schemas.openxmlformats.org/officeDocument/2006/relationships/ctrlProp" Target="../ctrlProps/ctrlProp662.xml"/><Relationship Id="rId205" Type="http://schemas.openxmlformats.org/officeDocument/2006/relationships/ctrlProp" Target="../ctrlProps/ctrlProp676.xml"/><Relationship Id="rId107" Type="http://schemas.openxmlformats.org/officeDocument/2006/relationships/ctrlProp" Target="../ctrlProps/ctrlProp578.xml"/><Relationship Id="rId11" Type="http://schemas.openxmlformats.org/officeDocument/2006/relationships/ctrlProp" Target="../ctrlProps/ctrlProp482.xml"/><Relationship Id="rId32" Type="http://schemas.openxmlformats.org/officeDocument/2006/relationships/ctrlProp" Target="../ctrlProps/ctrlProp503.xml"/><Relationship Id="rId53" Type="http://schemas.openxmlformats.org/officeDocument/2006/relationships/ctrlProp" Target="../ctrlProps/ctrlProp524.xml"/><Relationship Id="rId74" Type="http://schemas.openxmlformats.org/officeDocument/2006/relationships/ctrlProp" Target="../ctrlProps/ctrlProp545.xml"/><Relationship Id="rId128" Type="http://schemas.openxmlformats.org/officeDocument/2006/relationships/ctrlProp" Target="../ctrlProps/ctrlProp599.xml"/><Relationship Id="rId149" Type="http://schemas.openxmlformats.org/officeDocument/2006/relationships/ctrlProp" Target="../ctrlProps/ctrlProp620.xml"/><Relationship Id="rId5" Type="http://schemas.openxmlformats.org/officeDocument/2006/relationships/ctrlProp" Target="../ctrlProps/ctrlProp476.xml"/><Relationship Id="rId95" Type="http://schemas.openxmlformats.org/officeDocument/2006/relationships/ctrlProp" Target="../ctrlProps/ctrlProp566.xml"/><Relationship Id="rId160" Type="http://schemas.openxmlformats.org/officeDocument/2006/relationships/ctrlProp" Target="../ctrlProps/ctrlProp631.xml"/><Relationship Id="rId181" Type="http://schemas.openxmlformats.org/officeDocument/2006/relationships/ctrlProp" Target="../ctrlProps/ctrlProp652.xml"/><Relationship Id="rId22" Type="http://schemas.openxmlformats.org/officeDocument/2006/relationships/ctrlProp" Target="../ctrlProps/ctrlProp493.xml"/><Relationship Id="rId43" Type="http://schemas.openxmlformats.org/officeDocument/2006/relationships/ctrlProp" Target="../ctrlProps/ctrlProp514.xml"/><Relationship Id="rId64" Type="http://schemas.openxmlformats.org/officeDocument/2006/relationships/ctrlProp" Target="../ctrlProps/ctrlProp535.xml"/><Relationship Id="rId118" Type="http://schemas.openxmlformats.org/officeDocument/2006/relationships/ctrlProp" Target="../ctrlProps/ctrlProp589.xml"/><Relationship Id="rId139" Type="http://schemas.openxmlformats.org/officeDocument/2006/relationships/ctrlProp" Target="../ctrlProps/ctrlProp610.xml"/><Relationship Id="rId85" Type="http://schemas.openxmlformats.org/officeDocument/2006/relationships/ctrlProp" Target="../ctrlProps/ctrlProp556.xml"/><Relationship Id="rId150" Type="http://schemas.openxmlformats.org/officeDocument/2006/relationships/ctrlProp" Target="../ctrlProps/ctrlProp621.xml"/><Relationship Id="rId171" Type="http://schemas.openxmlformats.org/officeDocument/2006/relationships/ctrlProp" Target="../ctrlProps/ctrlProp642.xml"/><Relationship Id="rId192" Type="http://schemas.openxmlformats.org/officeDocument/2006/relationships/ctrlProp" Target="../ctrlProps/ctrlProp663.xml"/><Relationship Id="rId206" Type="http://schemas.openxmlformats.org/officeDocument/2006/relationships/ctrlProp" Target="../ctrlProps/ctrlProp677.xml"/><Relationship Id="rId12" Type="http://schemas.openxmlformats.org/officeDocument/2006/relationships/ctrlProp" Target="../ctrlProps/ctrlProp483.xml"/><Relationship Id="rId33" Type="http://schemas.openxmlformats.org/officeDocument/2006/relationships/ctrlProp" Target="../ctrlProps/ctrlProp504.xml"/><Relationship Id="rId108" Type="http://schemas.openxmlformats.org/officeDocument/2006/relationships/ctrlProp" Target="../ctrlProps/ctrlProp579.xml"/><Relationship Id="rId129" Type="http://schemas.openxmlformats.org/officeDocument/2006/relationships/ctrlProp" Target="../ctrlProps/ctrlProp600.xml"/><Relationship Id="rId54" Type="http://schemas.openxmlformats.org/officeDocument/2006/relationships/ctrlProp" Target="../ctrlProps/ctrlProp525.xml"/><Relationship Id="rId75" Type="http://schemas.openxmlformats.org/officeDocument/2006/relationships/ctrlProp" Target="../ctrlProps/ctrlProp546.xml"/><Relationship Id="rId96" Type="http://schemas.openxmlformats.org/officeDocument/2006/relationships/ctrlProp" Target="../ctrlProps/ctrlProp567.xml"/><Relationship Id="rId140" Type="http://schemas.openxmlformats.org/officeDocument/2006/relationships/ctrlProp" Target="../ctrlProps/ctrlProp611.xml"/><Relationship Id="rId161" Type="http://schemas.openxmlformats.org/officeDocument/2006/relationships/ctrlProp" Target="../ctrlProps/ctrlProp632.xml"/><Relationship Id="rId182" Type="http://schemas.openxmlformats.org/officeDocument/2006/relationships/ctrlProp" Target="../ctrlProps/ctrlProp653.xml"/><Relationship Id="rId6" Type="http://schemas.openxmlformats.org/officeDocument/2006/relationships/ctrlProp" Target="../ctrlProps/ctrlProp477.xml"/><Relationship Id="rId23" Type="http://schemas.openxmlformats.org/officeDocument/2006/relationships/ctrlProp" Target="../ctrlProps/ctrlProp494.xml"/><Relationship Id="rId119" Type="http://schemas.openxmlformats.org/officeDocument/2006/relationships/ctrlProp" Target="../ctrlProps/ctrlProp590.xml"/><Relationship Id="rId44" Type="http://schemas.openxmlformats.org/officeDocument/2006/relationships/ctrlProp" Target="../ctrlProps/ctrlProp515.xml"/><Relationship Id="rId65" Type="http://schemas.openxmlformats.org/officeDocument/2006/relationships/ctrlProp" Target="../ctrlProps/ctrlProp536.xml"/><Relationship Id="rId86" Type="http://schemas.openxmlformats.org/officeDocument/2006/relationships/ctrlProp" Target="../ctrlProps/ctrlProp557.xml"/><Relationship Id="rId130" Type="http://schemas.openxmlformats.org/officeDocument/2006/relationships/ctrlProp" Target="../ctrlProps/ctrlProp601.xml"/><Relationship Id="rId151" Type="http://schemas.openxmlformats.org/officeDocument/2006/relationships/ctrlProp" Target="../ctrlProps/ctrlProp622.xml"/><Relationship Id="rId172" Type="http://schemas.openxmlformats.org/officeDocument/2006/relationships/ctrlProp" Target="../ctrlProps/ctrlProp643.xml"/><Relationship Id="rId193" Type="http://schemas.openxmlformats.org/officeDocument/2006/relationships/ctrlProp" Target="../ctrlProps/ctrlProp664.xml"/><Relationship Id="rId207" Type="http://schemas.openxmlformats.org/officeDocument/2006/relationships/ctrlProp" Target="../ctrlProps/ctrlProp678.xml"/><Relationship Id="rId13" Type="http://schemas.openxmlformats.org/officeDocument/2006/relationships/ctrlProp" Target="../ctrlProps/ctrlProp484.xml"/><Relationship Id="rId109" Type="http://schemas.openxmlformats.org/officeDocument/2006/relationships/ctrlProp" Target="../ctrlProps/ctrlProp580.xml"/><Relationship Id="rId34" Type="http://schemas.openxmlformats.org/officeDocument/2006/relationships/ctrlProp" Target="../ctrlProps/ctrlProp505.xml"/><Relationship Id="rId55" Type="http://schemas.openxmlformats.org/officeDocument/2006/relationships/ctrlProp" Target="../ctrlProps/ctrlProp526.xml"/><Relationship Id="rId76" Type="http://schemas.openxmlformats.org/officeDocument/2006/relationships/ctrlProp" Target="../ctrlProps/ctrlProp547.xml"/><Relationship Id="rId97" Type="http://schemas.openxmlformats.org/officeDocument/2006/relationships/ctrlProp" Target="../ctrlProps/ctrlProp568.xml"/><Relationship Id="rId120" Type="http://schemas.openxmlformats.org/officeDocument/2006/relationships/ctrlProp" Target="../ctrlProps/ctrlProp591.xml"/><Relationship Id="rId141" Type="http://schemas.openxmlformats.org/officeDocument/2006/relationships/ctrlProp" Target="../ctrlProps/ctrlProp612.xml"/><Relationship Id="rId7" Type="http://schemas.openxmlformats.org/officeDocument/2006/relationships/ctrlProp" Target="../ctrlProps/ctrlProp478.xml"/><Relationship Id="rId162" Type="http://schemas.openxmlformats.org/officeDocument/2006/relationships/ctrlProp" Target="../ctrlProps/ctrlProp633.xml"/><Relationship Id="rId183" Type="http://schemas.openxmlformats.org/officeDocument/2006/relationships/ctrlProp" Target="../ctrlProps/ctrlProp654.xml"/><Relationship Id="rId24" Type="http://schemas.openxmlformats.org/officeDocument/2006/relationships/ctrlProp" Target="../ctrlProps/ctrlProp495.xml"/><Relationship Id="rId45" Type="http://schemas.openxmlformats.org/officeDocument/2006/relationships/ctrlProp" Target="../ctrlProps/ctrlProp516.xml"/><Relationship Id="rId66" Type="http://schemas.openxmlformats.org/officeDocument/2006/relationships/ctrlProp" Target="../ctrlProps/ctrlProp537.xml"/><Relationship Id="rId87" Type="http://schemas.openxmlformats.org/officeDocument/2006/relationships/ctrlProp" Target="../ctrlProps/ctrlProp558.xml"/><Relationship Id="rId110" Type="http://schemas.openxmlformats.org/officeDocument/2006/relationships/ctrlProp" Target="../ctrlProps/ctrlProp581.xml"/><Relationship Id="rId131" Type="http://schemas.openxmlformats.org/officeDocument/2006/relationships/ctrlProp" Target="../ctrlProps/ctrlProp602.xml"/><Relationship Id="rId152" Type="http://schemas.openxmlformats.org/officeDocument/2006/relationships/ctrlProp" Target="../ctrlProps/ctrlProp623.xml"/><Relationship Id="rId173" Type="http://schemas.openxmlformats.org/officeDocument/2006/relationships/ctrlProp" Target="../ctrlProps/ctrlProp644.xml"/><Relationship Id="rId194" Type="http://schemas.openxmlformats.org/officeDocument/2006/relationships/ctrlProp" Target="../ctrlProps/ctrlProp665.xml"/><Relationship Id="rId208" Type="http://schemas.openxmlformats.org/officeDocument/2006/relationships/ctrlProp" Target="../ctrlProps/ctrlProp679.xml"/><Relationship Id="rId19" Type="http://schemas.openxmlformats.org/officeDocument/2006/relationships/ctrlProp" Target="../ctrlProps/ctrlProp490.xml"/><Relationship Id="rId14" Type="http://schemas.openxmlformats.org/officeDocument/2006/relationships/ctrlProp" Target="../ctrlProps/ctrlProp485.xml"/><Relationship Id="rId30" Type="http://schemas.openxmlformats.org/officeDocument/2006/relationships/ctrlProp" Target="../ctrlProps/ctrlProp501.xml"/><Relationship Id="rId35" Type="http://schemas.openxmlformats.org/officeDocument/2006/relationships/ctrlProp" Target="../ctrlProps/ctrlProp506.xml"/><Relationship Id="rId56" Type="http://schemas.openxmlformats.org/officeDocument/2006/relationships/ctrlProp" Target="../ctrlProps/ctrlProp527.xml"/><Relationship Id="rId77" Type="http://schemas.openxmlformats.org/officeDocument/2006/relationships/ctrlProp" Target="../ctrlProps/ctrlProp548.xml"/><Relationship Id="rId100" Type="http://schemas.openxmlformats.org/officeDocument/2006/relationships/ctrlProp" Target="../ctrlProps/ctrlProp571.xml"/><Relationship Id="rId105" Type="http://schemas.openxmlformats.org/officeDocument/2006/relationships/ctrlProp" Target="../ctrlProps/ctrlProp576.xml"/><Relationship Id="rId126" Type="http://schemas.openxmlformats.org/officeDocument/2006/relationships/ctrlProp" Target="../ctrlProps/ctrlProp597.xml"/><Relationship Id="rId147" Type="http://schemas.openxmlformats.org/officeDocument/2006/relationships/ctrlProp" Target="../ctrlProps/ctrlProp618.xml"/><Relationship Id="rId168" Type="http://schemas.openxmlformats.org/officeDocument/2006/relationships/ctrlProp" Target="../ctrlProps/ctrlProp639.xml"/><Relationship Id="rId8" Type="http://schemas.openxmlformats.org/officeDocument/2006/relationships/ctrlProp" Target="../ctrlProps/ctrlProp479.xml"/><Relationship Id="rId51" Type="http://schemas.openxmlformats.org/officeDocument/2006/relationships/ctrlProp" Target="../ctrlProps/ctrlProp522.xml"/><Relationship Id="rId72" Type="http://schemas.openxmlformats.org/officeDocument/2006/relationships/ctrlProp" Target="../ctrlProps/ctrlProp543.xml"/><Relationship Id="rId93" Type="http://schemas.openxmlformats.org/officeDocument/2006/relationships/ctrlProp" Target="../ctrlProps/ctrlProp564.xml"/><Relationship Id="rId98" Type="http://schemas.openxmlformats.org/officeDocument/2006/relationships/ctrlProp" Target="../ctrlProps/ctrlProp569.xml"/><Relationship Id="rId121" Type="http://schemas.openxmlformats.org/officeDocument/2006/relationships/ctrlProp" Target="../ctrlProps/ctrlProp592.xml"/><Relationship Id="rId142" Type="http://schemas.openxmlformats.org/officeDocument/2006/relationships/ctrlProp" Target="../ctrlProps/ctrlProp613.xml"/><Relationship Id="rId163" Type="http://schemas.openxmlformats.org/officeDocument/2006/relationships/ctrlProp" Target="../ctrlProps/ctrlProp634.xml"/><Relationship Id="rId184" Type="http://schemas.openxmlformats.org/officeDocument/2006/relationships/ctrlProp" Target="../ctrlProps/ctrlProp655.xml"/><Relationship Id="rId189" Type="http://schemas.openxmlformats.org/officeDocument/2006/relationships/ctrlProp" Target="../ctrlProps/ctrlProp66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85.xml"/><Relationship Id="rId25" Type="http://schemas.openxmlformats.org/officeDocument/2006/relationships/ctrlProp" Target="../ctrlProps/ctrlProp496.xml"/><Relationship Id="rId46" Type="http://schemas.openxmlformats.org/officeDocument/2006/relationships/ctrlProp" Target="../ctrlProps/ctrlProp517.xml"/><Relationship Id="rId67" Type="http://schemas.openxmlformats.org/officeDocument/2006/relationships/ctrlProp" Target="../ctrlProps/ctrlProp538.xml"/><Relationship Id="rId116" Type="http://schemas.openxmlformats.org/officeDocument/2006/relationships/ctrlProp" Target="../ctrlProps/ctrlProp587.xml"/><Relationship Id="rId137" Type="http://schemas.openxmlformats.org/officeDocument/2006/relationships/ctrlProp" Target="../ctrlProps/ctrlProp608.xml"/><Relationship Id="rId158" Type="http://schemas.openxmlformats.org/officeDocument/2006/relationships/ctrlProp" Target="../ctrlProps/ctrlProp629.xml"/><Relationship Id="rId20" Type="http://schemas.openxmlformats.org/officeDocument/2006/relationships/ctrlProp" Target="../ctrlProps/ctrlProp491.xml"/><Relationship Id="rId41" Type="http://schemas.openxmlformats.org/officeDocument/2006/relationships/ctrlProp" Target="../ctrlProps/ctrlProp512.xml"/><Relationship Id="rId62" Type="http://schemas.openxmlformats.org/officeDocument/2006/relationships/ctrlProp" Target="../ctrlProps/ctrlProp533.xml"/><Relationship Id="rId83" Type="http://schemas.openxmlformats.org/officeDocument/2006/relationships/ctrlProp" Target="../ctrlProps/ctrlProp554.xml"/><Relationship Id="rId88" Type="http://schemas.openxmlformats.org/officeDocument/2006/relationships/ctrlProp" Target="../ctrlProps/ctrlProp559.xml"/><Relationship Id="rId111" Type="http://schemas.openxmlformats.org/officeDocument/2006/relationships/ctrlProp" Target="../ctrlProps/ctrlProp582.xml"/><Relationship Id="rId132" Type="http://schemas.openxmlformats.org/officeDocument/2006/relationships/ctrlProp" Target="../ctrlProps/ctrlProp603.xml"/><Relationship Id="rId153" Type="http://schemas.openxmlformats.org/officeDocument/2006/relationships/ctrlProp" Target="../ctrlProps/ctrlProp624.xml"/><Relationship Id="rId174" Type="http://schemas.openxmlformats.org/officeDocument/2006/relationships/ctrlProp" Target="../ctrlProps/ctrlProp645.xml"/><Relationship Id="rId179" Type="http://schemas.openxmlformats.org/officeDocument/2006/relationships/ctrlProp" Target="../ctrlProps/ctrlProp650.xml"/><Relationship Id="rId195" Type="http://schemas.openxmlformats.org/officeDocument/2006/relationships/ctrlProp" Target="../ctrlProps/ctrlProp666.xml"/><Relationship Id="rId209" Type="http://schemas.openxmlformats.org/officeDocument/2006/relationships/ctrlProp" Target="../ctrlProps/ctrlProp680.xml"/><Relationship Id="rId190" Type="http://schemas.openxmlformats.org/officeDocument/2006/relationships/ctrlProp" Target="../ctrlProps/ctrlProp661.xml"/><Relationship Id="rId204" Type="http://schemas.openxmlformats.org/officeDocument/2006/relationships/ctrlProp" Target="../ctrlProps/ctrlProp675.xml"/><Relationship Id="rId15" Type="http://schemas.openxmlformats.org/officeDocument/2006/relationships/ctrlProp" Target="../ctrlProps/ctrlProp486.xml"/><Relationship Id="rId36" Type="http://schemas.openxmlformats.org/officeDocument/2006/relationships/ctrlProp" Target="../ctrlProps/ctrlProp507.xml"/><Relationship Id="rId57" Type="http://schemas.openxmlformats.org/officeDocument/2006/relationships/ctrlProp" Target="../ctrlProps/ctrlProp528.xml"/><Relationship Id="rId106" Type="http://schemas.openxmlformats.org/officeDocument/2006/relationships/ctrlProp" Target="../ctrlProps/ctrlProp577.xml"/><Relationship Id="rId127" Type="http://schemas.openxmlformats.org/officeDocument/2006/relationships/ctrlProp" Target="../ctrlProps/ctrlProp598.xml"/><Relationship Id="rId10" Type="http://schemas.openxmlformats.org/officeDocument/2006/relationships/ctrlProp" Target="../ctrlProps/ctrlProp481.xml"/><Relationship Id="rId31" Type="http://schemas.openxmlformats.org/officeDocument/2006/relationships/ctrlProp" Target="../ctrlProps/ctrlProp502.xml"/><Relationship Id="rId52" Type="http://schemas.openxmlformats.org/officeDocument/2006/relationships/ctrlProp" Target="../ctrlProps/ctrlProp523.xml"/><Relationship Id="rId73" Type="http://schemas.openxmlformats.org/officeDocument/2006/relationships/ctrlProp" Target="../ctrlProps/ctrlProp544.xml"/><Relationship Id="rId78" Type="http://schemas.openxmlformats.org/officeDocument/2006/relationships/ctrlProp" Target="../ctrlProps/ctrlProp549.xml"/><Relationship Id="rId94" Type="http://schemas.openxmlformats.org/officeDocument/2006/relationships/ctrlProp" Target="../ctrlProps/ctrlProp565.xml"/><Relationship Id="rId99" Type="http://schemas.openxmlformats.org/officeDocument/2006/relationships/ctrlProp" Target="../ctrlProps/ctrlProp570.xml"/><Relationship Id="rId101" Type="http://schemas.openxmlformats.org/officeDocument/2006/relationships/ctrlProp" Target="../ctrlProps/ctrlProp572.xml"/><Relationship Id="rId122" Type="http://schemas.openxmlformats.org/officeDocument/2006/relationships/ctrlProp" Target="../ctrlProps/ctrlProp593.xml"/><Relationship Id="rId143" Type="http://schemas.openxmlformats.org/officeDocument/2006/relationships/ctrlProp" Target="../ctrlProps/ctrlProp614.xml"/><Relationship Id="rId148" Type="http://schemas.openxmlformats.org/officeDocument/2006/relationships/ctrlProp" Target="../ctrlProps/ctrlProp619.xml"/><Relationship Id="rId164" Type="http://schemas.openxmlformats.org/officeDocument/2006/relationships/ctrlProp" Target="../ctrlProps/ctrlProp635.xml"/><Relationship Id="rId169" Type="http://schemas.openxmlformats.org/officeDocument/2006/relationships/ctrlProp" Target="../ctrlProps/ctrlProp640.xml"/><Relationship Id="rId185" Type="http://schemas.openxmlformats.org/officeDocument/2006/relationships/ctrlProp" Target="../ctrlProps/ctrlProp656.xml"/><Relationship Id="rId4" Type="http://schemas.openxmlformats.org/officeDocument/2006/relationships/ctrlProp" Target="../ctrlProps/ctrlProp475.xml"/><Relationship Id="rId9" Type="http://schemas.openxmlformats.org/officeDocument/2006/relationships/ctrlProp" Target="../ctrlProps/ctrlProp480.xml"/><Relationship Id="rId180" Type="http://schemas.openxmlformats.org/officeDocument/2006/relationships/ctrlProp" Target="../ctrlProps/ctrlProp651.xml"/><Relationship Id="rId210" Type="http://schemas.openxmlformats.org/officeDocument/2006/relationships/ctrlProp" Target="../ctrlProps/ctrlProp681.xml"/><Relationship Id="rId215" Type="http://schemas.openxmlformats.org/officeDocument/2006/relationships/ctrlProp" Target="../ctrlProps/ctrlProp686.xml"/><Relationship Id="rId26" Type="http://schemas.openxmlformats.org/officeDocument/2006/relationships/ctrlProp" Target="../ctrlProps/ctrlProp497.xml"/><Relationship Id="rId47" Type="http://schemas.openxmlformats.org/officeDocument/2006/relationships/ctrlProp" Target="../ctrlProps/ctrlProp518.xml"/><Relationship Id="rId68" Type="http://schemas.openxmlformats.org/officeDocument/2006/relationships/ctrlProp" Target="../ctrlProps/ctrlProp539.xml"/><Relationship Id="rId89" Type="http://schemas.openxmlformats.org/officeDocument/2006/relationships/ctrlProp" Target="../ctrlProps/ctrlProp560.xml"/><Relationship Id="rId112" Type="http://schemas.openxmlformats.org/officeDocument/2006/relationships/ctrlProp" Target="../ctrlProps/ctrlProp583.xml"/><Relationship Id="rId133" Type="http://schemas.openxmlformats.org/officeDocument/2006/relationships/ctrlProp" Target="../ctrlProps/ctrlProp604.xml"/><Relationship Id="rId154" Type="http://schemas.openxmlformats.org/officeDocument/2006/relationships/ctrlProp" Target="../ctrlProps/ctrlProp625.xml"/><Relationship Id="rId175" Type="http://schemas.openxmlformats.org/officeDocument/2006/relationships/ctrlProp" Target="../ctrlProps/ctrlProp646.xml"/><Relationship Id="rId196" Type="http://schemas.openxmlformats.org/officeDocument/2006/relationships/ctrlProp" Target="../ctrlProps/ctrlProp667.xml"/><Relationship Id="rId200" Type="http://schemas.openxmlformats.org/officeDocument/2006/relationships/ctrlProp" Target="../ctrlProps/ctrlProp671.xml"/><Relationship Id="rId16" Type="http://schemas.openxmlformats.org/officeDocument/2006/relationships/ctrlProp" Target="../ctrlProps/ctrlProp487.xml"/><Relationship Id="rId37" Type="http://schemas.openxmlformats.org/officeDocument/2006/relationships/ctrlProp" Target="../ctrlProps/ctrlProp508.xml"/><Relationship Id="rId58" Type="http://schemas.openxmlformats.org/officeDocument/2006/relationships/ctrlProp" Target="../ctrlProps/ctrlProp529.xml"/><Relationship Id="rId79" Type="http://schemas.openxmlformats.org/officeDocument/2006/relationships/ctrlProp" Target="../ctrlProps/ctrlProp550.xml"/><Relationship Id="rId102" Type="http://schemas.openxmlformats.org/officeDocument/2006/relationships/ctrlProp" Target="../ctrlProps/ctrlProp573.xml"/><Relationship Id="rId123" Type="http://schemas.openxmlformats.org/officeDocument/2006/relationships/ctrlProp" Target="../ctrlProps/ctrlProp594.xml"/><Relationship Id="rId144" Type="http://schemas.openxmlformats.org/officeDocument/2006/relationships/ctrlProp" Target="../ctrlProps/ctrlProp615.xml"/><Relationship Id="rId90" Type="http://schemas.openxmlformats.org/officeDocument/2006/relationships/ctrlProp" Target="../ctrlProps/ctrlProp561.xml"/><Relationship Id="rId165" Type="http://schemas.openxmlformats.org/officeDocument/2006/relationships/ctrlProp" Target="../ctrlProps/ctrlProp636.xml"/><Relationship Id="rId186" Type="http://schemas.openxmlformats.org/officeDocument/2006/relationships/ctrlProp" Target="../ctrlProps/ctrlProp657.xml"/><Relationship Id="rId211" Type="http://schemas.openxmlformats.org/officeDocument/2006/relationships/ctrlProp" Target="../ctrlProps/ctrlProp682.xml"/><Relationship Id="rId27" Type="http://schemas.openxmlformats.org/officeDocument/2006/relationships/ctrlProp" Target="../ctrlProps/ctrlProp498.xml"/><Relationship Id="rId48" Type="http://schemas.openxmlformats.org/officeDocument/2006/relationships/ctrlProp" Target="../ctrlProps/ctrlProp519.xml"/><Relationship Id="rId69" Type="http://schemas.openxmlformats.org/officeDocument/2006/relationships/ctrlProp" Target="../ctrlProps/ctrlProp540.xml"/><Relationship Id="rId113" Type="http://schemas.openxmlformats.org/officeDocument/2006/relationships/ctrlProp" Target="../ctrlProps/ctrlProp584.xml"/><Relationship Id="rId134" Type="http://schemas.openxmlformats.org/officeDocument/2006/relationships/ctrlProp" Target="../ctrlProps/ctrlProp605.xml"/><Relationship Id="rId80" Type="http://schemas.openxmlformats.org/officeDocument/2006/relationships/ctrlProp" Target="../ctrlProps/ctrlProp551.xml"/><Relationship Id="rId155" Type="http://schemas.openxmlformats.org/officeDocument/2006/relationships/ctrlProp" Target="../ctrlProps/ctrlProp626.xml"/><Relationship Id="rId176" Type="http://schemas.openxmlformats.org/officeDocument/2006/relationships/ctrlProp" Target="../ctrlProps/ctrlProp647.xml"/><Relationship Id="rId197" Type="http://schemas.openxmlformats.org/officeDocument/2006/relationships/ctrlProp" Target="../ctrlProps/ctrlProp668.xml"/><Relationship Id="rId201" Type="http://schemas.openxmlformats.org/officeDocument/2006/relationships/ctrlProp" Target="../ctrlProps/ctrlProp672.xml"/><Relationship Id="rId17" Type="http://schemas.openxmlformats.org/officeDocument/2006/relationships/ctrlProp" Target="../ctrlProps/ctrlProp488.xml"/><Relationship Id="rId38" Type="http://schemas.openxmlformats.org/officeDocument/2006/relationships/ctrlProp" Target="../ctrlProps/ctrlProp509.xml"/><Relationship Id="rId59" Type="http://schemas.openxmlformats.org/officeDocument/2006/relationships/ctrlProp" Target="../ctrlProps/ctrlProp530.xml"/><Relationship Id="rId103" Type="http://schemas.openxmlformats.org/officeDocument/2006/relationships/ctrlProp" Target="../ctrlProps/ctrlProp574.xml"/><Relationship Id="rId124" Type="http://schemas.openxmlformats.org/officeDocument/2006/relationships/ctrlProp" Target="../ctrlProps/ctrlProp595.xml"/><Relationship Id="rId70" Type="http://schemas.openxmlformats.org/officeDocument/2006/relationships/ctrlProp" Target="../ctrlProps/ctrlProp541.xml"/><Relationship Id="rId91" Type="http://schemas.openxmlformats.org/officeDocument/2006/relationships/ctrlProp" Target="../ctrlProps/ctrlProp562.xml"/><Relationship Id="rId145" Type="http://schemas.openxmlformats.org/officeDocument/2006/relationships/ctrlProp" Target="../ctrlProps/ctrlProp616.xml"/><Relationship Id="rId166" Type="http://schemas.openxmlformats.org/officeDocument/2006/relationships/ctrlProp" Target="../ctrlProps/ctrlProp637.xml"/><Relationship Id="rId187" Type="http://schemas.openxmlformats.org/officeDocument/2006/relationships/ctrlProp" Target="../ctrlProps/ctrlProp65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83.xml"/><Relationship Id="rId28" Type="http://schemas.openxmlformats.org/officeDocument/2006/relationships/ctrlProp" Target="../ctrlProps/ctrlProp499.xml"/><Relationship Id="rId49" Type="http://schemas.openxmlformats.org/officeDocument/2006/relationships/ctrlProp" Target="../ctrlProps/ctrlProp520.xml"/><Relationship Id="rId114" Type="http://schemas.openxmlformats.org/officeDocument/2006/relationships/ctrlProp" Target="../ctrlProps/ctrlProp585.xml"/><Relationship Id="rId60" Type="http://schemas.openxmlformats.org/officeDocument/2006/relationships/ctrlProp" Target="../ctrlProps/ctrlProp531.xml"/><Relationship Id="rId81" Type="http://schemas.openxmlformats.org/officeDocument/2006/relationships/ctrlProp" Target="../ctrlProps/ctrlProp552.xml"/><Relationship Id="rId135" Type="http://schemas.openxmlformats.org/officeDocument/2006/relationships/ctrlProp" Target="../ctrlProps/ctrlProp606.xml"/><Relationship Id="rId156" Type="http://schemas.openxmlformats.org/officeDocument/2006/relationships/ctrlProp" Target="../ctrlProps/ctrlProp627.xml"/><Relationship Id="rId177" Type="http://schemas.openxmlformats.org/officeDocument/2006/relationships/ctrlProp" Target="../ctrlProps/ctrlProp648.xml"/><Relationship Id="rId198" Type="http://schemas.openxmlformats.org/officeDocument/2006/relationships/ctrlProp" Target="../ctrlProps/ctrlProp669.xml"/><Relationship Id="rId202" Type="http://schemas.openxmlformats.org/officeDocument/2006/relationships/ctrlProp" Target="../ctrlProps/ctrlProp673.xml"/><Relationship Id="rId18" Type="http://schemas.openxmlformats.org/officeDocument/2006/relationships/ctrlProp" Target="../ctrlProps/ctrlProp489.xml"/><Relationship Id="rId39" Type="http://schemas.openxmlformats.org/officeDocument/2006/relationships/ctrlProp" Target="../ctrlProps/ctrlProp510.xml"/><Relationship Id="rId50" Type="http://schemas.openxmlformats.org/officeDocument/2006/relationships/ctrlProp" Target="../ctrlProps/ctrlProp521.xml"/><Relationship Id="rId104" Type="http://schemas.openxmlformats.org/officeDocument/2006/relationships/ctrlProp" Target="../ctrlProps/ctrlProp575.xml"/><Relationship Id="rId125" Type="http://schemas.openxmlformats.org/officeDocument/2006/relationships/ctrlProp" Target="../ctrlProps/ctrlProp596.xml"/><Relationship Id="rId146" Type="http://schemas.openxmlformats.org/officeDocument/2006/relationships/ctrlProp" Target="../ctrlProps/ctrlProp617.xml"/><Relationship Id="rId167" Type="http://schemas.openxmlformats.org/officeDocument/2006/relationships/ctrlProp" Target="../ctrlProps/ctrlProp638.xml"/><Relationship Id="rId188" Type="http://schemas.openxmlformats.org/officeDocument/2006/relationships/ctrlProp" Target="../ctrlProps/ctrlProp659.xml"/><Relationship Id="rId71" Type="http://schemas.openxmlformats.org/officeDocument/2006/relationships/ctrlProp" Target="../ctrlProps/ctrlProp542.xml"/><Relationship Id="rId92" Type="http://schemas.openxmlformats.org/officeDocument/2006/relationships/ctrlProp" Target="../ctrlProps/ctrlProp563.xml"/><Relationship Id="rId213" Type="http://schemas.openxmlformats.org/officeDocument/2006/relationships/ctrlProp" Target="../ctrlProps/ctrlProp68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500.xml"/><Relationship Id="rId40" Type="http://schemas.openxmlformats.org/officeDocument/2006/relationships/ctrlProp" Target="../ctrlProps/ctrlProp511.xml"/><Relationship Id="rId115" Type="http://schemas.openxmlformats.org/officeDocument/2006/relationships/ctrlProp" Target="../ctrlProps/ctrlProp586.xml"/><Relationship Id="rId136" Type="http://schemas.openxmlformats.org/officeDocument/2006/relationships/ctrlProp" Target="../ctrlProps/ctrlProp607.xml"/><Relationship Id="rId157" Type="http://schemas.openxmlformats.org/officeDocument/2006/relationships/ctrlProp" Target="../ctrlProps/ctrlProp628.xml"/><Relationship Id="rId178" Type="http://schemas.openxmlformats.org/officeDocument/2006/relationships/ctrlProp" Target="../ctrlProps/ctrlProp649.xml"/><Relationship Id="rId61" Type="http://schemas.openxmlformats.org/officeDocument/2006/relationships/ctrlProp" Target="../ctrlProps/ctrlProp532.xml"/><Relationship Id="rId82" Type="http://schemas.openxmlformats.org/officeDocument/2006/relationships/ctrlProp" Target="../ctrlProps/ctrlProp553.xml"/><Relationship Id="rId199" Type="http://schemas.openxmlformats.org/officeDocument/2006/relationships/ctrlProp" Target="../ctrlProps/ctrlProp670.xml"/><Relationship Id="rId203" Type="http://schemas.openxmlformats.org/officeDocument/2006/relationships/ctrlProp" Target="../ctrlProps/ctrlProp6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6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6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68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v>44467</v>
      </c>
      <c r="V5" s="99"/>
      <c r="W5" s="100"/>
      <c r="X5" s="24" t="s">
        <v>30</v>
      </c>
      <c r="Y5" s="101">
        <v>0.4375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v>44467</v>
      </c>
      <c r="V6" s="99"/>
      <c r="W6" s="100"/>
      <c r="X6" s="24" t="s">
        <v>30</v>
      </c>
      <c r="Y6" s="101">
        <v>0.77777777777777779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">
        <v>59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25" t="s">
        <v>37</v>
      </c>
      <c r="G13" s="71" t="s">
        <v>14</v>
      </c>
      <c r="H13" s="71"/>
      <c r="I13" s="71"/>
      <c r="J13" s="86">
        <v>3.0551044005544004</v>
      </c>
      <c r="K13" s="86">
        <v>33.17347386232386</v>
      </c>
      <c r="L13" s="71" t="s">
        <v>15</v>
      </c>
      <c r="M13" s="71"/>
      <c r="N13" s="71"/>
      <c r="O13" s="106">
        <v>125</v>
      </c>
      <c r="P13" s="107"/>
      <c r="Q13" s="108"/>
      <c r="R13" s="71" t="s">
        <v>16</v>
      </c>
      <c r="S13" s="71"/>
      <c r="T13" s="71"/>
      <c r="U13" s="76">
        <v>5</v>
      </c>
      <c r="V13" s="76"/>
      <c r="W13" s="71" t="s">
        <v>17</v>
      </c>
      <c r="X13" s="71"/>
      <c r="Y13" s="71"/>
      <c r="Z13" s="71"/>
      <c r="AA13" s="76">
        <v>1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25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 t="s">
        <v>57</v>
      </c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60</v>
      </c>
      <c r="B18" s="70"/>
      <c r="C18" s="70"/>
      <c r="D18" s="70"/>
      <c r="E18" s="70"/>
      <c r="F18" s="70"/>
      <c r="G18" s="16">
        <v>-5</v>
      </c>
      <c r="H18" s="16">
        <v>54</v>
      </c>
      <c r="I18" s="16"/>
      <c r="J18" s="53"/>
      <c r="K18" s="54"/>
      <c r="L18" s="55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41" t="s">
        <v>66</v>
      </c>
      <c r="B19" s="42"/>
      <c r="C19" s="42"/>
      <c r="D19" s="42"/>
      <c r="E19" s="42"/>
      <c r="F19" s="43"/>
      <c r="G19" s="16"/>
      <c r="H19" s="16">
        <v>7974</v>
      </c>
      <c r="I19" s="16"/>
      <c r="J19" s="53"/>
      <c r="K19" s="54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41" t="s">
        <v>61</v>
      </c>
      <c r="B20" s="42"/>
      <c r="C20" s="42"/>
      <c r="D20" s="42"/>
      <c r="E20" s="42"/>
      <c r="F20" s="43"/>
      <c r="G20" s="16"/>
      <c r="H20" s="34">
        <v>268</v>
      </c>
      <c r="I20" s="16"/>
      <c r="J20" s="53"/>
      <c r="K20" s="54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41" t="s">
        <v>62</v>
      </c>
      <c r="B21" s="42"/>
      <c r="C21" s="42"/>
      <c r="D21" s="42"/>
      <c r="E21" s="42"/>
      <c r="F21" s="43"/>
      <c r="G21" s="16"/>
      <c r="H21" s="16">
        <v>88</v>
      </c>
      <c r="I21" s="16"/>
      <c r="J21" s="53"/>
      <c r="K21" s="54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41" t="s">
        <v>63</v>
      </c>
      <c r="B22" s="42"/>
      <c r="C22" s="42"/>
      <c r="D22" s="42"/>
      <c r="E22" s="42"/>
      <c r="F22" s="43"/>
      <c r="G22" s="34" t="s">
        <v>58</v>
      </c>
      <c r="H22" s="16">
        <v>3</v>
      </c>
      <c r="I22" s="16"/>
      <c r="J22" s="53"/>
      <c r="K22" s="54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34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41" t="s">
        <v>64</v>
      </c>
      <c r="B23" s="42"/>
      <c r="C23" s="42"/>
      <c r="D23" s="42"/>
      <c r="E23" s="42"/>
      <c r="F23" s="43"/>
      <c r="G23" s="16"/>
      <c r="H23" s="16">
        <v>6</v>
      </c>
      <c r="I23" s="16"/>
      <c r="J23" s="53"/>
      <c r="K23" s="54"/>
      <c r="L23" s="55"/>
      <c r="M23" s="16"/>
      <c r="N23" s="16">
        <v>0</v>
      </c>
      <c r="O23" s="16"/>
      <c r="P23" s="69"/>
      <c r="Q23" s="69"/>
      <c r="R23" s="69"/>
      <c r="S23" s="69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41"/>
      <c r="B24" s="42"/>
      <c r="C24" s="42"/>
      <c r="D24" s="42"/>
      <c r="E24" s="42"/>
      <c r="F24" s="43"/>
      <c r="G24" s="16"/>
      <c r="H24" s="16">
        <v>0</v>
      </c>
      <c r="I24" s="16"/>
      <c r="J24" s="53"/>
      <c r="K24" s="54"/>
      <c r="L24" s="55"/>
      <c r="M24" s="16"/>
      <c r="N24" s="16">
        <v>0</v>
      </c>
      <c r="O24" s="16"/>
      <c r="P24" s="69"/>
      <c r="Q24" s="69"/>
      <c r="R24" s="69"/>
      <c r="S24" s="69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41"/>
      <c r="B25" s="42"/>
      <c r="C25" s="42"/>
      <c r="D25" s="42"/>
      <c r="E25" s="42"/>
      <c r="F25" s="43"/>
      <c r="G25" s="16"/>
      <c r="H25" s="16">
        <v>0</v>
      </c>
      <c r="I25" s="16"/>
      <c r="J25" s="73"/>
      <c r="K25" s="74"/>
      <c r="L25" s="75"/>
      <c r="M25" s="16"/>
      <c r="N25" s="16">
        <v>0</v>
      </c>
      <c r="O25" s="16"/>
      <c r="P25" s="69"/>
      <c r="Q25" s="69"/>
      <c r="R25" s="69"/>
      <c r="S25" s="69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41"/>
      <c r="B26" s="42"/>
      <c r="C26" s="42"/>
      <c r="D26" s="42"/>
      <c r="E26" s="42"/>
      <c r="F26" s="43"/>
      <c r="G26" s="16"/>
      <c r="H26" s="16">
        <v>0</v>
      </c>
      <c r="I26" s="16"/>
      <c r="J26" s="73"/>
      <c r="K26" s="74"/>
      <c r="L26" s="75"/>
      <c r="M26" s="16"/>
      <c r="N26" s="16">
        <v>0</v>
      </c>
      <c r="O26" s="16"/>
      <c r="P26" s="69"/>
      <c r="Q26" s="69"/>
      <c r="R26" s="69"/>
      <c r="S26" s="69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41"/>
      <c r="B27" s="42"/>
      <c r="C27" s="42"/>
      <c r="D27" s="42"/>
      <c r="E27" s="42"/>
      <c r="F27" s="43"/>
      <c r="G27" s="16"/>
      <c r="H27" s="16">
        <v>0</v>
      </c>
      <c r="I27" s="16"/>
      <c r="J27" s="53"/>
      <c r="K27" s="54"/>
      <c r="L27" s="55"/>
      <c r="M27" s="16"/>
      <c r="N27" s="16">
        <v>0</v>
      </c>
      <c r="O27" s="16"/>
      <c r="P27" s="69"/>
      <c r="Q27" s="69"/>
      <c r="R27" s="69"/>
      <c r="S27" s="69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41"/>
      <c r="B28" s="42"/>
      <c r="C28" s="42"/>
      <c r="D28" s="42"/>
      <c r="E28" s="42"/>
      <c r="F28" s="43"/>
      <c r="G28" s="16"/>
      <c r="H28" s="16">
        <v>0</v>
      </c>
      <c r="I28" s="16"/>
      <c r="J28" s="53"/>
      <c r="K28" s="54"/>
      <c r="L28" s="55"/>
      <c r="M28" s="16"/>
      <c r="N28" s="16">
        <v>0</v>
      </c>
      <c r="O28" s="16"/>
      <c r="P28" s="69"/>
      <c r="Q28" s="69"/>
      <c r="R28" s="69"/>
      <c r="S28" s="69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41"/>
      <c r="B29" s="42"/>
      <c r="C29" s="42"/>
      <c r="D29" s="42"/>
      <c r="E29" s="42"/>
      <c r="F29" s="43"/>
      <c r="G29" s="16"/>
      <c r="H29" s="16">
        <v>0</v>
      </c>
      <c r="I29" s="16"/>
      <c r="J29" s="53"/>
      <c r="K29" s="54"/>
      <c r="L29" s="55"/>
      <c r="M29" s="16"/>
      <c r="N29" s="16">
        <v>0</v>
      </c>
      <c r="O29" s="16"/>
      <c r="P29" s="69"/>
      <c r="Q29" s="69"/>
      <c r="R29" s="69"/>
      <c r="S29" s="69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41"/>
      <c r="B30" s="42"/>
      <c r="C30" s="42"/>
      <c r="D30" s="42"/>
      <c r="E30" s="42"/>
      <c r="F30" s="43"/>
      <c r="G30" s="16"/>
      <c r="H30" s="16">
        <v>0</v>
      </c>
      <c r="I30" s="16"/>
      <c r="J30" s="53"/>
      <c r="K30" s="54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3"/>
      <c r="K31" s="54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3"/>
      <c r="K32" s="54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41"/>
      <c r="B33" s="42"/>
      <c r="C33" s="42"/>
      <c r="D33" s="42"/>
      <c r="E33" s="42"/>
      <c r="F33" s="43"/>
      <c r="G33" s="16"/>
      <c r="H33" s="16">
        <v>0</v>
      </c>
      <c r="I33" s="16"/>
      <c r="J33" s="53"/>
      <c r="K33" s="54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41"/>
      <c r="B34" s="42"/>
      <c r="C34" s="42"/>
      <c r="D34" s="42"/>
      <c r="E34" s="42"/>
      <c r="F34" s="43"/>
      <c r="G34" s="16"/>
      <c r="H34" s="16">
        <v>0</v>
      </c>
      <c r="I34" s="16"/>
      <c r="J34" s="53"/>
      <c r="K34" s="54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41"/>
      <c r="B35" s="42"/>
      <c r="C35" s="42"/>
      <c r="D35" s="42"/>
      <c r="E35" s="42"/>
      <c r="F35" s="43"/>
      <c r="G35" s="16"/>
      <c r="H35" s="16">
        <v>0</v>
      </c>
      <c r="I35" s="16"/>
      <c r="J35" s="53"/>
      <c r="K35" s="54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59"/>
      <c r="B36" s="60"/>
      <c r="C36" s="60"/>
      <c r="D36" s="60"/>
      <c r="E36" s="60"/>
      <c r="F36" s="61"/>
      <c r="G36" s="16"/>
      <c r="H36" s="16">
        <v>0</v>
      </c>
      <c r="I36" s="16"/>
      <c r="J36" s="53"/>
      <c r="K36" s="54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41"/>
      <c r="B37" s="42"/>
      <c r="C37" s="42"/>
      <c r="D37" s="42"/>
      <c r="E37" s="42"/>
      <c r="F37" s="43"/>
      <c r="G37" s="16"/>
      <c r="H37" s="16">
        <v>0</v>
      </c>
      <c r="I37" s="16"/>
      <c r="J37" s="53"/>
      <c r="K37" s="54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7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39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39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56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f>'Densidad de Grupos'!U5</f>
        <v>44467</v>
      </c>
      <c r="V5" s="99"/>
      <c r="W5" s="100"/>
      <c r="X5" s="24" t="s">
        <v>30</v>
      </c>
      <c r="Y5" s="101">
        <f>'Densidad de Grupos'!Y5</f>
        <v>0.4375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f>'Densidad de Grupos'!U6</f>
        <v>44467</v>
      </c>
      <c r="V6" s="99"/>
      <c r="W6" s="100"/>
      <c r="X6" s="24" t="s">
        <v>30</v>
      </c>
      <c r="Y6" s="101">
        <f>'Densidad de Grupos'!Y6</f>
        <v>0.77777777777777779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tr">
        <f>'Densidad de Grupos'!U9</f>
        <v>SP-21-0209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40" t="s">
        <v>37</v>
      </c>
      <c r="G13" s="71" t="s">
        <v>14</v>
      </c>
      <c r="H13" s="71"/>
      <c r="I13" s="71"/>
      <c r="J13" s="113">
        <f>'Densidad de Grupos'!J13</f>
        <v>3.0551044005544004</v>
      </c>
      <c r="K13" s="113"/>
      <c r="L13" s="71" t="s">
        <v>15</v>
      </c>
      <c r="M13" s="71"/>
      <c r="N13" s="71"/>
      <c r="O13" s="106" t="s">
        <v>44</v>
      </c>
      <c r="P13" s="107"/>
      <c r="Q13" s="108"/>
      <c r="R13" s="71" t="s">
        <v>16</v>
      </c>
      <c r="S13" s="71"/>
      <c r="T13" s="71"/>
      <c r="U13" s="76" t="s">
        <v>44</v>
      </c>
      <c r="V13" s="76"/>
      <c r="W13" s="71" t="s">
        <v>17</v>
      </c>
      <c r="X13" s="71"/>
      <c r="Y13" s="71"/>
      <c r="Z13" s="71"/>
      <c r="AA13" s="76" t="s">
        <v>44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40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67</v>
      </c>
      <c r="B18" s="70"/>
      <c r="C18" s="70"/>
      <c r="D18" s="70"/>
      <c r="E18" s="70"/>
      <c r="F18" s="70"/>
      <c r="G18" s="16">
        <v>-5</v>
      </c>
      <c r="H18" s="16">
        <v>3</v>
      </c>
      <c r="I18" s="16"/>
      <c r="J18" s="58"/>
      <c r="K18" s="58"/>
      <c r="L18" s="58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70"/>
      <c r="B19" s="70"/>
      <c r="C19" s="70"/>
      <c r="D19" s="70"/>
      <c r="E19" s="70"/>
      <c r="F19" s="70"/>
      <c r="G19" s="16"/>
      <c r="H19" s="16">
        <v>0</v>
      </c>
      <c r="I19" s="16"/>
      <c r="J19" s="58"/>
      <c r="K19" s="58"/>
      <c r="L19" s="58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70"/>
      <c r="B20" s="70"/>
      <c r="C20" s="70"/>
      <c r="D20" s="70"/>
      <c r="E20" s="70"/>
      <c r="F20" s="70"/>
      <c r="G20" s="16"/>
      <c r="H20" s="16">
        <v>0</v>
      </c>
      <c r="I20" s="16"/>
      <c r="J20" s="58"/>
      <c r="K20" s="58"/>
      <c r="L20" s="58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70"/>
      <c r="B21" s="70"/>
      <c r="C21" s="70"/>
      <c r="D21" s="70"/>
      <c r="E21" s="70"/>
      <c r="F21" s="70"/>
      <c r="G21" s="16"/>
      <c r="H21" s="16">
        <v>0</v>
      </c>
      <c r="I21" s="16"/>
      <c r="J21" s="58"/>
      <c r="K21" s="58"/>
      <c r="L21" s="58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70"/>
      <c r="B22" s="70"/>
      <c r="C22" s="70"/>
      <c r="D22" s="70"/>
      <c r="E22" s="70"/>
      <c r="F22" s="70"/>
      <c r="G22" s="16"/>
      <c r="H22" s="16">
        <v>0</v>
      </c>
      <c r="I22" s="16"/>
      <c r="J22" s="58"/>
      <c r="K22" s="58"/>
      <c r="L22" s="58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70"/>
      <c r="B23" s="70"/>
      <c r="C23" s="70"/>
      <c r="D23" s="70"/>
      <c r="E23" s="70"/>
      <c r="F23" s="70"/>
      <c r="G23" s="16"/>
      <c r="H23" s="16">
        <v>0</v>
      </c>
      <c r="I23" s="16"/>
      <c r="J23" s="58"/>
      <c r="K23" s="58"/>
      <c r="L23" s="58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70"/>
      <c r="B24" s="70"/>
      <c r="C24" s="70"/>
      <c r="D24" s="70"/>
      <c r="E24" s="70"/>
      <c r="F24" s="70"/>
      <c r="G24" s="16"/>
      <c r="H24" s="16">
        <v>0</v>
      </c>
      <c r="I24" s="16"/>
      <c r="J24" s="58"/>
      <c r="K24" s="58"/>
      <c r="L24" s="58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70"/>
      <c r="B25" s="70"/>
      <c r="C25" s="70"/>
      <c r="D25" s="70"/>
      <c r="E25" s="70"/>
      <c r="F25" s="70"/>
      <c r="G25" s="16"/>
      <c r="H25" s="16">
        <v>0</v>
      </c>
      <c r="I25" s="16"/>
      <c r="J25" s="58"/>
      <c r="K25" s="58"/>
      <c r="L25" s="58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70"/>
      <c r="B26" s="70"/>
      <c r="C26" s="70"/>
      <c r="D26" s="70"/>
      <c r="E26" s="70"/>
      <c r="F26" s="70"/>
      <c r="G26" s="16"/>
      <c r="H26" s="16">
        <v>0</v>
      </c>
      <c r="I26" s="16"/>
      <c r="J26" s="58"/>
      <c r="K26" s="58"/>
      <c r="L26" s="58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70"/>
      <c r="B27" s="70"/>
      <c r="C27" s="70"/>
      <c r="D27" s="70"/>
      <c r="E27" s="70"/>
      <c r="F27" s="70"/>
      <c r="G27" s="16"/>
      <c r="H27" s="16">
        <v>0</v>
      </c>
      <c r="I27" s="16"/>
      <c r="J27" s="58"/>
      <c r="K27" s="58"/>
      <c r="L27" s="58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70"/>
      <c r="B28" s="70"/>
      <c r="C28" s="70"/>
      <c r="D28" s="70"/>
      <c r="E28" s="70"/>
      <c r="F28" s="70"/>
      <c r="G28" s="16"/>
      <c r="H28" s="16">
        <v>0</v>
      </c>
      <c r="I28" s="16"/>
      <c r="J28" s="58"/>
      <c r="K28" s="58"/>
      <c r="L28" s="58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70"/>
      <c r="B29" s="70"/>
      <c r="C29" s="70"/>
      <c r="D29" s="70"/>
      <c r="E29" s="70"/>
      <c r="F29" s="70"/>
      <c r="G29" s="16"/>
      <c r="H29" s="16">
        <v>0</v>
      </c>
      <c r="I29" s="16"/>
      <c r="J29" s="58"/>
      <c r="K29" s="58"/>
      <c r="L29" s="58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70"/>
      <c r="B30" s="70"/>
      <c r="C30" s="70"/>
      <c r="D30" s="70"/>
      <c r="E30" s="70"/>
      <c r="F30" s="70"/>
      <c r="G30" s="16"/>
      <c r="H30" s="16">
        <v>0</v>
      </c>
      <c r="I30" s="16"/>
      <c r="J30" s="58"/>
      <c r="K30" s="58"/>
      <c r="L30" s="58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8"/>
      <c r="K31" s="58"/>
      <c r="L31" s="58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8"/>
      <c r="K32" s="58"/>
      <c r="L32" s="58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70"/>
      <c r="B33" s="70"/>
      <c r="C33" s="70"/>
      <c r="D33" s="70"/>
      <c r="E33" s="70"/>
      <c r="F33" s="70"/>
      <c r="G33" s="16"/>
      <c r="H33" s="16">
        <v>0</v>
      </c>
      <c r="I33" s="16"/>
      <c r="J33" s="58"/>
      <c r="K33" s="58"/>
      <c r="L33" s="58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70"/>
      <c r="B34" s="70"/>
      <c r="C34" s="70"/>
      <c r="D34" s="70"/>
      <c r="E34" s="70"/>
      <c r="F34" s="70"/>
      <c r="G34" s="16"/>
      <c r="H34" s="16">
        <v>0</v>
      </c>
      <c r="I34" s="16"/>
      <c r="J34" s="58"/>
      <c r="K34" s="58"/>
      <c r="L34" s="58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70"/>
      <c r="B35" s="70"/>
      <c r="C35" s="70"/>
      <c r="D35" s="70"/>
      <c r="E35" s="70"/>
      <c r="F35" s="70"/>
      <c r="G35" s="16"/>
      <c r="H35" s="16">
        <v>0</v>
      </c>
      <c r="I35" s="16"/>
      <c r="J35" s="58"/>
      <c r="K35" s="58"/>
      <c r="L35" s="58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70"/>
      <c r="B36" s="70"/>
      <c r="C36" s="70"/>
      <c r="D36" s="70"/>
      <c r="E36" s="70"/>
      <c r="F36" s="70"/>
      <c r="G36" s="16"/>
      <c r="H36" s="16">
        <v>0</v>
      </c>
      <c r="I36" s="16"/>
      <c r="J36" s="58"/>
      <c r="K36" s="58"/>
      <c r="L36" s="58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70"/>
      <c r="B37" s="70"/>
      <c r="C37" s="70"/>
      <c r="D37" s="70"/>
      <c r="E37" s="70"/>
      <c r="F37" s="70"/>
      <c r="G37" s="16"/>
      <c r="H37" s="16">
        <v>0</v>
      </c>
      <c r="I37" s="16"/>
      <c r="J37" s="58"/>
      <c r="K37" s="58"/>
      <c r="L37" s="58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8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topLeftCell="A7" zoomScaleNormal="100" zoomScaleSheetLayoutView="110" workbookViewId="0">
      <selection activeCell="A20" sqref="A20:F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26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26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56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f>'Densidad de Grupos'!U5</f>
        <v>44467</v>
      </c>
      <c r="V5" s="99"/>
      <c r="W5" s="100"/>
      <c r="X5" s="24" t="s">
        <v>30</v>
      </c>
      <c r="Y5" s="101">
        <f>'Densidad de Grupos'!Y5</f>
        <v>0.4375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f>'Densidad de Grupos'!U6</f>
        <v>44467</v>
      </c>
      <c r="V6" s="99"/>
      <c r="W6" s="100"/>
      <c r="X6" s="24" t="s">
        <v>30</v>
      </c>
      <c r="Y6" s="101">
        <f>'Densidad de Grupos'!Y6</f>
        <v>0.77777777777777779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tr">
        <f>'Densidad de Grupos'!U9</f>
        <v>SP-21-0209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27" t="s">
        <v>37</v>
      </c>
      <c r="G13" s="71" t="s">
        <v>14</v>
      </c>
      <c r="H13" s="71"/>
      <c r="I13" s="71"/>
      <c r="J13" s="113">
        <f>'Densidad de Grupos'!J13</f>
        <v>3.0551044005544004</v>
      </c>
      <c r="K13" s="113"/>
      <c r="L13" s="71" t="s">
        <v>15</v>
      </c>
      <c r="M13" s="71"/>
      <c r="N13" s="71"/>
      <c r="O13" s="106" t="s">
        <v>44</v>
      </c>
      <c r="P13" s="107"/>
      <c r="Q13" s="108"/>
      <c r="R13" s="71" t="s">
        <v>16</v>
      </c>
      <c r="S13" s="71"/>
      <c r="T13" s="71"/>
      <c r="U13" s="76" t="s">
        <v>44</v>
      </c>
      <c r="V13" s="76"/>
      <c r="W13" s="71" t="s">
        <v>17</v>
      </c>
      <c r="X13" s="71"/>
      <c r="Y13" s="71"/>
      <c r="Z13" s="71"/>
      <c r="AA13" s="76" t="s">
        <v>44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27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65</v>
      </c>
      <c r="B18" s="70"/>
      <c r="C18" s="70"/>
      <c r="D18" s="70"/>
      <c r="E18" s="70"/>
      <c r="F18" s="70"/>
      <c r="G18" s="16">
        <v>-5</v>
      </c>
      <c r="H18" s="16">
        <v>4</v>
      </c>
      <c r="I18" s="16"/>
      <c r="J18" s="58"/>
      <c r="K18" s="58"/>
      <c r="L18" s="58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70"/>
      <c r="B19" s="70"/>
      <c r="C19" s="70"/>
      <c r="D19" s="70"/>
      <c r="E19" s="70"/>
      <c r="F19" s="70"/>
      <c r="G19" s="16"/>
      <c r="H19" s="16">
        <v>0</v>
      </c>
      <c r="I19" s="16"/>
      <c r="J19" s="58"/>
      <c r="K19" s="58"/>
      <c r="L19" s="58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70"/>
      <c r="B20" s="70"/>
      <c r="C20" s="70"/>
      <c r="D20" s="70"/>
      <c r="E20" s="70"/>
      <c r="F20" s="70"/>
      <c r="G20" s="16"/>
      <c r="H20" s="16">
        <v>0</v>
      </c>
      <c r="I20" s="16"/>
      <c r="J20" s="58"/>
      <c r="K20" s="58"/>
      <c r="L20" s="58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70"/>
      <c r="B21" s="70"/>
      <c r="C21" s="70"/>
      <c r="D21" s="70"/>
      <c r="E21" s="70"/>
      <c r="F21" s="70"/>
      <c r="G21" s="16"/>
      <c r="H21" s="16">
        <v>0</v>
      </c>
      <c r="I21" s="16"/>
      <c r="J21" s="58"/>
      <c r="K21" s="58"/>
      <c r="L21" s="58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70"/>
      <c r="B22" s="70"/>
      <c r="C22" s="70"/>
      <c r="D22" s="70"/>
      <c r="E22" s="70"/>
      <c r="F22" s="70"/>
      <c r="G22" s="16"/>
      <c r="H22" s="16">
        <v>0</v>
      </c>
      <c r="I22" s="16"/>
      <c r="J22" s="58"/>
      <c r="K22" s="58"/>
      <c r="L22" s="58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70"/>
      <c r="B23" s="70"/>
      <c r="C23" s="70"/>
      <c r="D23" s="70"/>
      <c r="E23" s="70"/>
      <c r="F23" s="70"/>
      <c r="G23" s="16"/>
      <c r="H23" s="16">
        <v>0</v>
      </c>
      <c r="I23" s="16"/>
      <c r="J23" s="58"/>
      <c r="K23" s="58"/>
      <c r="L23" s="58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70"/>
      <c r="B24" s="70"/>
      <c r="C24" s="70"/>
      <c r="D24" s="70"/>
      <c r="E24" s="70"/>
      <c r="F24" s="70"/>
      <c r="G24" s="16"/>
      <c r="H24" s="16">
        <v>0</v>
      </c>
      <c r="I24" s="16"/>
      <c r="J24" s="58"/>
      <c r="K24" s="58"/>
      <c r="L24" s="58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70"/>
      <c r="B25" s="70"/>
      <c r="C25" s="70"/>
      <c r="D25" s="70"/>
      <c r="E25" s="70"/>
      <c r="F25" s="70"/>
      <c r="G25" s="16"/>
      <c r="H25" s="16">
        <v>0</v>
      </c>
      <c r="I25" s="16"/>
      <c r="J25" s="58"/>
      <c r="K25" s="58"/>
      <c r="L25" s="58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70"/>
      <c r="B26" s="70"/>
      <c r="C26" s="70"/>
      <c r="D26" s="70"/>
      <c r="E26" s="70"/>
      <c r="F26" s="70"/>
      <c r="G26" s="16"/>
      <c r="H26" s="16">
        <v>0</v>
      </c>
      <c r="I26" s="16"/>
      <c r="J26" s="58"/>
      <c r="K26" s="58"/>
      <c r="L26" s="58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70"/>
      <c r="B27" s="70"/>
      <c r="C27" s="70"/>
      <c r="D27" s="70"/>
      <c r="E27" s="70"/>
      <c r="F27" s="70"/>
      <c r="G27" s="16"/>
      <c r="H27" s="16">
        <v>0</v>
      </c>
      <c r="I27" s="16"/>
      <c r="J27" s="58"/>
      <c r="K27" s="58"/>
      <c r="L27" s="58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70"/>
      <c r="B28" s="70"/>
      <c r="C28" s="70"/>
      <c r="D28" s="70"/>
      <c r="E28" s="70"/>
      <c r="F28" s="70"/>
      <c r="G28" s="16"/>
      <c r="H28" s="16">
        <v>0</v>
      </c>
      <c r="I28" s="16"/>
      <c r="J28" s="58"/>
      <c r="K28" s="58"/>
      <c r="L28" s="58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70"/>
      <c r="B29" s="70"/>
      <c r="C29" s="70"/>
      <c r="D29" s="70"/>
      <c r="E29" s="70"/>
      <c r="F29" s="70"/>
      <c r="G29" s="16"/>
      <c r="H29" s="16">
        <v>0</v>
      </c>
      <c r="I29" s="16"/>
      <c r="J29" s="58"/>
      <c r="K29" s="58"/>
      <c r="L29" s="58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70"/>
      <c r="B30" s="70"/>
      <c r="C30" s="70"/>
      <c r="D30" s="70"/>
      <c r="E30" s="70"/>
      <c r="F30" s="70"/>
      <c r="G30" s="16"/>
      <c r="H30" s="16">
        <v>0</v>
      </c>
      <c r="I30" s="16"/>
      <c r="J30" s="58"/>
      <c r="K30" s="58"/>
      <c r="L30" s="58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8"/>
      <c r="K31" s="58"/>
      <c r="L31" s="58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8"/>
      <c r="K32" s="58"/>
      <c r="L32" s="58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70"/>
      <c r="B33" s="70"/>
      <c r="C33" s="70"/>
      <c r="D33" s="70"/>
      <c r="E33" s="70"/>
      <c r="F33" s="70"/>
      <c r="G33" s="16"/>
      <c r="H33" s="16">
        <v>0</v>
      </c>
      <c r="I33" s="16"/>
      <c r="J33" s="58"/>
      <c r="K33" s="58"/>
      <c r="L33" s="58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70"/>
      <c r="B34" s="70"/>
      <c r="C34" s="70"/>
      <c r="D34" s="70"/>
      <c r="E34" s="70"/>
      <c r="F34" s="70"/>
      <c r="G34" s="16"/>
      <c r="H34" s="16">
        <v>0</v>
      </c>
      <c r="I34" s="16"/>
      <c r="J34" s="58"/>
      <c r="K34" s="58"/>
      <c r="L34" s="58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70"/>
      <c r="B35" s="70"/>
      <c r="C35" s="70"/>
      <c r="D35" s="70"/>
      <c r="E35" s="70"/>
      <c r="F35" s="70"/>
      <c r="G35" s="16"/>
      <c r="H35" s="16">
        <v>0</v>
      </c>
      <c r="I35" s="16"/>
      <c r="J35" s="58"/>
      <c r="K35" s="58"/>
      <c r="L35" s="58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70"/>
      <c r="B36" s="70"/>
      <c r="C36" s="70"/>
      <c r="D36" s="70"/>
      <c r="E36" s="70"/>
      <c r="F36" s="70"/>
      <c r="G36" s="16"/>
      <c r="H36" s="16">
        <v>0</v>
      </c>
      <c r="I36" s="16"/>
      <c r="J36" s="58"/>
      <c r="K36" s="58"/>
      <c r="L36" s="58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70"/>
      <c r="B37" s="70"/>
      <c r="C37" s="70"/>
      <c r="D37" s="70"/>
      <c r="E37" s="70"/>
      <c r="F37" s="70"/>
      <c r="G37" s="16"/>
      <c r="H37" s="16">
        <v>0</v>
      </c>
      <c r="I37" s="16"/>
      <c r="J37" s="58"/>
      <c r="K37" s="58"/>
      <c r="L37" s="58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8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E1" zoomScale="101" workbookViewId="0">
      <selection activeCell="L1" sqref="L1:N1048576"/>
    </sheetView>
  </sheetViews>
  <sheetFormatPr baseColWidth="10" defaultRowHeight="12.75" x14ac:dyDescent="0.2"/>
  <cols>
    <col min="1" max="1" width="10.7109375" style="28" bestFit="1" customWidth="1"/>
    <col min="2" max="2" width="15.5703125" style="28" bestFit="1" customWidth="1"/>
    <col min="3" max="3" width="21.5703125" style="28" bestFit="1" customWidth="1"/>
    <col min="4" max="4" width="22.42578125" style="28" bestFit="1" customWidth="1"/>
    <col min="5" max="5" width="19.85546875" style="28" bestFit="1" customWidth="1"/>
    <col min="6" max="6" width="22.7109375" style="28" bestFit="1" customWidth="1"/>
    <col min="7" max="7" width="24.7109375" style="28" customWidth="1"/>
    <col min="8" max="8" width="21.7109375" style="28" bestFit="1" customWidth="1"/>
    <col min="9" max="9" width="7.42578125" style="28" bestFit="1" customWidth="1"/>
    <col min="10" max="10" width="11.42578125" style="28"/>
    <col min="11" max="11" width="7.140625" style="28" customWidth="1"/>
    <col min="12" max="16384" width="11.42578125" style="28"/>
  </cols>
  <sheetData>
    <row r="1" spans="1:10" s="32" customFormat="1" x14ac:dyDescent="0.2">
      <c r="A1" s="32" t="s">
        <v>45</v>
      </c>
      <c r="B1" s="32" t="s">
        <v>46</v>
      </c>
      <c r="C1" s="32" t="s">
        <v>47</v>
      </c>
      <c r="D1" s="32" t="s">
        <v>48</v>
      </c>
      <c r="E1" s="32" t="s">
        <v>49</v>
      </c>
      <c r="F1" s="32" t="s">
        <v>50</v>
      </c>
      <c r="G1" s="32" t="s">
        <v>51</v>
      </c>
      <c r="H1" s="32" t="s">
        <v>52</v>
      </c>
      <c r="I1" s="32" t="s">
        <v>53</v>
      </c>
      <c r="J1" s="32" t="s">
        <v>54</v>
      </c>
    </row>
    <row r="2" spans="1:10" x14ac:dyDescent="0.2">
      <c r="A2" s="29" t="str">
        <f>'Densidad de Grupos'!U9</f>
        <v>SP-21-0209</v>
      </c>
      <c r="B2" s="31">
        <f>'Densidad de Grupos'!J13</f>
        <v>3.0551044005544004</v>
      </c>
      <c r="C2" s="31">
        <f>'Densidad de Grupos'!O13</f>
        <v>125</v>
      </c>
      <c r="D2" s="31">
        <f>'Densidad de Grupos'!U13</f>
        <v>5</v>
      </c>
      <c r="E2" s="31">
        <f>'Densidad de Grupos'!AA13</f>
        <v>1</v>
      </c>
      <c r="F2" s="31">
        <f>E2*D2</f>
        <v>5</v>
      </c>
      <c r="G2" s="28" t="str">
        <f>'Densidad de Grupos'!A18</f>
        <v>Decapoda (Anomura Zoea)</v>
      </c>
      <c r="H2" s="28">
        <f>'Densidad de Grupos'!H18</f>
        <v>54</v>
      </c>
      <c r="I2" s="30">
        <f>((H2*C2)/(F2*B2))*2</f>
        <v>883.7668524552023</v>
      </c>
      <c r="J2" s="30">
        <f>I2*1000</f>
        <v>883766.85245520226</v>
      </c>
    </row>
    <row r="3" spans="1:10" x14ac:dyDescent="0.2">
      <c r="A3" s="29" t="str">
        <f>$A$2</f>
        <v>SP-21-0209</v>
      </c>
      <c r="B3" s="31">
        <f>$B$2</f>
        <v>3.0551044005544004</v>
      </c>
      <c r="C3" s="31">
        <f>$C$2</f>
        <v>125</v>
      </c>
      <c r="D3" s="31">
        <f>$D$2</f>
        <v>5</v>
      </c>
      <c r="E3" s="31">
        <f>$E$2</f>
        <v>1</v>
      </c>
      <c r="F3" s="31">
        <f>$F$2</f>
        <v>5</v>
      </c>
      <c r="G3" s="28" t="str">
        <f>'Densidad de Grupos'!A19</f>
        <v>Coscinodiscopsis</v>
      </c>
      <c r="H3" s="28">
        <f>'Densidad de Grupos'!H19</f>
        <v>7974</v>
      </c>
      <c r="I3" s="30">
        <f t="shared" ref="I3:I7" si="0">((H3*C3)/(F3*B3))*2</f>
        <v>130502.90521255154</v>
      </c>
      <c r="J3" s="30">
        <f t="shared" ref="J3:J7" si="1">I3*1000</f>
        <v>130502905.21255155</v>
      </c>
    </row>
    <row r="4" spans="1:10" x14ac:dyDescent="0.2">
      <c r="A4" s="29" t="str">
        <f t="shared" ref="A4:A7" si="2">$A$2</f>
        <v>SP-21-0209</v>
      </c>
      <c r="B4" s="31">
        <f t="shared" ref="B4:B7" si="3">$B$2</f>
        <v>3.0551044005544004</v>
      </c>
      <c r="C4" s="31">
        <f t="shared" ref="C4:C7" si="4">$C$2</f>
        <v>125</v>
      </c>
      <c r="D4" s="31">
        <f t="shared" ref="D4:D7" si="5">$D$2</f>
        <v>5</v>
      </c>
      <c r="E4" s="31">
        <f t="shared" ref="E4:E7" si="6">$E$2</f>
        <v>1</v>
      </c>
      <c r="F4" s="31">
        <f t="shared" ref="F4:F7" si="7">$F$2</f>
        <v>5</v>
      </c>
      <c r="G4" s="28" t="str">
        <f>'Densidad de Grupos'!A20</f>
        <v>Decapoda (Brachyura Zoea)</v>
      </c>
      <c r="H4" s="28">
        <f>'Densidad de Grupos'!H20</f>
        <v>268</v>
      </c>
      <c r="I4" s="33">
        <f t="shared" si="0"/>
        <v>4386.1021566295221</v>
      </c>
      <c r="J4" s="30">
        <f t="shared" si="1"/>
        <v>4386102.1566295223</v>
      </c>
    </row>
    <row r="5" spans="1:10" x14ac:dyDescent="0.2">
      <c r="A5" s="29" t="str">
        <f t="shared" si="2"/>
        <v>SP-21-0209</v>
      </c>
      <c r="B5" s="31">
        <f t="shared" si="3"/>
        <v>3.0551044005544004</v>
      </c>
      <c r="C5" s="31">
        <f t="shared" si="4"/>
        <v>125</v>
      </c>
      <c r="D5" s="31">
        <f t="shared" si="5"/>
        <v>5</v>
      </c>
      <c r="E5" s="31">
        <f t="shared" si="6"/>
        <v>1</v>
      </c>
      <c r="F5" s="31">
        <f t="shared" si="7"/>
        <v>5</v>
      </c>
      <c r="G5" s="28" t="str">
        <f>'Densidad de Grupos'!A21</f>
        <v>Copepoda (Calanoida)</v>
      </c>
      <c r="H5" s="28">
        <f>'Densidad de Grupos'!H21</f>
        <v>88</v>
      </c>
      <c r="I5" s="30">
        <f t="shared" si="0"/>
        <v>1440.2126484455148</v>
      </c>
      <c r="J5" s="30">
        <f t="shared" si="1"/>
        <v>1440212.6484455147</v>
      </c>
    </row>
    <row r="6" spans="1:10" x14ac:dyDescent="0.2">
      <c r="A6" s="29" t="str">
        <f t="shared" si="2"/>
        <v>SP-21-0209</v>
      </c>
      <c r="B6" s="31">
        <f t="shared" si="3"/>
        <v>3.0551044005544004</v>
      </c>
      <c r="C6" s="31">
        <f t="shared" si="4"/>
        <v>125</v>
      </c>
      <c r="D6" s="31">
        <f t="shared" si="5"/>
        <v>5</v>
      </c>
      <c r="E6" s="31">
        <f t="shared" si="6"/>
        <v>1</v>
      </c>
      <c r="F6" s="31">
        <f t="shared" si="7"/>
        <v>5</v>
      </c>
      <c r="G6" s="28" t="str">
        <f>'Densidad de Grupos'!A22</f>
        <v>Ostracoda</v>
      </c>
      <c r="H6" s="28">
        <f>'Densidad de Grupos'!H22</f>
        <v>3</v>
      </c>
      <c r="I6" s="33">
        <f t="shared" si="0"/>
        <v>49.098158469733463</v>
      </c>
      <c r="J6" s="30">
        <f t="shared" si="1"/>
        <v>49098.158469733462</v>
      </c>
    </row>
    <row r="7" spans="1:10" x14ac:dyDescent="0.2">
      <c r="A7" s="29" t="str">
        <f t="shared" si="2"/>
        <v>SP-21-0209</v>
      </c>
      <c r="B7" s="31">
        <f t="shared" si="3"/>
        <v>3.0551044005544004</v>
      </c>
      <c r="C7" s="31">
        <f t="shared" si="4"/>
        <v>125</v>
      </c>
      <c r="D7" s="31">
        <f t="shared" si="5"/>
        <v>5</v>
      </c>
      <c r="E7" s="31">
        <f t="shared" si="6"/>
        <v>1</v>
      </c>
      <c r="F7" s="31">
        <f t="shared" si="7"/>
        <v>5</v>
      </c>
      <c r="G7" s="28" t="str">
        <f>'Densidad de Grupos'!A23</f>
        <v>Copepoda (Farranula)</v>
      </c>
      <c r="H7" s="28">
        <f>'Densidad de Grupos'!H23</f>
        <v>6</v>
      </c>
      <c r="I7" s="33">
        <f t="shared" si="0"/>
        <v>98.196316939466925</v>
      </c>
      <c r="J7" s="30">
        <f t="shared" si="1"/>
        <v>98196.316939466924</v>
      </c>
    </row>
    <row r="8" spans="1:10" x14ac:dyDescent="0.2">
      <c r="A8" s="29"/>
      <c r="B8" s="31"/>
      <c r="C8" s="31"/>
      <c r="D8" s="31"/>
      <c r="E8" s="31"/>
      <c r="F8" s="31"/>
      <c r="I8" s="33"/>
      <c r="J8" s="30"/>
    </row>
    <row r="9" spans="1:10" x14ac:dyDescent="0.2">
      <c r="A9" s="29"/>
      <c r="B9" s="31"/>
      <c r="C9" s="31"/>
      <c r="D9" s="31"/>
      <c r="E9" s="31"/>
      <c r="F9" s="31"/>
      <c r="I9" s="33"/>
      <c r="J9" s="30"/>
    </row>
    <row r="10" spans="1:10" x14ac:dyDescent="0.2">
      <c r="A10" s="29"/>
      <c r="B10" s="31"/>
      <c r="C10" s="31"/>
      <c r="D10" s="31"/>
      <c r="E10" s="31"/>
      <c r="F10" s="31"/>
      <c r="I10" s="33"/>
      <c r="J10" s="30"/>
    </row>
    <row r="11" spans="1:10" x14ac:dyDescent="0.2">
      <c r="A11" s="29"/>
      <c r="B11" s="31"/>
      <c r="C11" s="31"/>
      <c r="D11" s="31"/>
      <c r="E11" s="31"/>
      <c r="F11" s="31"/>
      <c r="I11" s="33"/>
      <c r="J11" s="30"/>
    </row>
    <row r="12" spans="1:10" x14ac:dyDescent="0.2">
      <c r="A12" s="29"/>
      <c r="B12" s="31"/>
      <c r="C12" s="31"/>
      <c r="D12" s="31"/>
      <c r="E12" s="31"/>
      <c r="F12" s="31"/>
      <c r="I12" s="33"/>
      <c r="J12" s="30"/>
    </row>
    <row r="13" spans="1:10" x14ac:dyDescent="0.2">
      <c r="A13" s="29"/>
      <c r="B13" s="31"/>
      <c r="C13" s="31"/>
      <c r="D13" s="31"/>
      <c r="E13" s="31"/>
      <c r="F13" s="31"/>
      <c r="I13" s="33"/>
      <c r="J13" s="30"/>
    </row>
    <row r="14" spans="1:10" x14ac:dyDescent="0.2">
      <c r="A14" s="29"/>
      <c r="B14" s="31"/>
      <c r="C14" s="31"/>
      <c r="D14" s="31"/>
      <c r="E14" s="31"/>
      <c r="F14" s="31"/>
      <c r="I14" s="30"/>
      <c r="J14" s="30"/>
    </row>
    <row r="15" spans="1:10" x14ac:dyDescent="0.2">
      <c r="A15" s="29"/>
      <c r="B15" s="31"/>
      <c r="C15" s="31"/>
      <c r="D15" s="31"/>
      <c r="E15" s="31"/>
      <c r="F15" s="31"/>
      <c r="I15" s="30"/>
      <c r="J15" s="30"/>
    </row>
    <row r="16" spans="1:10" x14ac:dyDescent="0.2">
      <c r="A16" s="29"/>
      <c r="B16" s="31"/>
      <c r="C16" s="31"/>
      <c r="D16" s="31"/>
      <c r="E16" s="31"/>
      <c r="F16" s="31"/>
      <c r="I16" s="30"/>
      <c r="J16" s="30"/>
    </row>
    <row r="17" spans="1:10" x14ac:dyDescent="0.2">
      <c r="A17" s="29"/>
      <c r="B17" s="31"/>
      <c r="C17" s="31"/>
      <c r="D17" s="31"/>
      <c r="E17" s="31"/>
      <c r="F17" s="31"/>
      <c r="I17" s="30"/>
      <c r="J17" s="30"/>
    </row>
    <row r="18" spans="1:10" x14ac:dyDescent="0.2">
      <c r="A18" s="29"/>
      <c r="B18" s="31"/>
      <c r="C18" s="31"/>
      <c r="D18" s="31"/>
      <c r="E18" s="31"/>
      <c r="F18" s="31"/>
      <c r="I18" s="30"/>
      <c r="J18" s="30"/>
    </row>
    <row r="19" spans="1:10" x14ac:dyDescent="0.2">
      <c r="A19" s="29"/>
      <c r="B19" s="31"/>
      <c r="C19" s="31"/>
      <c r="D19" s="31"/>
      <c r="E19" s="31"/>
      <c r="F19" s="31"/>
      <c r="I19" s="30"/>
      <c r="J19" s="30"/>
    </row>
    <row r="20" spans="1:10" x14ac:dyDescent="0.2">
      <c r="A20" s="29"/>
      <c r="B20" s="31"/>
      <c r="C20" s="31"/>
      <c r="D20" s="31"/>
      <c r="E20" s="31"/>
      <c r="F20" s="31"/>
      <c r="I20" s="30"/>
      <c r="J20" s="30"/>
    </row>
    <row r="21" spans="1:10" s="37" customFormat="1" x14ac:dyDescent="0.2">
      <c r="A21" s="35"/>
      <c r="B21" s="36"/>
      <c r="C21" s="36"/>
      <c r="D21" s="36"/>
      <c r="E21" s="36"/>
      <c r="F21" s="36"/>
      <c r="I21" s="38"/>
      <c r="J21" s="38"/>
    </row>
    <row r="22" spans="1:10" x14ac:dyDescent="0.2">
      <c r="A22" s="29"/>
      <c r="B22" s="31"/>
      <c r="C22" s="31"/>
      <c r="D22" s="31"/>
      <c r="E22" s="31"/>
      <c r="F22" s="31"/>
      <c r="I22" s="30"/>
      <c r="J22" s="30"/>
    </row>
    <row r="23" spans="1:10" x14ac:dyDescent="0.2">
      <c r="A23" s="29"/>
      <c r="B23" s="31"/>
      <c r="C23" s="31"/>
      <c r="D23" s="31"/>
      <c r="E23" s="31"/>
      <c r="F23" s="31"/>
      <c r="I23" s="30"/>
      <c r="J23" s="30"/>
    </row>
    <row r="24" spans="1:10" x14ac:dyDescent="0.2">
      <c r="A24" s="29"/>
      <c r="B24" s="31"/>
      <c r="C24" s="31"/>
      <c r="D24" s="31"/>
      <c r="E24" s="31"/>
      <c r="F24" s="31"/>
      <c r="I24" s="30"/>
      <c r="J24" s="30"/>
    </row>
    <row r="25" spans="1:10" x14ac:dyDescent="0.2">
      <c r="A25" s="29"/>
      <c r="B25" s="31"/>
      <c r="C25" s="31"/>
      <c r="D25" s="31"/>
      <c r="E25" s="31"/>
      <c r="F25" s="31"/>
      <c r="I25" s="30"/>
      <c r="J25" s="30"/>
    </row>
    <row r="26" spans="1:10" x14ac:dyDescent="0.2">
      <c r="A26" s="29"/>
      <c r="B26" s="31"/>
      <c r="C26" s="31"/>
      <c r="D26" s="31"/>
      <c r="E26" s="31"/>
      <c r="F26" s="31"/>
      <c r="I26" s="30"/>
      <c r="J26" s="30"/>
    </row>
    <row r="27" spans="1:10" x14ac:dyDescent="0.2">
      <c r="A27" s="29"/>
      <c r="B27" s="31"/>
      <c r="C27" s="31"/>
      <c r="D27" s="31"/>
      <c r="E27" s="31"/>
      <c r="F27" s="31"/>
      <c r="I27" s="30"/>
      <c r="J27" s="30"/>
    </row>
    <row r="28" spans="1:10" x14ac:dyDescent="0.2">
      <c r="A28" s="29"/>
      <c r="B28" s="31"/>
      <c r="C28" s="31"/>
      <c r="D28" s="31"/>
      <c r="E28" s="31"/>
      <c r="F28" s="31"/>
      <c r="I28" s="30"/>
      <c r="J28" s="30"/>
    </row>
    <row r="29" spans="1:10" x14ac:dyDescent="0.2">
      <c r="A29" s="29"/>
      <c r="B29" s="31"/>
      <c r="C29" s="31"/>
      <c r="D29" s="31"/>
      <c r="E29" s="31"/>
      <c r="F29" s="31"/>
      <c r="I29" s="30"/>
      <c r="J29" s="30"/>
    </row>
    <row r="30" spans="1:10" x14ac:dyDescent="0.2">
      <c r="A30" s="29"/>
      <c r="B30" s="31"/>
      <c r="C30" s="31"/>
      <c r="D30" s="31"/>
      <c r="E30" s="31"/>
      <c r="F30" s="31"/>
      <c r="I30" s="30"/>
      <c r="J30" s="30"/>
    </row>
    <row r="31" spans="1:10" x14ac:dyDescent="0.2">
      <c r="A31" s="29"/>
      <c r="B31" s="31"/>
      <c r="C31" s="31"/>
      <c r="D31" s="31"/>
      <c r="E31" s="31"/>
      <c r="F31" s="31"/>
      <c r="I31" s="30"/>
      <c r="J31" s="30"/>
    </row>
    <row r="32" spans="1:10" x14ac:dyDescent="0.2">
      <c r="A32" s="29"/>
      <c r="B32" s="31"/>
      <c r="C32" s="31"/>
      <c r="D32" s="31"/>
      <c r="E32" s="31"/>
      <c r="F32" s="31"/>
      <c r="I32" s="30"/>
      <c r="J32" s="30"/>
    </row>
    <row r="33" spans="1:10" x14ac:dyDescent="0.2">
      <c r="A33" s="29"/>
      <c r="B33" s="31"/>
      <c r="C33" s="31"/>
      <c r="D33" s="31"/>
      <c r="E33" s="31"/>
      <c r="F33" s="31"/>
      <c r="I33" s="30"/>
      <c r="J33" s="30"/>
    </row>
    <row r="34" spans="1:10" x14ac:dyDescent="0.2">
      <c r="A34" s="29"/>
      <c r="B34" s="31"/>
      <c r="C34" s="31"/>
      <c r="D34" s="31"/>
      <c r="E34" s="31"/>
      <c r="F34" s="31"/>
      <c r="I34" s="30"/>
      <c r="J34" s="30"/>
    </row>
    <row r="35" spans="1:10" x14ac:dyDescent="0.2">
      <c r="A35" s="29"/>
      <c r="B35" s="31"/>
      <c r="C35" s="31"/>
      <c r="D35" s="31"/>
      <c r="E35" s="31"/>
      <c r="F35" s="31"/>
      <c r="I35" s="30"/>
      <c r="J35" s="30"/>
    </row>
    <row r="36" spans="1:10" x14ac:dyDescent="0.2">
      <c r="A36" s="29"/>
      <c r="B36" s="31"/>
      <c r="C36" s="31"/>
      <c r="D36" s="31"/>
      <c r="E36" s="31"/>
      <c r="F36" s="31"/>
      <c r="I36" s="30"/>
      <c r="J36" s="30"/>
    </row>
    <row r="37" spans="1:10" x14ac:dyDescent="0.2">
      <c r="A37" s="29"/>
      <c r="B37" s="31"/>
      <c r="C37" s="31"/>
      <c r="D37" s="31"/>
      <c r="E37" s="31"/>
      <c r="F37" s="31"/>
      <c r="I37" s="30"/>
      <c r="J37" s="30"/>
    </row>
    <row r="38" spans="1:10" x14ac:dyDescent="0.2">
      <c r="A38" s="29"/>
      <c r="B38" s="31"/>
      <c r="C38" s="31"/>
      <c r="D38" s="31"/>
      <c r="E38" s="31"/>
      <c r="F38" s="31"/>
      <c r="I38" s="30"/>
      <c r="J38" s="30"/>
    </row>
    <row r="39" spans="1:10" x14ac:dyDescent="0.2">
      <c r="A39" s="29"/>
      <c r="B39" s="31"/>
      <c r="C39" s="31"/>
      <c r="D39" s="31"/>
      <c r="E39" s="31"/>
      <c r="F39" s="31"/>
      <c r="I39" s="30"/>
      <c r="J39" s="30"/>
    </row>
    <row r="40" spans="1:10" x14ac:dyDescent="0.2">
      <c r="A40" s="29"/>
      <c r="B40" s="31"/>
      <c r="C40" s="31"/>
      <c r="D40" s="31"/>
      <c r="E40" s="31"/>
      <c r="F40" s="31"/>
      <c r="I40" s="30"/>
      <c r="J40" s="30"/>
    </row>
    <row r="41" spans="1:10" s="37" customFormat="1" x14ac:dyDescent="0.2">
      <c r="A41" s="35"/>
      <c r="B41" s="36"/>
      <c r="C41" s="36"/>
      <c r="D41" s="36"/>
      <c r="E41" s="36"/>
      <c r="F41" s="36"/>
      <c r="I41" s="38"/>
      <c r="J41" s="38"/>
    </row>
    <row r="42" spans="1:10" x14ac:dyDescent="0.2">
      <c r="A42" s="29"/>
      <c r="B42" s="31"/>
      <c r="C42" s="31"/>
      <c r="D42" s="31"/>
      <c r="E42" s="31"/>
      <c r="F42" s="31"/>
      <c r="I42" s="30"/>
      <c r="J42" s="30"/>
    </row>
    <row r="43" spans="1:10" x14ac:dyDescent="0.2">
      <c r="A43" s="29"/>
      <c r="B43" s="31"/>
      <c r="C43" s="31"/>
      <c r="D43" s="31"/>
      <c r="E43" s="31"/>
      <c r="F43" s="31"/>
      <c r="I43" s="30"/>
      <c r="J43" s="30"/>
    </row>
    <row r="44" spans="1:10" x14ac:dyDescent="0.2">
      <c r="A44" s="29"/>
      <c r="B44" s="31"/>
      <c r="C44" s="31"/>
      <c r="D44" s="31"/>
      <c r="E44" s="31"/>
      <c r="F44" s="31"/>
      <c r="I44" s="30"/>
      <c r="J44" s="30"/>
    </row>
    <row r="45" spans="1:10" x14ac:dyDescent="0.2">
      <c r="A45" s="29"/>
      <c r="B45" s="31"/>
      <c r="C45" s="31"/>
      <c r="D45" s="31"/>
      <c r="E45" s="31"/>
      <c r="F45" s="31"/>
      <c r="I45" s="30"/>
      <c r="J45" s="30"/>
    </row>
    <row r="46" spans="1:10" x14ac:dyDescent="0.2">
      <c r="A46" s="29"/>
      <c r="B46" s="31"/>
      <c r="C46" s="31"/>
      <c r="D46" s="31"/>
      <c r="E46" s="31"/>
      <c r="F46" s="31"/>
      <c r="I46" s="30"/>
      <c r="J46" s="30"/>
    </row>
    <row r="47" spans="1:10" x14ac:dyDescent="0.2">
      <c r="A47" s="29"/>
      <c r="B47" s="31"/>
      <c r="C47" s="31"/>
      <c r="D47" s="31"/>
      <c r="E47" s="31"/>
      <c r="F47" s="31"/>
      <c r="I47" s="30"/>
      <c r="J47" s="30"/>
    </row>
    <row r="48" spans="1:10" x14ac:dyDescent="0.2">
      <c r="A48" s="29"/>
      <c r="B48" s="31"/>
      <c r="C48" s="31"/>
      <c r="D48" s="31"/>
      <c r="E48" s="31"/>
      <c r="F48" s="31"/>
      <c r="I48" s="30"/>
      <c r="J48" s="30"/>
    </row>
    <row r="49" spans="1:10" x14ac:dyDescent="0.2">
      <c r="A49" s="29"/>
      <c r="B49" s="31"/>
      <c r="C49" s="31"/>
      <c r="D49" s="31"/>
      <c r="E49" s="31"/>
      <c r="F49" s="31"/>
      <c r="I49" s="30"/>
      <c r="J49" s="30"/>
    </row>
    <row r="50" spans="1:10" x14ac:dyDescent="0.2">
      <c r="A50" s="29"/>
      <c r="B50" s="31"/>
      <c r="C50" s="31"/>
      <c r="D50" s="31"/>
      <c r="E50" s="31"/>
      <c r="F50" s="31"/>
      <c r="I50" s="30"/>
      <c r="J50" s="30"/>
    </row>
    <row r="51" spans="1:10" x14ac:dyDescent="0.2">
      <c r="A51" s="29"/>
      <c r="B51" s="31"/>
      <c r="C51" s="31"/>
      <c r="D51" s="31"/>
      <c r="E51" s="31"/>
      <c r="F51" s="31"/>
      <c r="I51" s="30"/>
      <c r="J51" s="30"/>
    </row>
    <row r="52" spans="1:10" x14ac:dyDescent="0.2">
      <c r="A52" s="29"/>
      <c r="B52" s="31"/>
      <c r="C52" s="31"/>
      <c r="D52" s="31"/>
      <c r="E52" s="31"/>
      <c r="F52" s="31"/>
      <c r="I52" s="30"/>
      <c r="J52" s="30"/>
    </row>
    <row r="53" spans="1:10" x14ac:dyDescent="0.2">
      <c r="A53" s="29"/>
      <c r="B53" s="31"/>
      <c r="C53" s="31"/>
      <c r="D53" s="31"/>
      <c r="E53" s="31"/>
      <c r="F53" s="31"/>
      <c r="I53" s="30"/>
      <c r="J53" s="30"/>
    </row>
    <row r="54" spans="1:10" x14ac:dyDescent="0.2">
      <c r="A54" s="29"/>
      <c r="B54" s="31"/>
      <c r="C54" s="31"/>
      <c r="D54" s="31"/>
      <c r="E54" s="31"/>
      <c r="F54" s="31"/>
      <c r="I54" s="30"/>
      <c r="J54" s="30"/>
    </row>
    <row r="55" spans="1:10" x14ac:dyDescent="0.2">
      <c r="A55" s="29"/>
      <c r="B55" s="31"/>
      <c r="C55" s="31"/>
      <c r="D55" s="31"/>
      <c r="E55" s="31"/>
      <c r="F55" s="31"/>
      <c r="I55" s="30"/>
      <c r="J55" s="30"/>
    </row>
    <row r="56" spans="1:10" x14ac:dyDescent="0.2">
      <c r="A56" s="29"/>
      <c r="B56" s="31"/>
      <c r="C56" s="31"/>
      <c r="D56" s="31"/>
      <c r="E56" s="31"/>
      <c r="F56" s="31"/>
      <c r="I56" s="30"/>
      <c r="J56" s="30"/>
    </row>
    <row r="57" spans="1:10" x14ac:dyDescent="0.2">
      <c r="A57" s="29"/>
      <c r="B57" s="31"/>
      <c r="C57" s="31"/>
      <c r="D57" s="31"/>
      <c r="E57" s="31"/>
      <c r="F57" s="31"/>
      <c r="I57" s="30"/>
      <c r="J57" s="30"/>
    </row>
    <row r="58" spans="1:10" x14ac:dyDescent="0.2">
      <c r="A58" s="29"/>
      <c r="B58" s="31"/>
      <c r="C58" s="31"/>
      <c r="D58" s="31"/>
      <c r="E58" s="31"/>
      <c r="F58" s="31"/>
      <c r="I58" s="30"/>
      <c r="J58" s="30"/>
    </row>
    <row r="59" spans="1:10" x14ac:dyDescent="0.2">
      <c r="A59" s="29"/>
      <c r="B59" s="31"/>
      <c r="C59" s="31"/>
      <c r="D59" s="31"/>
      <c r="E59" s="31"/>
      <c r="F59" s="31"/>
      <c r="I59" s="30"/>
      <c r="J59" s="30"/>
    </row>
    <row r="60" spans="1:10" x14ac:dyDescent="0.2">
      <c r="A60" s="29"/>
      <c r="B60" s="31"/>
      <c r="C60" s="31"/>
      <c r="D60" s="31"/>
      <c r="E60" s="31"/>
      <c r="F60" s="31"/>
      <c r="I60" s="30"/>
      <c r="J60" s="30"/>
    </row>
    <row r="61" spans="1:10" s="37" customFormat="1" x14ac:dyDescent="0.2">
      <c r="A61" s="35"/>
      <c r="B61" s="36"/>
      <c r="C61" s="36"/>
      <c r="D61" s="36"/>
      <c r="E61" s="36"/>
      <c r="F61" s="36"/>
      <c r="I61" s="38"/>
      <c r="J61" s="38"/>
    </row>
    <row r="62" spans="1:10" x14ac:dyDescent="0.2">
      <c r="A62" s="29"/>
      <c r="B62" s="31"/>
      <c r="C62" s="31"/>
      <c r="D62" s="31"/>
      <c r="E62" s="31"/>
      <c r="F62" s="31"/>
      <c r="I62" s="30"/>
      <c r="J62" s="30"/>
    </row>
    <row r="63" spans="1:10" x14ac:dyDescent="0.2">
      <c r="A63" s="29"/>
      <c r="B63" s="31"/>
      <c r="C63" s="31"/>
      <c r="D63" s="31"/>
      <c r="E63" s="31"/>
      <c r="F63" s="31"/>
      <c r="I63" s="30"/>
      <c r="J63" s="30"/>
    </row>
    <row r="64" spans="1:10" x14ac:dyDescent="0.2">
      <c r="A64" s="29"/>
      <c r="B64" s="31"/>
      <c r="C64" s="31"/>
      <c r="D64" s="31"/>
      <c r="E64" s="31"/>
      <c r="F64" s="31"/>
      <c r="I64" s="30"/>
      <c r="J64" s="30"/>
    </row>
    <row r="65" spans="1:10" x14ac:dyDescent="0.2">
      <c r="A65" s="29"/>
      <c r="B65" s="31"/>
      <c r="C65" s="31"/>
      <c r="D65" s="31"/>
      <c r="E65" s="31"/>
      <c r="F65" s="31"/>
      <c r="I65" s="30"/>
      <c r="J65" s="30"/>
    </row>
    <row r="66" spans="1:10" x14ac:dyDescent="0.2">
      <c r="A66" s="29"/>
      <c r="B66" s="31"/>
      <c r="C66" s="31"/>
      <c r="D66" s="31"/>
      <c r="E66" s="31"/>
      <c r="F66" s="31"/>
      <c r="I66" s="30"/>
      <c r="J66" s="30"/>
    </row>
    <row r="67" spans="1:10" x14ac:dyDescent="0.2">
      <c r="A67" s="29"/>
      <c r="B67" s="31"/>
      <c r="C67" s="31"/>
      <c r="D67" s="31"/>
      <c r="E67" s="31"/>
      <c r="F67" s="31"/>
      <c r="I67" s="30"/>
      <c r="J67" s="30"/>
    </row>
    <row r="68" spans="1:10" x14ac:dyDescent="0.2">
      <c r="A68" s="29"/>
      <c r="B68" s="31"/>
      <c r="C68" s="31"/>
      <c r="D68" s="31"/>
      <c r="E68" s="31"/>
      <c r="F68" s="31"/>
      <c r="I68" s="30"/>
      <c r="J68" s="30"/>
    </row>
    <row r="69" spans="1:10" x14ac:dyDescent="0.2">
      <c r="A69" s="29"/>
      <c r="B69" s="31"/>
      <c r="C69" s="31"/>
      <c r="D69" s="31"/>
      <c r="E69" s="31"/>
      <c r="F69" s="31"/>
      <c r="I69" s="30"/>
      <c r="J69" s="30"/>
    </row>
    <row r="70" spans="1:10" x14ac:dyDescent="0.2">
      <c r="A70" s="29"/>
      <c r="B70" s="31"/>
      <c r="C70" s="31"/>
      <c r="D70" s="31"/>
      <c r="E70" s="31"/>
      <c r="F70" s="31"/>
      <c r="I70" s="30"/>
      <c r="J70" s="30"/>
    </row>
    <row r="71" spans="1:10" x14ac:dyDescent="0.2">
      <c r="A71" s="29"/>
      <c r="B71" s="31"/>
      <c r="C71" s="31"/>
      <c r="D71" s="31"/>
      <c r="E71" s="31"/>
      <c r="F71" s="31"/>
      <c r="I71" s="30"/>
      <c r="J71" s="30"/>
    </row>
    <row r="72" spans="1:10" x14ac:dyDescent="0.2">
      <c r="A72" s="29"/>
      <c r="B72" s="31"/>
      <c r="C72" s="31"/>
      <c r="D72" s="31"/>
      <c r="E72" s="31"/>
      <c r="F72" s="31"/>
      <c r="I72" s="30"/>
      <c r="J72" s="30"/>
    </row>
    <row r="73" spans="1:10" x14ac:dyDescent="0.2">
      <c r="A73" s="29"/>
      <c r="B73" s="31"/>
      <c r="C73" s="31"/>
      <c r="D73" s="31"/>
      <c r="E73" s="31"/>
      <c r="F73" s="31"/>
      <c r="I73" s="30"/>
      <c r="J73" s="30"/>
    </row>
    <row r="74" spans="1:10" x14ac:dyDescent="0.2">
      <c r="A74" s="29"/>
      <c r="B74" s="31"/>
      <c r="C74" s="31"/>
      <c r="D74" s="31"/>
      <c r="E74" s="31"/>
      <c r="F74" s="31"/>
      <c r="I74" s="30"/>
      <c r="J74" s="30"/>
    </row>
    <row r="75" spans="1:10" x14ac:dyDescent="0.2">
      <c r="A75" s="29"/>
      <c r="B75" s="31"/>
      <c r="C75" s="31"/>
      <c r="D75" s="31"/>
      <c r="E75" s="31"/>
      <c r="F75" s="31"/>
      <c r="I75" s="30"/>
      <c r="J75" s="30"/>
    </row>
    <row r="76" spans="1:10" x14ac:dyDescent="0.2">
      <c r="A76" s="29"/>
      <c r="B76" s="31"/>
      <c r="C76" s="31"/>
      <c r="D76" s="31"/>
      <c r="E76" s="31"/>
      <c r="F76" s="31"/>
      <c r="I76" s="30"/>
      <c r="J76" s="30"/>
    </row>
    <row r="77" spans="1:10" x14ac:dyDescent="0.2">
      <c r="A77" s="29"/>
      <c r="B77" s="31"/>
      <c r="C77" s="31"/>
      <c r="D77" s="31"/>
      <c r="E77" s="31"/>
      <c r="F77" s="31"/>
      <c r="I77" s="30"/>
      <c r="J77" s="30"/>
    </row>
    <row r="78" spans="1:10" x14ac:dyDescent="0.2">
      <c r="A78" s="29"/>
      <c r="B78" s="31"/>
      <c r="C78" s="31"/>
      <c r="D78" s="31"/>
      <c r="E78" s="31"/>
      <c r="F78" s="31"/>
      <c r="I78" s="30"/>
      <c r="J78" s="30"/>
    </row>
    <row r="79" spans="1:10" x14ac:dyDescent="0.2">
      <c r="A79" s="29"/>
      <c r="B79" s="31"/>
      <c r="C79" s="31"/>
      <c r="D79" s="31"/>
      <c r="E79" s="31"/>
      <c r="F79" s="31"/>
      <c r="I79" s="30"/>
      <c r="J79" s="30"/>
    </row>
    <row r="80" spans="1:10" x14ac:dyDescent="0.2">
      <c r="A80" s="29"/>
      <c r="B80" s="31"/>
      <c r="C80" s="31"/>
      <c r="D80" s="31"/>
      <c r="E80" s="31"/>
      <c r="F80" s="31"/>
      <c r="I80" s="30"/>
      <c r="J80" s="30"/>
    </row>
    <row r="81" spans="1:10" x14ac:dyDescent="0.2">
      <c r="A81" s="29"/>
      <c r="B81" s="31"/>
      <c r="C81" s="31"/>
      <c r="D81" s="31"/>
      <c r="E81" s="31"/>
      <c r="F81" s="31"/>
      <c r="I81" s="30"/>
      <c r="J81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1"/>
  <sheetViews>
    <sheetView topLeftCell="D1" workbookViewId="0">
      <selection activeCell="L1" sqref="L1:N1048576"/>
    </sheetView>
  </sheetViews>
  <sheetFormatPr baseColWidth="10" defaultRowHeight="12.75" x14ac:dyDescent="0.2"/>
  <cols>
    <col min="1" max="1" width="10.7109375" style="28" bestFit="1" customWidth="1"/>
    <col min="2" max="2" width="15.5703125" style="28" bestFit="1" customWidth="1"/>
    <col min="3" max="3" width="21.5703125" style="28" bestFit="1" customWidth="1"/>
    <col min="4" max="4" width="22.42578125" style="28" bestFit="1" customWidth="1"/>
    <col min="5" max="5" width="18.140625" style="28" bestFit="1" customWidth="1"/>
    <col min="6" max="6" width="22.7109375" style="28" bestFit="1" customWidth="1"/>
    <col min="7" max="7" width="14.42578125" style="28" bestFit="1" customWidth="1"/>
    <col min="8" max="8" width="21.7109375" style="28" bestFit="1" customWidth="1"/>
    <col min="9" max="9" width="7.140625" style="28" bestFit="1" customWidth="1"/>
    <col min="10" max="10" width="11.140625" style="28" bestFit="1" customWidth="1"/>
    <col min="11" max="16384" width="11.42578125" style="28"/>
  </cols>
  <sheetData>
    <row r="1" spans="1:10" s="32" customFormat="1" x14ac:dyDescent="0.2">
      <c r="A1" s="32" t="s">
        <v>45</v>
      </c>
      <c r="B1" s="32" t="s">
        <v>46</v>
      </c>
      <c r="C1" s="32" t="s">
        <v>47</v>
      </c>
      <c r="D1" s="32" t="s">
        <v>48</v>
      </c>
      <c r="E1" s="32" t="s">
        <v>49</v>
      </c>
      <c r="F1" s="32" t="s">
        <v>50</v>
      </c>
      <c r="G1" s="32" t="s">
        <v>51</v>
      </c>
      <c r="H1" s="32" t="s">
        <v>52</v>
      </c>
      <c r="I1" s="32" t="s">
        <v>53</v>
      </c>
      <c r="J1" s="32" t="s">
        <v>54</v>
      </c>
    </row>
    <row r="2" spans="1:10" x14ac:dyDescent="0.2">
      <c r="A2" s="29" t="str">
        <f>Polychaeta!U9</f>
        <v>SP-21-0209</v>
      </c>
      <c r="B2" s="28">
        <f>Polychaeta!J$13</f>
        <v>3.0551044005544004</v>
      </c>
      <c r="C2" s="28" t="str">
        <f>'Larvas de peces'!O13</f>
        <v>-</v>
      </c>
      <c r="D2" s="28" t="str">
        <f>'Larvas de peces'!U13</f>
        <v>-</v>
      </c>
      <c r="E2" s="28" t="str">
        <f>'Larvas de peces'!AA13</f>
        <v>-</v>
      </c>
      <c r="F2" s="28" t="e">
        <f>E2*D2</f>
        <v>#VALUE!</v>
      </c>
      <c r="G2" s="28" t="str">
        <f>Polychaeta!A18</f>
        <v>Polychaeta (Larva)</v>
      </c>
      <c r="H2" s="28">
        <f>Polychaeta!H18</f>
        <v>3</v>
      </c>
      <c r="I2" s="33">
        <f>((H2/B2)*2)</f>
        <v>1.9639263387893384</v>
      </c>
      <c r="J2" s="30">
        <f>((H2/B2)*2)*1000</f>
        <v>1963.9263387893384</v>
      </c>
    </row>
    <row r="3" spans="1:10" x14ac:dyDescent="0.2">
      <c r="I3" s="33"/>
      <c r="J3" s="30"/>
    </row>
    <row r="4" spans="1:10" x14ac:dyDescent="0.2">
      <c r="I4" s="33"/>
      <c r="J4" s="30"/>
    </row>
    <row r="5" spans="1:10" x14ac:dyDescent="0.2">
      <c r="I5" s="33"/>
      <c r="J5" s="30"/>
    </row>
    <row r="6" spans="1:10" x14ac:dyDescent="0.2">
      <c r="I6" s="33"/>
      <c r="J6" s="30"/>
    </row>
    <row r="7" spans="1:10" x14ac:dyDescent="0.2">
      <c r="I7" s="33"/>
      <c r="J7" s="30"/>
    </row>
    <row r="8" spans="1:10" x14ac:dyDescent="0.2">
      <c r="I8" s="33"/>
      <c r="J8" s="30"/>
    </row>
    <row r="9" spans="1:10" x14ac:dyDescent="0.2">
      <c r="I9" s="33"/>
      <c r="J9" s="30"/>
    </row>
    <row r="10" spans="1:10" x14ac:dyDescent="0.2">
      <c r="I10" s="33"/>
      <c r="J10" s="30"/>
    </row>
    <row r="11" spans="1:10" x14ac:dyDescent="0.2">
      <c r="I11" s="33"/>
      <c r="J11" s="30"/>
    </row>
    <row r="12" spans="1:10" x14ac:dyDescent="0.2">
      <c r="I12" s="33"/>
      <c r="J12" s="30"/>
    </row>
    <row r="13" spans="1:10" x14ac:dyDescent="0.2">
      <c r="I13" s="33"/>
      <c r="J13" s="30"/>
    </row>
    <row r="14" spans="1:10" x14ac:dyDescent="0.2">
      <c r="I14" s="33"/>
      <c r="J14" s="30"/>
    </row>
    <row r="15" spans="1:10" x14ac:dyDescent="0.2">
      <c r="I15" s="33"/>
      <c r="J15" s="30"/>
    </row>
    <row r="16" spans="1:10" x14ac:dyDescent="0.2">
      <c r="I16" s="33"/>
      <c r="J16" s="30"/>
    </row>
    <row r="17" spans="9:10" x14ac:dyDescent="0.2">
      <c r="I17" s="33"/>
      <c r="J17" s="30"/>
    </row>
    <row r="18" spans="9:10" x14ac:dyDescent="0.2">
      <c r="I18" s="33"/>
      <c r="J18" s="30"/>
    </row>
    <row r="19" spans="9:10" x14ac:dyDescent="0.2">
      <c r="I19" s="33"/>
      <c r="J19" s="30"/>
    </row>
    <row r="20" spans="9:10" x14ac:dyDescent="0.2">
      <c r="I20" s="33"/>
      <c r="J20" s="30"/>
    </row>
    <row r="21" spans="9:10" x14ac:dyDescent="0.2">
      <c r="I21" s="33"/>
      <c r="J21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1"/>
  <sheetViews>
    <sheetView topLeftCell="D1" workbookViewId="0">
      <selection activeCell="I21" sqref="I21"/>
    </sheetView>
  </sheetViews>
  <sheetFormatPr baseColWidth="10" defaultRowHeight="12.75" x14ac:dyDescent="0.2"/>
  <cols>
    <col min="1" max="1" width="10.7109375" style="28" bestFit="1" customWidth="1"/>
    <col min="2" max="2" width="15.5703125" style="28" bestFit="1" customWidth="1"/>
    <col min="3" max="3" width="21.5703125" style="28" bestFit="1" customWidth="1"/>
    <col min="4" max="4" width="22.42578125" style="28" bestFit="1" customWidth="1"/>
    <col min="5" max="5" width="18.140625" style="28" bestFit="1" customWidth="1"/>
    <col min="6" max="6" width="22.7109375" style="28" bestFit="1" customWidth="1"/>
    <col min="7" max="7" width="14.42578125" style="28" bestFit="1" customWidth="1"/>
    <col min="8" max="8" width="21.7109375" style="28" bestFit="1" customWidth="1"/>
    <col min="9" max="9" width="7.140625" style="28" bestFit="1" customWidth="1"/>
    <col min="10" max="10" width="11.140625" style="28" bestFit="1" customWidth="1"/>
    <col min="11" max="16384" width="11.42578125" style="28"/>
  </cols>
  <sheetData>
    <row r="1" spans="1:10" s="32" customFormat="1" x14ac:dyDescent="0.2">
      <c r="A1" s="32" t="s">
        <v>45</v>
      </c>
      <c r="B1" s="32" t="s">
        <v>46</v>
      </c>
      <c r="C1" s="32" t="s">
        <v>47</v>
      </c>
      <c r="D1" s="32" t="s">
        <v>48</v>
      </c>
      <c r="E1" s="32" t="s">
        <v>49</v>
      </c>
      <c r="F1" s="32" t="s">
        <v>50</v>
      </c>
      <c r="G1" s="32" t="s">
        <v>51</v>
      </c>
      <c r="H1" s="32" t="s">
        <v>52</v>
      </c>
      <c r="I1" s="32" t="s">
        <v>53</v>
      </c>
      <c r="J1" s="32" t="s">
        <v>54</v>
      </c>
    </row>
    <row r="2" spans="1:10" x14ac:dyDescent="0.2">
      <c r="A2" s="29" t="str">
        <f>'Larvas de peces'!U9</f>
        <v>SP-21-0209</v>
      </c>
      <c r="B2" s="28">
        <f>'Larvas de peces'!J13</f>
        <v>3.0551044005544004</v>
      </c>
      <c r="C2" s="28" t="str">
        <f>'Larvas de peces'!O13</f>
        <v>-</v>
      </c>
      <c r="D2" s="28" t="str">
        <f>'Larvas de peces'!U13</f>
        <v>-</v>
      </c>
      <c r="E2" s="28" t="str">
        <f>'Larvas de peces'!AA13</f>
        <v>-</v>
      </c>
      <c r="F2" s="28" t="e">
        <f>E2*D2</f>
        <v>#VALUE!</v>
      </c>
      <c r="G2" s="28" t="str">
        <f>'Larvas de peces'!A18</f>
        <v>Pez (Perciformes)</v>
      </c>
      <c r="H2" s="28">
        <f>'Larvas de peces'!H18</f>
        <v>4</v>
      </c>
      <c r="I2" s="33">
        <f>((H2/B2)*2)</f>
        <v>2.6185684517191179</v>
      </c>
      <c r="J2" s="30">
        <f>((H2/B2)*2)*1000</f>
        <v>2618.568451719118</v>
      </c>
    </row>
    <row r="3" spans="1:10" x14ac:dyDescent="0.2">
      <c r="I3" s="33"/>
      <c r="J3" s="30"/>
    </row>
    <row r="4" spans="1:10" x14ac:dyDescent="0.2">
      <c r="I4" s="33"/>
      <c r="J4" s="30"/>
    </row>
    <row r="5" spans="1:10" x14ac:dyDescent="0.2">
      <c r="I5" s="33"/>
      <c r="J5" s="30"/>
    </row>
    <row r="6" spans="1:10" x14ac:dyDescent="0.2">
      <c r="I6" s="33"/>
      <c r="J6" s="30"/>
    </row>
    <row r="7" spans="1:10" x14ac:dyDescent="0.2">
      <c r="I7" s="33"/>
      <c r="J7" s="30"/>
    </row>
    <row r="8" spans="1:10" x14ac:dyDescent="0.2">
      <c r="I8" s="33"/>
      <c r="J8" s="30"/>
    </row>
    <row r="9" spans="1:10" x14ac:dyDescent="0.2">
      <c r="I9" s="33"/>
      <c r="J9" s="30"/>
    </row>
    <row r="10" spans="1:10" x14ac:dyDescent="0.2">
      <c r="I10" s="33"/>
      <c r="J10" s="30"/>
    </row>
    <row r="11" spans="1:10" x14ac:dyDescent="0.2">
      <c r="I11" s="33"/>
      <c r="J11" s="30"/>
    </row>
    <row r="12" spans="1:10" x14ac:dyDescent="0.2">
      <c r="I12" s="33"/>
      <c r="J12" s="30"/>
    </row>
    <row r="13" spans="1:10" x14ac:dyDescent="0.2">
      <c r="I13" s="33"/>
      <c r="J13" s="30"/>
    </row>
    <row r="14" spans="1:10" x14ac:dyDescent="0.2">
      <c r="I14" s="33"/>
      <c r="J14" s="30"/>
    </row>
    <row r="15" spans="1:10" x14ac:dyDescent="0.2">
      <c r="I15" s="33"/>
      <c r="J15" s="30"/>
    </row>
    <row r="16" spans="1:10" x14ac:dyDescent="0.2">
      <c r="I16" s="33"/>
      <c r="J16" s="30"/>
    </row>
    <row r="17" spans="9:10" x14ac:dyDescent="0.2">
      <c r="I17" s="33"/>
      <c r="J17" s="30"/>
    </row>
    <row r="18" spans="9:10" x14ac:dyDescent="0.2">
      <c r="I18" s="33"/>
      <c r="J18" s="30"/>
    </row>
    <row r="19" spans="9:10" x14ac:dyDescent="0.2">
      <c r="I19" s="33"/>
      <c r="J19" s="30"/>
    </row>
    <row r="20" spans="9:10" x14ac:dyDescent="0.2">
      <c r="I20" s="33"/>
      <c r="J20" s="30"/>
    </row>
    <row r="21" spans="9:10" x14ac:dyDescent="0.2">
      <c r="I21" s="33"/>
      <c r="J21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</vt:lpstr>
      <vt:lpstr>Polychaeta</vt:lpstr>
      <vt:lpstr>Larvas de peces</vt:lpstr>
      <vt:lpstr>Cálculos_Densidad_De_Grupos</vt:lpstr>
      <vt:lpstr>Cálculos_Polychaeta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2022-02-27T20:39:18Z</dcterms:modified>
</cp:coreProperties>
</file>