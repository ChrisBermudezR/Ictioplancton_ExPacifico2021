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A6149066-A1EE-4344-BC1F-755C024C198E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Cálculos_Densidad_De_Grupos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3" i="4" l="1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<sst xmlns="http://schemas.openxmlformats.org/spreadsheetml/2006/main" count="68" uniqueCount="67">
  <si>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</si>
  <si>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</si>
  <si>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</si>
  <si>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</si>
  <si>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</si>
  <si>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</si>
  <si>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</si>
  <si>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</si>
  <si>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</si>
  <si>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</si>
  <si>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</si>
  <si>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</si>
  <si>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</si>
  <si>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</si>
  <si>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</si>
  <si>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</si>
  <si>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</si>
  <si>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</si>
  <si>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</si>
  <si>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</si>
  <si>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</si>
  <si>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</si>
  <si>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</si>
  <si>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</si>
  <si>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</si>
  <si>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</si>
  <si>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</si>
  <si>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</si>
  <si>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</si>
  <si>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</si>
  <si>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</si>
  <si>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</si>
  <si>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</si>
  <si>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</si>
  <si>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</si>
  <si>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</si>
  <si>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</si>
  <si>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</si>
  <si>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</si>
  <si>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</si>
  <si>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</si>
  <si>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</si>
  <si>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</si>
  <si>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</si>
  <si>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</si>
  <si>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</si>
  <si>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</si>
  <si>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</si>
  <si>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</si>
  <si>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</si>
  <si>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</si>
  <si>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</si>
  <si>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</si>
  <si>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</si>
  <si>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 xml:space="preserve"> </t>
  </si>
  <si>
    <t>|</t>
  </si>
  <si>
    <t>Decapoda (Brachyura Zoea)</t>
  </si>
  <si>
    <t>Copepoda (Calanoida)</t>
  </si>
  <si>
    <t>Pez (Huevo)</t>
  </si>
  <si>
    <t>Copepoda (Cyclopoida)</t>
  </si>
  <si>
    <t>Chaetognatha</t>
  </si>
  <si>
    <t>Amphipoda (Hyperiidae)</t>
  </si>
  <si>
    <t>Mollusca (Bivalvia)</t>
  </si>
  <si>
    <t>Mollusca (Atlanta)</t>
  </si>
  <si>
    <t>Mollusca (Limacina)</t>
  </si>
  <si>
    <t>SP-21-0261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</si>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</sst>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6" formatCode="0.0"/>
  </numFmts>
  <fonts count="2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FFEE17BE-4FB5-48F9-8FED-192CADAA1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9A9D88A3-B137-46FB-8E2E-021D4240D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4ABEC055-4931-450A-A3C4-692DFA8EA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25" name="Button 277" hidden="1">
              <a:extLst>
                <a:ext uri="{63B3BB69-23CF-44E3-9099-C40C66FF867C}">
                  <a14:compatExt spid="_x0000_s2325"/>
                </a:ext>
                <a:ext uri="{FF2B5EF4-FFF2-40B4-BE49-F238E27FC236}">
                  <a16:creationId xmlns:a16="http://schemas.microsoft.com/office/drawing/2014/main" id="{2FC9D40C-6B16-4B12-BB9D-08A591552F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26" name="Button 278" hidden="1">
              <a:extLst>
                <a:ext uri="{63B3BB69-23CF-44E3-9099-C40C66FF867C}">
                  <a14:compatExt spid="_x0000_s2326"/>
                </a:ext>
                <a:ext uri="{FF2B5EF4-FFF2-40B4-BE49-F238E27FC236}">
                  <a16:creationId xmlns:a16="http://schemas.microsoft.com/office/drawing/2014/main" id="{358E5B56-903D-4088-AD2A-DB984D846E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27" name="Button 279" hidden="1">
              <a:extLst>
                <a:ext uri="{63B3BB69-23CF-44E3-9099-C40C66FF867C}">
                  <a14:compatExt spid="_x0000_s2327"/>
                </a:ext>
                <a:ext uri="{FF2B5EF4-FFF2-40B4-BE49-F238E27FC236}">
                  <a16:creationId xmlns:a16="http://schemas.microsoft.com/office/drawing/2014/main" id="{FF33094E-76C3-45A2-A349-2D45C5AF1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28" name="Button 280" hidden="1">
              <a:extLst>
                <a:ext uri="{63B3BB69-23CF-44E3-9099-C40C66FF867C}">
                  <a14:compatExt spid="_x0000_s2328"/>
                </a:ext>
                <a:ext uri="{FF2B5EF4-FFF2-40B4-BE49-F238E27FC236}">
                  <a16:creationId xmlns:a16="http://schemas.microsoft.com/office/drawing/2014/main" id="{18BAD3B5-153A-427A-A180-D9C8DB381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29" name="Button 281" hidden="1">
              <a:extLst>
                <a:ext uri="{63B3BB69-23CF-44E3-9099-C40C66FF867C}">
                  <a14:compatExt spid="_x0000_s2329"/>
                </a:ext>
                <a:ext uri="{FF2B5EF4-FFF2-40B4-BE49-F238E27FC236}">
                  <a16:creationId xmlns:a16="http://schemas.microsoft.com/office/drawing/2014/main" id="{32F7F568-7FF1-4B19-965E-53605C1B1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0" name="Button 282" hidden="1">
              <a:extLst>
                <a:ext uri="{63B3BB69-23CF-44E3-9099-C40C66FF867C}">
                  <a14:compatExt spid="_x0000_s2330"/>
                </a:ext>
                <a:ext uri="{FF2B5EF4-FFF2-40B4-BE49-F238E27FC236}">
                  <a16:creationId xmlns:a16="http://schemas.microsoft.com/office/drawing/2014/main" id="{79BC3C9C-4F80-4DDF-9B56-F9846023E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1" name="Button 283" hidden="1">
              <a:extLst>
                <a:ext uri="{63B3BB69-23CF-44E3-9099-C40C66FF867C}">
                  <a14:compatExt spid="_x0000_s2331"/>
                </a:ext>
                <a:ext uri="{FF2B5EF4-FFF2-40B4-BE49-F238E27FC236}">
                  <a16:creationId xmlns:a16="http://schemas.microsoft.com/office/drawing/2014/main" id="{310145F4-4E60-40B0-8586-1A7B0E6D2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2" name="Button 284" hidden="1">
              <a:extLst>
                <a:ext uri="{63B3BB69-23CF-44E3-9099-C40C66FF867C}">
                  <a14:compatExt spid="_x0000_s2332"/>
                </a:ext>
                <a:ext uri="{FF2B5EF4-FFF2-40B4-BE49-F238E27FC236}">
                  <a16:creationId xmlns:a16="http://schemas.microsoft.com/office/drawing/2014/main" id="{4B531271-21F4-4A76-926A-556E2691E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3" name="Button 285" hidden="1">
              <a:extLst>
                <a:ext uri="{63B3BB69-23CF-44E3-9099-C40C66FF867C}">
                  <a14:compatExt spid="_x0000_s2333"/>
                </a:ext>
                <a:ext uri="{FF2B5EF4-FFF2-40B4-BE49-F238E27FC236}">
                  <a16:creationId xmlns:a16="http://schemas.microsoft.com/office/drawing/2014/main" id="{583E857B-D6A4-4E07-A970-339AE2B65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4" name="Button 286" hidden="1">
              <a:extLst>
                <a:ext uri="{63B3BB69-23CF-44E3-9099-C40C66FF867C}">
                  <a14:compatExt spid="_x0000_s2334"/>
                </a:ext>
                <a:ext uri="{FF2B5EF4-FFF2-40B4-BE49-F238E27FC236}">
                  <a16:creationId xmlns:a16="http://schemas.microsoft.com/office/drawing/2014/main" id="{AC162F05-B86B-487E-B810-786F0A7BD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35" name="Button 287" hidden="1">
              <a:extLst>
                <a:ext uri="{63B3BB69-23CF-44E3-9099-C40C66FF867C}">
                  <a14:compatExt spid="_x0000_s2335"/>
                </a:ext>
                <a:ext uri="{FF2B5EF4-FFF2-40B4-BE49-F238E27FC236}">
                  <a16:creationId xmlns:a16="http://schemas.microsoft.com/office/drawing/2014/main" id="{B914C445-97D2-4590-918E-0E4FDECFE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36" name="Button 288" hidden="1">
              <a:extLst>
                <a:ext uri="{63B3BB69-23CF-44E3-9099-C40C66FF867C}">
                  <a14:compatExt spid="_x0000_s2336"/>
                </a:ext>
                <a:ext uri="{FF2B5EF4-FFF2-40B4-BE49-F238E27FC236}">
                  <a16:creationId xmlns:a16="http://schemas.microsoft.com/office/drawing/2014/main" id="{33719A78-C7B4-4D65-9A8F-EDA03B6538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37" name="Button 289" hidden="1">
              <a:extLst>
                <a:ext uri="{63B3BB69-23CF-44E3-9099-C40C66FF867C}">
                  <a14:compatExt spid="_x0000_s2337"/>
                </a:ext>
                <a:ext uri="{FF2B5EF4-FFF2-40B4-BE49-F238E27FC236}">
                  <a16:creationId xmlns:a16="http://schemas.microsoft.com/office/drawing/2014/main" id="{919E83F6-C3F2-4FEB-A641-3BD163062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38" name="Button 290" hidden="1">
              <a:extLst>
                <a:ext uri="{63B3BB69-23CF-44E3-9099-C40C66FF867C}">
                  <a14:compatExt spid="_x0000_s2338"/>
                </a:ext>
                <a:ext uri="{FF2B5EF4-FFF2-40B4-BE49-F238E27FC236}">
                  <a16:creationId xmlns:a16="http://schemas.microsoft.com/office/drawing/2014/main" id="{C7E772F6-3D28-4A2E-B676-ADC09A1F6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39" name="Button 291" hidden="1">
              <a:extLst>
                <a:ext uri="{63B3BB69-23CF-44E3-9099-C40C66FF867C}">
                  <a14:compatExt spid="_x0000_s2339"/>
                </a:ext>
                <a:ext uri="{FF2B5EF4-FFF2-40B4-BE49-F238E27FC236}">
                  <a16:creationId xmlns:a16="http://schemas.microsoft.com/office/drawing/2014/main" id="{D2E813FA-CD8E-42F4-9263-B647EA4874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40" name="Button 292" hidden="1">
              <a:extLst>
                <a:ext uri="{63B3BB69-23CF-44E3-9099-C40C66FF867C}">
                  <a14:compatExt spid="_x0000_s2340"/>
                </a:ext>
                <a:ext uri="{FF2B5EF4-FFF2-40B4-BE49-F238E27FC236}">
                  <a16:creationId xmlns:a16="http://schemas.microsoft.com/office/drawing/2014/main" id="{F6ECA577-2918-4ABF-B110-9984BD59D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41" name="Button 293" hidden="1">
              <a:extLst>
                <a:ext uri="{63B3BB69-23CF-44E3-9099-C40C66FF867C}">
                  <a14:compatExt spid="_x0000_s2341"/>
                </a:ext>
                <a:ext uri="{FF2B5EF4-FFF2-40B4-BE49-F238E27FC236}">
                  <a16:creationId xmlns:a16="http://schemas.microsoft.com/office/drawing/2014/main" id="{14611A1E-D585-41C9-82EC-C9E479171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42" name="Button 294" hidden="1">
              <a:extLst>
                <a:ext uri="{63B3BB69-23CF-44E3-9099-C40C66FF867C}">
                  <a14:compatExt spid="_x0000_s2342"/>
                </a:ext>
                <a:ext uri="{FF2B5EF4-FFF2-40B4-BE49-F238E27FC236}">
                  <a16:creationId xmlns:a16="http://schemas.microsoft.com/office/drawing/2014/main" id="{D0FEB606-7FFD-47C3-A203-FCA603269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43" name="Button 295" hidden="1">
              <a:extLst>
                <a:ext uri="{63B3BB69-23CF-44E3-9099-C40C66FF867C}">
                  <a14:compatExt spid="_x0000_s2343"/>
                </a:ext>
                <a:ext uri="{FF2B5EF4-FFF2-40B4-BE49-F238E27FC236}">
                  <a16:creationId xmlns:a16="http://schemas.microsoft.com/office/drawing/2014/main" id="{24A09B50-0B07-412A-B57D-B3A731A75A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44" name="Button 296" hidden="1">
              <a:extLst>
                <a:ext uri="{63B3BB69-23CF-44E3-9099-C40C66FF867C}">
                  <a14:compatExt spid="_x0000_s2344"/>
                </a:ext>
                <a:ext uri="{FF2B5EF4-FFF2-40B4-BE49-F238E27FC236}">
                  <a16:creationId xmlns:a16="http://schemas.microsoft.com/office/drawing/2014/main" id="{8CD22F8F-73C7-4D68-B35C-27BB859FC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45" name="Button 297" hidden="1">
              <a:extLst>
                <a:ext uri="{63B3BB69-23CF-44E3-9099-C40C66FF867C}">
                  <a14:compatExt spid="_x0000_s2345"/>
                </a:ext>
                <a:ext uri="{FF2B5EF4-FFF2-40B4-BE49-F238E27FC236}">
                  <a16:creationId xmlns:a16="http://schemas.microsoft.com/office/drawing/2014/main" id="{D3CC1CAF-1AC6-429D-9C7F-125EAA48D1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46" name="Button 298" hidden="1">
              <a:extLst>
                <a:ext uri="{63B3BB69-23CF-44E3-9099-C40C66FF867C}">
                  <a14:compatExt spid="_x0000_s2346"/>
                </a:ext>
                <a:ext uri="{FF2B5EF4-FFF2-40B4-BE49-F238E27FC236}">
                  <a16:creationId xmlns:a16="http://schemas.microsoft.com/office/drawing/2014/main" id="{9A2B69CE-6C2B-4C57-B8E2-1D7C5EE60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47" name="Button 299" hidden="1">
              <a:extLst>
                <a:ext uri="{63B3BB69-23CF-44E3-9099-C40C66FF867C}">
                  <a14:compatExt spid="_x0000_s2347"/>
                </a:ext>
                <a:ext uri="{FF2B5EF4-FFF2-40B4-BE49-F238E27FC236}">
                  <a16:creationId xmlns:a16="http://schemas.microsoft.com/office/drawing/2014/main" id="{C4CFCB20-45EE-4360-BFFD-E7F00A01C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48" name="Button 300" hidden="1">
              <a:extLst>
                <a:ext uri="{63B3BB69-23CF-44E3-9099-C40C66FF867C}">
                  <a14:compatExt spid="_x0000_s2348"/>
                </a:ext>
                <a:ext uri="{FF2B5EF4-FFF2-40B4-BE49-F238E27FC236}">
                  <a16:creationId xmlns:a16="http://schemas.microsoft.com/office/drawing/2014/main" id="{5BE379E3-D2DF-4497-A79F-F16BF0CFE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49" name="Button 301" hidden="1">
              <a:extLst>
                <a:ext uri="{63B3BB69-23CF-44E3-9099-C40C66FF867C}">
                  <a14:compatExt spid="_x0000_s2349"/>
                </a:ext>
                <a:ext uri="{FF2B5EF4-FFF2-40B4-BE49-F238E27FC236}">
                  <a16:creationId xmlns:a16="http://schemas.microsoft.com/office/drawing/2014/main" id="{CD84C68B-E934-4740-B53C-16A9E24036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50" name="Button 302" hidden="1">
              <a:extLst>
                <a:ext uri="{63B3BB69-23CF-44E3-9099-C40C66FF867C}">
                  <a14:compatExt spid="_x0000_s2350"/>
                </a:ext>
                <a:ext uri="{FF2B5EF4-FFF2-40B4-BE49-F238E27FC236}">
                  <a16:creationId xmlns:a16="http://schemas.microsoft.com/office/drawing/2014/main" id="{16B1C246-423A-4197-9467-CB521A792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51" name="Button 303" hidden="1">
              <a:extLst>
                <a:ext uri="{63B3BB69-23CF-44E3-9099-C40C66FF867C}">
                  <a14:compatExt spid="_x0000_s2351"/>
                </a:ext>
                <a:ext uri="{FF2B5EF4-FFF2-40B4-BE49-F238E27FC236}">
                  <a16:creationId xmlns:a16="http://schemas.microsoft.com/office/drawing/2014/main" id="{1EC8A539-10D6-4441-95E9-5C4E548B4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52" name="Button 304" hidden="1">
              <a:extLst>
                <a:ext uri="{63B3BB69-23CF-44E3-9099-C40C66FF867C}">
                  <a14:compatExt spid="_x0000_s2352"/>
                </a:ext>
                <a:ext uri="{FF2B5EF4-FFF2-40B4-BE49-F238E27FC236}">
                  <a16:creationId xmlns:a16="http://schemas.microsoft.com/office/drawing/2014/main" id="{765B263E-9410-43A2-8693-48C2BD168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53" name="Button 305" hidden="1">
              <a:extLst>
                <a:ext uri="{63B3BB69-23CF-44E3-9099-C40C66FF867C}">
                  <a14:compatExt spid="_x0000_s2353"/>
                </a:ext>
                <a:ext uri="{FF2B5EF4-FFF2-40B4-BE49-F238E27FC236}">
                  <a16:creationId xmlns:a16="http://schemas.microsoft.com/office/drawing/2014/main" id="{9B489EB4-DDEA-458B-997B-FD5FEEBC4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54" name="Button 306" hidden="1">
              <a:extLst>
                <a:ext uri="{63B3BB69-23CF-44E3-9099-C40C66FF867C}">
                  <a14:compatExt spid="_x0000_s2354"/>
                </a:ext>
                <a:ext uri="{FF2B5EF4-FFF2-40B4-BE49-F238E27FC236}">
                  <a16:creationId xmlns:a16="http://schemas.microsoft.com/office/drawing/2014/main" id="{FB58B29A-FFFD-4158-B649-6D6E1303EA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55" name="Button 307" hidden="1">
              <a:extLst>
                <a:ext uri="{63B3BB69-23CF-44E3-9099-C40C66FF867C}">
                  <a14:compatExt spid="_x0000_s2355"/>
                </a:ext>
                <a:ext uri="{FF2B5EF4-FFF2-40B4-BE49-F238E27FC236}">
                  <a16:creationId xmlns:a16="http://schemas.microsoft.com/office/drawing/2014/main" id="{E8FA1FC2-D58F-475C-8EC6-1D55C53AB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56" name="Button 308" hidden="1">
              <a:extLst>
                <a:ext uri="{63B3BB69-23CF-44E3-9099-C40C66FF867C}">
                  <a14:compatExt spid="_x0000_s2356"/>
                </a:ext>
                <a:ext uri="{FF2B5EF4-FFF2-40B4-BE49-F238E27FC236}">
                  <a16:creationId xmlns:a16="http://schemas.microsoft.com/office/drawing/2014/main" id="{616EAD8F-7FC7-42B4-84C5-8111B9714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57" name="Button 309" hidden="1">
              <a:extLst>
                <a:ext uri="{63B3BB69-23CF-44E3-9099-C40C66FF867C}">
                  <a14:compatExt spid="_x0000_s2357"/>
                </a:ext>
                <a:ext uri="{FF2B5EF4-FFF2-40B4-BE49-F238E27FC236}">
                  <a16:creationId xmlns:a16="http://schemas.microsoft.com/office/drawing/2014/main" id="{7E5E9BC9-7EC1-4778-A982-EF7FB2931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58" name="Button 310" hidden="1">
              <a:extLst>
                <a:ext uri="{63B3BB69-23CF-44E3-9099-C40C66FF867C}">
                  <a14:compatExt spid="_x0000_s2358"/>
                </a:ext>
                <a:ext uri="{FF2B5EF4-FFF2-40B4-BE49-F238E27FC236}">
                  <a16:creationId xmlns:a16="http://schemas.microsoft.com/office/drawing/2014/main" id="{9D0E0131-5554-48D5-A5DE-B39A21D442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59" name="Button 311" hidden="1">
              <a:extLst>
                <a:ext uri="{63B3BB69-23CF-44E3-9099-C40C66FF867C}">
                  <a14:compatExt spid="_x0000_s2359"/>
                </a:ext>
                <a:ext uri="{FF2B5EF4-FFF2-40B4-BE49-F238E27FC236}">
                  <a16:creationId xmlns:a16="http://schemas.microsoft.com/office/drawing/2014/main" id="{6B431848-A195-4398-AC3A-7ADBBDC9B9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60" name="Button 312" hidden="1">
              <a:extLst>
                <a:ext uri="{63B3BB69-23CF-44E3-9099-C40C66FF867C}">
                  <a14:compatExt spid="_x0000_s2360"/>
                </a:ext>
                <a:ext uri="{FF2B5EF4-FFF2-40B4-BE49-F238E27FC236}">
                  <a16:creationId xmlns:a16="http://schemas.microsoft.com/office/drawing/2014/main" id="{0771D7F6-9718-4017-B0A8-938EA1936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61" name="Button 313" hidden="1">
              <a:extLst>
                <a:ext uri="{63B3BB69-23CF-44E3-9099-C40C66FF867C}">
                  <a14:compatExt spid="_x0000_s2361"/>
                </a:ext>
                <a:ext uri="{FF2B5EF4-FFF2-40B4-BE49-F238E27FC236}">
                  <a16:creationId xmlns:a16="http://schemas.microsoft.com/office/drawing/2014/main" id="{A3D7A21A-A1C6-4B2B-9E43-0F8631DA5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62" name="Button 314" hidden="1">
              <a:extLst>
                <a:ext uri="{63B3BB69-23CF-44E3-9099-C40C66FF867C}">
                  <a14:compatExt spid="_x0000_s2362"/>
                </a:ext>
                <a:ext uri="{FF2B5EF4-FFF2-40B4-BE49-F238E27FC236}">
                  <a16:creationId xmlns:a16="http://schemas.microsoft.com/office/drawing/2014/main" id="{010A054F-77E8-4E14-B0F3-4E44C2644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63" name="Button 315" hidden="1">
              <a:extLst>
                <a:ext uri="{63B3BB69-23CF-44E3-9099-C40C66FF867C}">
                  <a14:compatExt spid="_x0000_s2363"/>
                </a:ext>
                <a:ext uri="{FF2B5EF4-FFF2-40B4-BE49-F238E27FC236}">
                  <a16:creationId xmlns:a16="http://schemas.microsoft.com/office/drawing/2014/main" id="{ECD589B6-49A9-4A4B-8B6E-BF3AB078B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64" name="Button 316" hidden="1">
              <a:extLst>
                <a:ext uri="{63B3BB69-23CF-44E3-9099-C40C66FF867C}">
                  <a14:compatExt spid="_x0000_s2364"/>
                </a:ext>
                <a:ext uri="{FF2B5EF4-FFF2-40B4-BE49-F238E27FC236}">
                  <a16:creationId xmlns:a16="http://schemas.microsoft.com/office/drawing/2014/main" id="{F0990266-8E94-41BF-B31C-3F36CCFAE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65" name="Button 317" hidden="1">
              <a:extLst>
                <a:ext uri="{63B3BB69-23CF-44E3-9099-C40C66FF867C}">
                  <a14:compatExt spid="_x0000_s2365"/>
                </a:ext>
                <a:ext uri="{FF2B5EF4-FFF2-40B4-BE49-F238E27FC236}">
                  <a16:creationId xmlns:a16="http://schemas.microsoft.com/office/drawing/2014/main" id="{872E267A-BE3D-4B48-BE72-5589B3E23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366" name="Button 318" hidden="1">
              <a:extLst>
                <a:ext uri="{63B3BB69-23CF-44E3-9099-C40C66FF867C}">
                  <a14:compatExt spid="_x0000_s2366"/>
                </a:ext>
                <a:ext uri="{FF2B5EF4-FFF2-40B4-BE49-F238E27FC236}">
                  <a16:creationId xmlns:a16="http://schemas.microsoft.com/office/drawing/2014/main" id="{1EE83513-C546-4A46-82DF-01EAEF6B7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367" name="Button 319" hidden="1">
              <a:extLst>
                <a:ext uri="{63B3BB69-23CF-44E3-9099-C40C66FF867C}">
                  <a14:compatExt spid="_x0000_s2367"/>
                </a:ext>
                <a:ext uri="{FF2B5EF4-FFF2-40B4-BE49-F238E27FC236}">
                  <a16:creationId xmlns:a16="http://schemas.microsoft.com/office/drawing/2014/main" id="{83A8C417-EF6E-478A-814A-4001210D8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368" name="Button 320" hidden="1">
              <a:extLst>
                <a:ext uri="{63B3BB69-23CF-44E3-9099-C40C66FF867C}">
                  <a14:compatExt spid="_x0000_s2368"/>
                </a:ext>
                <a:ext uri="{FF2B5EF4-FFF2-40B4-BE49-F238E27FC236}">
                  <a16:creationId xmlns:a16="http://schemas.microsoft.com/office/drawing/2014/main" id="{5BA20D7E-A0D1-46B1-B66C-FE6B29F60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369" name="Button 321" hidden="1">
              <a:extLst>
                <a:ext uri="{63B3BB69-23CF-44E3-9099-C40C66FF867C}">
                  <a14:compatExt spid="_x0000_s2369"/>
                </a:ext>
                <a:ext uri="{FF2B5EF4-FFF2-40B4-BE49-F238E27FC236}">
                  <a16:creationId xmlns:a16="http://schemas.microsoft.com/office/drawing/2014/main" id="{5A872D23-DD81-4B2E-A0AC-185500554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370" name="Button 322" hidden="1">
              <a:extLst>
                <a:ext uri="{63B3BB69-23CF-44E3-9099-C40C66FF867C}">
                  <a14:compatExt spid="_x0000_s2370"/>
                </a:ext>
                <a:ext uri="{FF2B5EF4-FFF2-40B4-BE49-F238E27FC236}">
                  <a16:creationId xmlns:a16="http://schemas.microsoft.com/office/drawing/2014/main" id="{985C162B-DD56-4168-88E5-C1C355EF7E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71" name="Button 323" hidden="1">
              <a:extLst>
                <a:ext uri="{63B3BB69-23CF-44E3-9099-C40C66FF867C}">
                  <a14:compatExt spid="_x0000_s2371"/>
                </a:ext>
                <a:ext uri="{FF2B5EF4-FFF2-40B4-BE49-F238E27FC236}">
                  <a16:creationId xmlns:a16="http://schemas.microsoft.com/office/drawing/2014/main" id="{471D79AD-8D75-4AAF-B074-F3BDF68F4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72" name="Button 324" hidden="1">
              <a:extLst>
                <a:ext uri="{63B3BB69-23CF-44E3-9099-C40C66FF867C}">
                  <a14:compatExt spid="_x0000_s2372"/>
                </a:ext>
                <a:ext uri="{FF2B5EF4-FFF2-40B4-BE49-F238E27FC236}">
                  <a16:creationId xmlns:a16="http://schemas.microsoft.com/office/drawing/2014/main" id="{630921D5-98FC-4F69-A4FD-1B3A7C5CA8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73" name="Button 325" hidden="1">
              <a:extLst>
                <a:ext uri="{63B3BB69-23CF-44E3-9099-C40C66FF867C}">
                  <a14:compatExt spid="_x0000_s2373"/>
                </a:ext>
                <a:ext uri="{FF2B5EF4-FFF2-40B4-BE49-F238E27FC236}">
                  <a16:creationId xmlns:a16="http://schemas.microsoft.com/office/drawing/2014/main" id="{D7F086BD-0DC2-443B-B1E6-888600656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74" name="Button 326" hidden="1">
              <a:extLst>
                <a:ext uri="{63B3BB69-23CF-44E3-9099-C40C66FF867C}">
                  <a14:compatExt spid="_x0000_s2374"/>
                </a:ext>
                <a:ext uri="{FF2B5EF4-FFF2-40B4-BE49-F238E27FC236}">
                  <a16:creationId xmlns:a16="http://schemas.microsoft.com/office/drawing/2014/main" id="{0E1C6BF3-C484-4DFA-82B3-69F3D0D44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75" name="Button 327" hidden="1">
              <a:extLst>
                <a:ext uri="{63B3BB69-23CF-44E3-9099-C40C66FF867C}">
                  <a14:compatExt spid="_x0000_s2375"/>
                </a:ext>
                <a:ext uri="{FF2B5EF4-FFF2-40B4-BE49-F238E27FC236}">
                  <a16:creationId xmlns:a16="http://schemas.microsoft.com/office/drawing/2014/main" id="{6D9C74BC-68F9-4F08-A46E-461EA14B4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76" name="Button 328" hidden="1">
              <a:extLst>
                <a:ext uri="{63B3BB69-23CF-44E3-9099-C40C66FF867C}">
                  <a14:compatExt spid="_x0000_s2376"/>
                </a:ext>
                <a:ext uri="{FF2B5EF4-FFF2-40B4-BE49-F238E27FC236}">
                  <a16:creationId xmlns:a16="http://schemas.microsoft.com/office/drawing/2014/main" id="{E4DAF5B1-9B10-40A0-8443-79BCF26F4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77" name="Button 329" hidden="1">
              <a:extLst>
                <a:ext uri="{63B3BB69-23CF-44E3-9099-C40C66FF867C}">
                  <a14:compatExt spid="_x0000_s2377"/>
                </a:ext>
                <a:ext uri="{FF2B5EF4-FFF2-40B4-BE49-F238E27FC236}">
                  <a16:creationId xmlns:a16="http://schemas.microsoft.com/office/drawing/2014/main" id="{59168D54-7E5A-4328-9D89-88F8644E51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78" name="Button 330" hidden="1">
              <a:extLst>
                <a:ext uri="{63B3BB69-23CF-44E3-9099-C40C66FF867C}">
                  <a14:compatExt spid="_x0000_s2378"/>
                </a:ext>
                <a:ext uri="{FF2B5EF4-FFF2-40B4-BE49-F238E27FC236}">
                  <a16:creationId xmlns:a16="http://schemas.microsoft.com/office/drawing/2014/main" id="{A63B239B-2F6C-4C48-A763-6E9C46E39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79" name="Button 331" hidden="1">
              <a:extLst>
                <a:ext uri="{63B3BB69-23CF-44E3-9099-C40C66FF867C}">
                  <a14:compatExt spid="_x0000_s2379"/>
                </a:ext>
                <a:ext uri="{FF2B5EF4-FFF2-40B4-BE49-F238E27FC236}">
                  <a16:creationId xmlns:a16="http://schemas.microsoft.com/office/drawing/2014/main" id="{0EC9D571-2AFD-42DB-928E-E9DD19E8A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80" name="Button 332" hidden="1">
              <a:extLst>
                <a:ext uri="{63B3BB69-23CF-44E3-9099-C40C66FF867C}">
                  <a14:compatExt spid="_x0000_s2380"/>
                </a:ext>
                <a:ext uri="{FF2B5EF4-FFF2-40B4-BE49-F238E27FC236}">
                  <a16:creationId xmlns:a16="http://schemas.microsoft.com/office/drawing/2014/main" id="{597861FD-A361-40A0-A5F3-060AB0462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81" name="Button 333" hidden="1">
              <a:extLst>
                <a:ext uri="{63B3BB69-23CF-44E3-9099-C40C66FF867C}">
                  <a14:compatExt spid="_x0000_s2381"/>
                </a:ext>
                <a:ext uri="{FF2B5EF4-FFF2-40B4-BE49-F238E27FC236}">
                  <a16:creationId xmlns:a16="http://schemas.microsoft.com/office/drawing/2014/main" id="{9B72E5B7-B550-40BC-96D0-F7AC1FE2F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82" name="Button 334" hidden="1">
              <a:extLst>
                <a:ext uri="{63B3BB69-23CF-44E3-9099-C40C66FF867C}">
                  <a14:compatExt spid="_x0000_s2382"/>
                </a:ext>
                <a:ext uri="{FF2B5EF4-FFF2-40B4-BE49-F238E27FC236}">
                  <a16:creationId xmlns:a16="http://schemas.microsoft.com/office/drawing/2014/main" id="{A127290F-CC8D-404E-9769-3B89A1DD9B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83" name="Button 335" hidden="1">
              <a:extLst>
                <a:ext uri="{63B3BB69-23CF-44E3-9099-C40C66FF867C}">
                  <a14:compatExt spid="_x0000_s2383"/>
                </a:ext>
                <a:ext uri="{FF2B5EF4-FFF2-40B4-BE49-F238E27FC236}">
                  <a16:creationId xmlns:a16="http://schemas.microsoft.com/office/drawing/2014/main" id="{BFA88152-D275-492B-9826-48874064E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384" name="Button 336" hidden="1">
              <a:extLst>
                <a:ext uri="{63B3BB69-23CF-44E3-9099-C40C66FF867C}">
                  <a14:compatExt spid="_x0000_s2384"/>
                </a:ext>
                <a:ext uri="{FF2B5EF4-FFF2-40B4-BE49-F238E27FC236}">
                  <a16:creationId xmlns:a16="http://schemas.microsoft.com/office/drawing/2014/main" id="{3946BF39-236C-40DC-A62A-36A85D95D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85" name="Button 337" hidden="1">
              <a:extLst>
                <a:ext uri="{63B3BB69-23CF-44E3-9099-C40C66FF867C}">
                  <a14:compatExt spid="_x0000_s2385"/>
                </a:ext>
                <a:ext uri="{FF2B5EF4-FFF2-40B4-BE49-F238E27FC236}">
                  <a16:creationId xmlns:a16="http://schemas.microsoft.com/office/drawing/2014/main" id="{328E6FC2-67CD-4209-8087-A5C7DBB416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86" name="Button 338" hidden="1">
              <a:extLst>
                <a:ext uri="{63B3BB69-23CF-44E3-9099-C40C66FF867C}">
                  <a14:compatExt spid="_x0000_s2386"/>
                </a:ext>
                <a:ext uri="{FF2B5EF4-FFF2-40B4-BE49-F238E27FC236}">
                  <a16:creationId xmlns:a16="http://schemas.microsoft.com/office/drawing/2014/main" id="{6F7D4385-90F2-4BFA-ADD2-289379BFF7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87" name="Button 339" hidden="1">
              <a:extLst>
                <a:ext uri="{63B3BB69-23CF-44E3-9099-C40C66FF867C}">
                  <a14:compatExt spid="_x0000_s2387"/>
                </a:ext>
                <a:ext uri="{FF2B5EF4-FFF2-40B4-BE49-F238E27FC236}">
                  <a16:creationId xmlns:a16="http://schemas.microsoft.com/office/drawing/2014/main" id="{18C9F33E-3822-482E-B835-4F2A577EDE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88" name="Button 340" hidden="1">
              <a:extLst>
                <a:ext uri="{63B3BB69-23CF-44E3-9099-C40C66FF867C}">
                  <a14:compatExt spid="_x0000_s2388"/>
                </a:ext>
                <a:ext uri="{FF2B5EF4-FFF2-40B4-BE49-F238E27FC236}">
                  <a16:creationId xmlns:a16="http://schemas.microsoft.com/office/drawing/2014/main" id="{C13CA401-AD80-4E07-94A9-6AA84BC5A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89" name="Button 341" hidden="1">
              <a:extLst>
                <a:ext uri="{63B3BB69-23CF-44E3-9099-C40C66FF867C}">
                  <a14:compatExt spid="_x0000_s2389"/>
                </a:ext>
                <a:ext uri="{FF2B5EF4-FFF2-40B4-BE49-F238E27FC236}">
                  <a16:creationId xmlns:a16="http://schemas.microsoft.com/office/drawing/2014/main" id="{F5FB6B7C-BCA6-4D39-BEAD-17EF3C9DF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90" name="Button 342" hidden="1">
              <a:extLst>
                <a:ext uri="{63B3BB69-23CF-44E3-9099-C40C66FF867C}">
                  <a14:compatExt spid="_x0000_s2390"/>
                </a:ext>
                <a:ext uri="{FF2B5EF4-FFF2-40B4-BE49-F238E27FC236}">
                  <a16:creationId xmlns:a16="http://schemas.microsoft.com/office/drawing/2014/main" id="{07E4E93A-AC22-457D-9568-A701C73A35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91" name="Button 343" hidden="1">
              <a:extLst>
                <a:ext uri="{63B3BB69-23CF-44E3-9099-C40C66FF867C}">
                  <a14:compatExt spid="_x0000_s2391"/>
                </a:ext>
                <a:ext uri="{FF2B5EF4-FFF2-40B4-BE49-F238E27FC236}">
                  <a16:creationId xmlns:a16="http://schemas.microsoft.com/office/drawing/2014/main" id="{D1D3C7A5-26A0-4C3E-8272-33E5983FEC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92" name="Button 344" hidden="1">
              <a:extLst>
                <a:ext uri="{63B3BB69-23CF-44E3-9099-C40C66FF867C}">
                  <a14:compatExt spid="_x0000_s2392"/>
                </a:ext>
                <a:ext uri="{FF2B5EF4-FFF2-40B4-BE49-F238E27FC236}">
                  <a16:creationId xmlns:a16="http://schemas.microsoft.com/office/drawing/2014/main" id="{CBB72FC7-A3A6-4123-B83A-052B6D9F91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93" name="Button 345" hidden="1">
              <a:extLst>
                <a:ext uri="{63B3BB69-23CF-44E3-9099-C40C66FF867C}">
                  <a14:compatExt spid="_x0000_s2393"/>
                </a:ext>
                <a:ext uri="{FF2B5EF4-FFF2-40B4-BE49-F238E27FC236}">
                  <a16:creationId xmlns:a16="http://schemas.microsoft.com/office/drawing/2014/main" id="{19552A41-FE0A-4DC0-9D48-B355285EF5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94" name="Button 346" hidden="1">
              <a:extLst>
                <a:ext uri="{63B3BB69-23CF-44E3-9099-C40C66FF867C}">
                  <a14:compatExt spid="_x0000_s2394"/>
                </a:ext>
                <a:ext uri="{FF2B5EF4-FFF2-40B4-BE49-F238E27FC236}">
                  <a16:creationId xmlns:a16="http://schemas.microsoft.com/office/drawing/2014/main" id="{3B946772-F703-41F1-95A7-2CA414943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95" name="Button 347" hidden="1">
              <a:extLst>
                <a:ext uri="{63B3BB69-23CF-44E3-9099-C40C66FF867C}">
                  <a14:compatExt spid="_x0000_s2395"/>
                </a:ext>
                <a:ext uri="{FF2B5EF4-FFF2-40B4-BE49-F238E27FC236}">
                  <a16:creationId xmlns:a16="http://schemas.microsoft.com/office/drawing/2014/main" id="{D928F104-0C03-4AA9-B18A-205F99586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96" name="Button 348" hidden="1">
              <a:extLst>
                <a:ext uri="{63B3BB69-23CF-44E3-9099-C40C66FF867C}">
                  <a14:compatExt spid="_x0000_s2396"/>
                </a:ext>
                <a:ext uri="{FF2B5EF4-FFF2-40B4-BE49-F238E27FC236}">
                  <a16:creationId xmlns:a16="http://schemas.microsoft.com/office/drawing/2014/main" id="{DFA6C418-5F68-4337-937B-3AF7C644C2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97" name="Button 349" hidden="1">
              <a:extLst>
                <a:ext uri="{63B3BB69-23CF-44E3-9099-C40C66FF867C}">
                  <a14:compatExt spid="_x0000_s2397"/>
                </a:ext>
                <a:ext uri="{FF2B5EF4-FFF2-40B4-BE49-F238E27FC236}">
                  <a16:creationId xmlns:a16="http://schemas.microsoft.com/office/drawing/2014/main" id="{61D14871-49A3-463C-98D4-06D08D5363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98" name="Button 350" hidden="1">
              <a:extLst>
                <a:ext uri="{63B3BB69-23CF-44E3-9099-C40C66FF867C}">
                  <a14:compatExt spid="_x0000_s2398"/>
                </a:ext>
                <a:ext uri="{FF2B5EF4-FFF2-40B4-BE49-F238E27FC236}">
                  <a16:creationId xmlns:a16="http://schemas.microsoft.com/office/drawing/2014/main" id="{1114F2A0-B37C-4CF5-B6E4-C2F8E30DF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99" name="Button 351" hidden="1">
              <a:extLst>
                <a:ext uri="{63B3BB69-23CF-44E3-9099-C40C66FF867C}">
                  <a14:compatExt spid="_x0000_s2399"/>
                </a:ext>
                <a:ext uri="{FF2B5EF4-FFF2-40B4-BE49-F238E27FC236}">
                  <a16:creationId xmlns:a16="http://schemas.microsoft.com/office/drawing/2014/main" id="{7EC536E5-C4AA-496B-A24B-953E3EBA8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00" name="Button 352" hidden="1">
              <a:extLst>
                <a:ext uri="{63B3BB69-23CF-44E3-9099-C40C66FF867C}">
                  <a14:compatExt spid="_x0000_s2400"/>
                </a:ext>
                <a:ext uri="{FF2B5EF4-FFF2-40B4-BE49-F238E27FC236}">
                  <a16:creationId xmlns:a16="http://schemas.microsoft.com/office/drawing/2014/main" id="{31E12383-894F-4284-A005-DB521D9D2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01" name="Button 353" hidden="1">
              <a:extLst>
                <a:ext uri="{63B3BB69-23CF-44E3-9099-C40C66FF867C}">
                  <a14:compatExt spid="_x0000_s2401"/>
                </a:ext>
                <a:ext uri="{FF2B5EF4-FFF2-40B4-BE49-F238E27FC236}">
                  <a16:creationId xmlns:a16="http://schemas.microsoft.com/office/drawing/2014/main" id="{3389930D-A85E-440A-A125-696C970AFE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02" name="Button 354" hidden="1">
              <a:extLst>
                <a:ext uri="{63B3BB69-23CF-44E3-9099-C40C66FF867C}">
                  <a14:compatExt spid="_x0000_s2402"/>
                </a:ext>
                <a:ext uri="{FF2B5EF4-FFF2-40B4-BE49-F238E27FC236}">
                  <a16:creationId xmlns:a16="http://schemas.microsoft.com/office/drawing/2014/main" id="{94548899-CCD8-4F23-A93C-A380CCBE9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403" name="Button 355" hidden="1">
              <a:extLst>
                <a:ext uri="{63B3BB69-23CF-44E3-9099-C40C66FF867C}">
                  <a14:compatExt spid="_x0000_s2403"/>
                </a:ext>
                <a:ext uri="{FF2B5EF4-FFF2-40B4-BE49-F238E27FC236}">
                  <a16:creationId xmlns:a16="http://schemas.microsoft.com/office/drawing/2014/main" id="{7BC3CC5D-967F-48BA-B5F4-D07BADBDF3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404" name="Button 356" hidden="1">
              <a:extLst>
                <a:ext uri="{63B3BB69-23CF-44E3-9099-C40C66FF867C}">
                  <a14:compatExt spid="_x0000_s2404"/>
                </a:ext>
                <a:ext uri="{FF2B5EF4-FFF2-40B4-BE49-F238E27FC236}">
                  <a16:creationId xmlns:a16="http://schemas.microsoft.com/office/drawing/2014/main" id="{1CEA5584-6CEF-4E03-ACEE-84E60FC74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405" name="Button 357" hidden="1">
              <a:extLst>
                <a:ext uri="{63B3BB69-23CF-44E3-9099-C40C66FF867C}">
                  <a14:compatExt spid="_x0000_s2405"/>
                </a:ext>
                <a:ext uri="{FF2B5EF4-FFF2-40B4-BE49-F238E27FC236}">
                  <a16:creationId xmlns:a16="http://schemas.microsoft.com/office/drawing/2014/main" id="{233BE18F-1B0C-46F2-960B-6FF74A476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406" name="Button 358" hidden="1">
              <a:extLst>
                <a:ext uri="{63B3BB69-23CF-44E3-9099-C40C66FF867C}">
                  <a14:compatExt spid="_x0000_s2406"/>
                </a:ext>
                <a:ext uri="{FF2B5EF4-FFF2-40B4-BE49-F238E27FC236}">
                  <a16:creationId xmlns:a16="http://schemas.microsoft.com/office/drawing/2014/main" id="{4CDF5628-D92A-4368-8954-3E69536F6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407" name="Button 359" hidden="1">
              <a:extLst>
                <a:ext uri="{63B3BB69-23CF-44E3-9099-C40C66FF867C}">
                  <a14:compatExt spid="_x0000_s2407"/>
                </a:ext>
                <a:ext uri="{FF2B5EF4-FFF2-40B4-BE49-F238E27FC236}">
                  <a16:creationId xmlns:a16="http://schemas.microsoft.com/office/drawing/2014/main" id="{9E0FC3C4-2F57-4260-A254-D80081A1F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8" name="Button 360" hidden="1">
              <a:extLst>
                <a:ext uri="{63B3BB69-23CF-44E3-9099-C40C66FF867C}">
                  <a14:compatExt spid="_x0000_s2408"/>
                </a:ext>
                <a:ext uri="{FF2B5EF4-FFF2-40B4-BE49-F238E27FC236}">
                  <a16:creationId xmlns:a16="http://schemas.microsoft.com/office/drawing/2014/main" id="{5D4AB9DE-FD68-4FCD-9E0C-CB13E0067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409" name="Button 361" hidden="1">
              <a:extLst>
                <a:ext uri="{63B3BB69-23CF-44E3-9099-C40C66FF867C}">
                  <a14:compatExt spid="_x0000_s2409"/>
                </a:ext>
                <a:ext uri="{FF2B5EF4-FFF2-40B4-BE49-F238E27FC236}">
                  <a16:creationId xmlns:a16="http://schemas.microsoft.com/office/drawing/2014/main" id="{024E1E66-AFB5-47D5-94FB-0F380B6D19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410" name="Button 362" hidden="1">
              <a:extLst>
                <a:ext uri="{63B3BB69-23CF-44E3-9099-C40C66FF867C}">
                  <a14:compatExt spid="_x0000_s2410"/>
                </a:ext>
                <a:ext uri="{FF2B5EF4-FFF2-40B4-BE49-F238E27FC236}">
                  <a16:creationId xmlns:a16="http://schemas.microsoft.com/office/drawing/2014/main" id="{04D4D283-303D-41E0-B475-235F6CD07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00" workbookViewId="0">
      <selection activeCell="A27" sqref="A27:H2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4"/>
      <c r="B1" s="6"/>
      <c r="I1" s="90" t="s">
        <v>32</v>
      </c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3"/>
    </row>
    <row r="2" spans="1:29" ht="37.5" customHeight="1" x14ac:dyDescent="0.2">
      <c r="A2" s="84"/>
      <c r="B2" s="6"/>
      <c r="I2" s="85" t="s">
        <v>31</v>
      </c>
      <c r="J2" s="86"/>
      <c r="K2" s="86"/>
      <c r="L2" s="86"/>
      <c r="M2" s="86"/>
      <c r="N2" s="86"/>
      <c r="O2" s="86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9" t="s">
        <v>1</v>
      </c>
      <c r="B4" s="89"/>
      <c r="C4" s="89"/>
      <c r="D4" s="89"/>
      <c r="E4" s="89"/>
      <c r="F4" s="92"/>
      <c r="G4" s="87" t="s">
        <v>66</v>
      </c>
      <c r="H4" s="87"/>
      <c r="I4" s="87"/>
      <c r="J4" s="87"/>
      <c r="K4" s="87"/>
      <c r="L4" s="87"/>
      <c r="M4" s="87"/>
      <c r="N4" s="88" t="s">
        <v>11</v>
      </c>
      <c r="O4" s="88"/>
      <c r="P4" s="88"/>
      <c r="Q4" s="88"/>
      <c r="R4" s="88"/>
      <c r="S4" s="88"/>
      <c r="T4" s="88"/>
      <c r="U4" s="103" t="s">
        <v>53</v>
      </c>
      <c r="V4" s="104"/>
      <c r="W4" s="104"/>
      <c r="X4" s="104"/>
      <c r="Y4" s="104"/>
      <c r="Z4" s="104"/>
      <c r="AA4" s="104"/>
      <c r="AB4" s="105"/>
      <c r="AC4" s="3"/>
    </row>
    <row r="5" spans="1:29" ht="24" customHeight="1" x14ac:dyDescent="0.2">
      <c r="A5" s="89" t="s">
        <v>5</v>
      </c>
      <c r="B5" s="89"/>
      <c r="C5" s="89"/>
      <c r="D5" s="89"/>
      <c r="E5" s="89"/>
      <c r="F5" s="92"/>
      <c r="G5" s="73" t="s">
        <v>37</v>
      </c>
      <c r="H5" s="73"/>
      <c r="I5" s="73"/>
      <c r="J5" s="73"/>
      <c r="K5" s="73"/>
      <c r="L5" s="73"/>
      <c r="M5" s="73"/>
      <c r="N5" s="89" t="s">
        <v>9</v>
      </c>
      <c r="O5" s="89"/>
      <c r="P5" s="89"/>
      <c r="Q5" s="89"/>
      <c r="R5" s="89"/>
      <c r="S5" s="89"/>
      <c r="T5" s="89"/>
      <c r="U5" s="95">
        <v>44525</v>
      </c>
      <c r="V5" s="96"/>
      <c r="W5" s="97"/>
      <c r="X5" s="24" t="s">
        <v>29</v>
      </c>
      <c r="Y5" s="98">
        <v>0.33333333333333331</v>
      </c>
      <c r="Z5" s="99"/>
      <c r="AA5" s="99"/>
      <c r="AB5" s="99"/>
    </row>
    <row r="6" spans="1:29" ht="24" customHeight="1" x14ac:dyDescent="0.2">
      <c r="A6" s="93" t="s">
        <v>7</v>
      </c>
      <c r="B6" s="93"/>
      <c r="C6" s="93"/>
      <c r="D6" s="93"/>
      <c r="E6" s="93"/>
      <c r="F6" s="94"/>
      <c r="G6" s="73" t="s">
        <v>40</v>
      </c>
      <c r="H6" s="73"/>
      <c r="I6" s="73"/>
      <c r="J6" s="73"/>
      <c r="K6" s="73"/>
      <c r="L6" s="73"/>
      <c r="M6" s="73"/>
      <c r="N6" s="100" t="s">
        <v>0</v>
      </c>
      <c r="O6" s="100"/>
      <c r="P6" s="100"/>
      <c r="Q6" s="100"/>
      <c r="R6" s="100"/>
      <c r="S6" s="100"/>
      <c r="T6" s="100"/>
      <c r="U6" s="95">
        <v>44525</v>
      </c>
      <c r="V6" s="96"/>
      <c r="W6" s="97"/>
      <c r="X6" s="24" t="s">
        <v>29</v>
      </c>
      <c r="Y6" s="98">
        <v>0.45833333333333331</v>
      </c>
      <c r="Z6" s="99"/>
      <c r="AA6" s="99"/>
      <c r="AB6" s="99"/>
    </row>
    <row r="7" spans="1:29" ht="24" customHeight="1" x14ac:dyDescent="0.2">
      <c r="A7" s="89" t="s">
        <v>10</v>
      </c>
      <c r="B7" s="89"/>
      <c r="C7" s="89"/>
      <c r="D7" s="89"/>
      <c r="E7" s="89"/>
      <c r="F7" s="92"/>
      <c r="G7" s="73" t="s">
        <v>41</v>
      </c>
      <c r="H7" s="73"/>
      <c r="I7" s="73"/>
      <c r="J7" s="73"/>
      <c r="K7" s="73"/>
      <c r="L7" s="73"/>
      <c r="M7" s="73"/>
      <c r="N7" s="106" t="s">
        <v>34</v>
      </c>
      <c r="O7" s="106"/>
      <c r="P7" s="106"/>
      <c r="Q7" s="106"/>
      <c r="R7" s="106"/>
      <c r="S7" s="106"/>
      <c r="T7" s="106"/>
      <c r="U7" s="74" t="s">
        <v>39</v>
      </c>
      <c r="V7" s="74"/>
      <c r="W7" s="74"/>
      <c r="X7" s="74"/>
      <c r="Y7" s="74"/>
      <c r="Z7" s="74"/>
      <c r="AA7" s="74"/>
      <c r="AB7" s="74"/>
    </row>
    <row r="8" spans="1:29" ht="24" customHeight="1" x14ac:dyDescent="0.2">
      <c r="A8" s="93" t="s">
        <v>2</v>
      </c>
      <c r="B8" s="93"/>
      <c r="C8" s="93"/>
      <c r="D8" s="93"/>
      <c r="E8" s="93"/>
      <c r="F8" s="94"/>
      <c r="G8" s="73">
        <v>20065667</v>
      </c>
      <c r="H8" s="73"/>
      <c r="I8" s="73"/>
      <c r="J8" s="73"/>
      <c r="K8" s="73"/>
      <c r="L8" s="73"/>
      <c r="M8" s="73"/>
      <c r="N8" s="106" t="s">
        <v>4</v>
      </c>
      <c r="O8" s="106"/>
      <c r="P8" s="106"/>
      <c r="Q8" s="106"/>
      <c r="R8" s="106"/>
      <c r="S8" s="106"/>
      <c r="T8" s="106"/>
      <c r="U8" s="107" t="s">
        <v>38</v>
      </c>
      <c r="V8" s="107"/>
      <c r="W8" s="107"/>
      <c r="X8" s="107"/>
      <c r="Y8" s="107"/>
      <c r="Z8" s="107"/>
      <c r="AA8" s="107"/>
      <c r="AB8" s="107"/>
    </row>
    <row r="9" spans="1:29" ht="24" customHeight="1" x14ac:dyDescent="0.2">
      <c r="A9" s="93" t="s">
        <v>6</v>
      </c>
      <c r="B9" s="93"/>
      <c r="C9" s="93"/>
      <c r="D9" s="93"/>
      <c r="E9" s="93"/>
      <c r="F9" s="94"/>
      <c r="G9" s="101" t="s">
        <v>42</v>
      </c>
      <c r="H9" s="101"/>
      <c r="I9" s="101"/>
      <c r="J9" s="101"/>
      <c r="K9" s="101"/>
      <c r="L9" s="101"/>
      <c r="M9" s="101"/>
      <c r="N9" s="106" t="s">
        <v>30</v>
      </c>
      <c r="O9" s="106"/>
      <c r="P9" s="106"/>
      <c r="Q9" s="106"/>
      <c r="R9" s="106"/>
      <c r="S9" s="106"/>
      <c r="T9" s="106"/>
      <c r="U9" s="102" t="s">
        <v>65</v>
      </c>
      <c r="V9" s="102"/>
      <c r="W9" s="102"/>
      <c r="X9" s="102"/>
      <c r="Y9" s="102"/>
      <c r="Z9" s="102"/>
      <c r="AA9" s="102"/>
      <c r="AB9" s="102"/>
    </row>
    <row r="10" spans="1:29" ht="6" customHeight="1" x14ac:dyDescent="0.2">
      <c r="U10" s="8"/>
      <c r="V10" s="8"/>
      <c r="W10" s="8"/>
    </row>
    <row r="11" spans="1:29" ht="23.25" customHeight="1" x14ac:dyDescent="0.2">
      <c r="A11" s="108" t="s">
        <v>8</v>
      </c>
      <c r="B11" s="108"/>
      <c r="C11" s="108"/>
      <c r="D11" s="108"/>
      <c r="E11" s="108"/>
      <c r="F11" s="108"/>
      <c r="G11" s="108"/>
      <c r="H11" s="108"/>
      <c r="I11" s="108"/>
      <c r="J11" s="108"/>
      <c r="K11" s="108"/>
      <c r="L11" s="108"/>
      <c r="M11" s="19"/>
      <c r="N11" s="106" t="s">
        <v>12</v>
      </c>
      <c r="O11" s="106"/>
      <c r="P11" s="106"/>
      <c r="Q11" s="106"/>
      <c r="R11" s="106"/>
      <c r="S11" s="73"/>
      <c r="T11" s="73"/>
      <c r="U11" s="106" t="s">
        <v>13</v>
      </c>
      <c r="V11" s="106"/>
      <c r="W11" s="106"/>
      <c r="X11" s="106"/>
      <c r="Y11" s="106"/>
      <c r="Z11" s="106"/>
      <c r="AA11" s="103"/>
      <c r="AB11" s="105"/>
    </row>
    <row r="12" spans="1:29" ht="6" customHeight="1" x14ac:dyDescent="0.2">
      <c r="I12" s="109"/>
      <c r="J12" s="109"/>
      <c r="K12" s="109"/>
      <c r="L12" s="109"/>
      <c r="M12" s="109"/>
      <c r="N12" s="109"/>
      <c r="O12" s="109"/>
      <c r="P12" s="109"/>
      <c r="Q12" s="109"/>
      <c r="R12" s="109"/>
      <c r="S12" s="109"/>
      <c r="T12" s="109"/>
    </row>
    <row r="13" spans="1:29" ht="36" customHeight="1" x14ac:dyDescent="0.2">
      <c r="A13" s="48" t="s">
        <v>35</v>
      </c>
      <c r="B13" s="78"/>
      <c r="C13" s="78"/>
      <c r="D13" s="78"/>
      <c r="E13" s="78"/>
      <c r="F13" s="25" t="s">
        <v>36</v>
      </c>
      <c r="G13" s="68" t="s">
        <v>14</v>
      </c>
      <c r="H13" s="68"/>
      <c r="I13" s="68"/>
      <c r="J13" s="83">
        <v>6.5059477130977097</v>
      </c>
      <c r="K13" s="83">
        <v>33.17347386232386</v>
      </c>
      <c r="L13" s="68" t="s">
        <v>15</v>
      </c>
      <c r="M13" s="68"/>
      <c r="N13" s="68"/>
      <c r="O13" s="103">
        <v>100</v>
      </c>
      <c r="P13" s="104"/>
      <c r="Q13" s="105"/>
      <c r="R13" s="68" t="s">
        <v>16</v>
      </c>
      <c r="S13" s="68"/>
      <c r="T13" s="68"/>
      <c r="U13" s="73">
        <v>5</v>
      </c>
      <c r="V13" s="73"/>
      <c r="W13" s="68" t="s">
        <v>17</v>
      </c>
      <c r="X13" s="68"/>
      <c r="Y13" s="68"/>
      <c r="Z13" s="68"/>
      <c r="AA13" s="73">
        <v>2</v>
      </c>
      <c r="AB13" s="73"/>
    </row>
    <row r="14" spans="1:29" ht="27" customHeight="1" x14ac:dyDescent="0.2">
      <c r="A14" s="78" t="s">
        <v>3</v>
      </c>
      <c r="B14" s="78"/>
      <c r="C14" s="78"/>
      <c r="D14" s="78"/>
      <c r="E14" s="78"/>
      <c r="F14" s="25"/>
      <c r="G14" s="68" t="s">
        <v>18</v>
      </c>
      <c r="H14" s="68"/>
      <c r="I14" s="68"/>
      <c r="J14" s="68"/>
      <c r="K14" s="68"/>
      <c r="L14" s="68"/>
      <c r="M14" s="75"/>
      <c r="N14" s="76"/>
      <c r="O14" s="76"/>
      <c r="P14" s="76"/>
      <c r="Q14" s="77"/>
      <c r="R14" s="68" t="s">
        <v>19</v>
      </c>
      <c r="S14" s="68"/>
      <c r="T14" s="68"/>
      <c r="U14" s="68"/>
      <c r="V14" s="68"/>
      <c r="W14" s="69" t="s">
        <v>54</v>
      </c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0" t="s">
        <v>20</v>
      </c>
      <c r="B17" s="81"/>
      <c r="C17" s="81"/>
      <c r="D17" s="81"/>
      <c r="E17" s="81"/>
      <c r="F17" s="82"/>
      <c r="G17" s="79" t="s">
        <v>21</v>
      </c>
      <c r="H17" s="79"/>
      <c r="I17" s="79"/>
      <c r="J17" s="79" t="s">
        <v>23</v>
      </c>
      <c r="K17" s="79"/>
      <c r="L17" s="79"/>
      <c r="M17" s="79" t="s">
        <v>24</v>
      </c>
      <c r="N17" s="79"/>
      <c r="O17" s="79"/>
      <c r="P17" s="79" t="s">
        <v>22</v>
      </c>
      <c r="Q17" s="79"/>
      <c r="R17" s="79"/>
      <c r="S17" s="79"/>
      <c r="T17" s="79" t="s">
        <v>25</v>
      </c>
      <c r="U17" s="79"/>
      <c r="V17" s="79"/>
      <c r="W17" s="79" t="s">
        <v>26</v>
      </c>
      <c r="X17" s="79"/>
      <c r="Y17" s="79"/>
      <c r="Z17" s="79" t="s">
        <v>27</v>
      </c>
      <c r="AA17" s="79"/>
      <c r="AB17" s="79"/>
    </row>
    <row r="18" spans="1:28" ht="15" customHeight="1" x14ac:dyDescent="0.2">
      <c r="A18" s="37" t="s">
        <v>64</v>
      </c>
      <c r="B18" s="38"/>
      <c r="C18" s="38"/>
      <c r="D18" s="38"/>
      <c r="E18" s="38"/>
      <c r="F18" s="39"/>
      <c r="G18" s="16"/>
      <c r="H18" s="16">
        <v>8</v>
      </c>
      <c r="I18" s="16"/>
      <c r="J18" s="53"/>
      <c r="K18" s="54"/>
      <c r="L18" s="55"/>
      <c r="M18" s="16"/>
      <c r="N18" s="16">
        <v>0</v>
      </c>
      <c r="O18" s="16"/>
      <c r="P18" s="56"/>
      <c r="Q18" s="56"/>
      <c r="R18" s="56"/>
      <c r="S18" s="56"/>
      <c r="T18" s="17"/>
      <c r="U18" s="16">
        <v>0</v>
      </c>
      <c r="V18" s="17"/>
      <c r="W18" s="56"/>
      <c r="X18" s="56"/>
      <c r="Y18" s="56"/>
      <c r="Z18" s="17"/>
      <c r="AA18" s="16">
        <v>0</v>
      </c>
      <c r="AB18" s="17"/>
    </row>
    <row r="19" spans="1:28" ht="15" customHeight="1" x14ac:dyDescent="0.2">
      <c r="A19" s="37" t="s">
        <v>56</v>
      </c>
      <c r="B19" s="38"/>
      <c r="C19" s="38"/>
      <c r="D19" s="38"/>
      <c r="E19" s="38"/>
      <c r="F19" s="39"/>
      <c r="G19" s="16"/>
      <c r="H19" s="32">
        <v>9</v>
      </c>
      <c r="I19" s="16"/>
      <c r="J19" s="53"/>
      <c r="K19" s="54"/>
      <c r="L19" s="55"/>
      <c r="M19" s="16"/>
      <c r="N19" s="16">
        <v>0</v>
      </c>
      <c r="O19" s="16"/>
      <c r="P19" s="56"/>
      <c r="Q19" s="56"/>
      <c r="R19" s="56"/>
      <c r="S19" s="56"/>
      <c r="T19" s="17"/>
      <c r="U19" s="16">
        <v>0</v>
      </c>
      <c r="V19" s="17"/>
      <c r="W19" s="56"/>
      <c r="X19" s="56"/>
      <c r="Y19" s="56"/>
      <c r="Z19" s="17"/>
      <c r="AA19" s="16">
        <v>0</v>
      </c>
      <c r="AB19" s="17"/>
    </row>
    <row r="20" spans="1:28" ht="15" customHeight="1" x14ac:dyDescent="0.2">
      <c r="A20" s="37" t="s">
        <v>57</v>
      </c>
      <c r="B20" s="38"/>
      <c r="C20" s="38"/>
      <c r="D20" s="38"/>
      <c r="E20" s="38"/>
      <c r="F20" s="39"/>
      <c r="G20" s="16"/>
      <c r="H20" s="16">
        <v>234</v>
      </c>
      <c r="I20" s="16"/>
      <c r="J20" s="53"/>
      <c r="K20" s="54"/>
      <c r="L20" s="55"/>
      <c r="M20" s="16"/>
      <c r="N20" s="16">
        <v>0</v>
      </c>
      <c r="O20" s="16"/>
      <c r="P20" s="56"/>
      <c r="Q20" s="56"/>
      <c r="R20" s="56"/>
      <c r="S20" s="56"/>
      <c r="T20" s="17"/>
      <c r="U20" s="16">
        <v>0</v>
      </c>
      <c r="V20" s="17"/>
      <c r="W20" s="56"/>
      <c r="X20" s="56"/>
      <c r="Y20" s="56"/>
      <c r="Z20" s="18"/>
      <c r="AA20" s="16">
        <v>0</v>
      </c>
      <c r="AB20" s="17"/>
    </row>
    <row r="21" spans="1:28" ht="15" customHeight="1" x14ac:dyDescent="0.2">
      <c r="A21" s="37" t="s">
        <v>61</v>
      </c>
      <c r="B21" s="38"/>
      <c r="C21" s="38"/>
      <c r="D21" s="38"/>
      <c r="E21" s="38"/>
      <c r="F21" s="39"/>
      <c r="G21" s="32" t="s">
        <v>55</v>
      </c>
      <c r="H21" s="16">
        <v>4</v>
      </c>
      <c r="I21" s="16"/>
      <c r="J21" s="53"/>
      <c r="K21" s="54"/>
      <c r="L21" s="55"/>
      <c r="M21" s="16"/>
      <c r="N21" s="16">
        <v>0</v>
      </c>
      <c r="O21" s="16"/>
      <c r="P21" s="56"/>
      <c r="Q21" s="56"/>
      <c r="R21" s="56"/>
      <c r="S21" s="56"/>
      <c r="T21" s="17"/>
      <c r="U21" s="16">
        <v>0</v>
      </c>
      <c r="V21" s="17"/>
      <c r="W21" s="58"/>
      <c r="X21" s="58"/>
      <c r="Y21" s="58"/>
      <c r="Z21" s="17"/>
      <c r="AA21" s="16">
        <v>0</v>
      </c>
      <c r="AB21" s="17"/>
    </row>
    <row r="22" spans="1:28" ht="15" customHeight="1" x14ac:dyDescent="0.2">
      <c r="A22" s="40" t="s">
        <v>62</v>
      </c>
      <c r="B22" s="40"/>
      <c r="C22" s="40"/>
      <c r="D22" s="40"/>
      <c r="E22" s="40"/>
      <c r="F22" s="40"/>
      <c r="G22" s="16"/>
      <c r="H22" s="16">
        <v>2</v>
      </c>
      <c r="I22" s="16"/>
      <c r="J22" s="53"/>
      <c r="K22" s="54"/>
      <c r="L22" s="55"/>
      <c r="M22" s="16"/>
      <c r="N22" s="16">
        <v>0</v>
      </c>
      <c r="O22" s="16"/>
      <c r="P22" s="56"/>
      <c r="Q22" s="56"/>
      <c r="R22" s="56"/>
      <c r="S22" s="56"/>
      <c r="T22" s="17"/>
      <c r="U22" s="32">
        <v>0</v>
      </c>
      <c r="V22" s="17"/>
      <c r="W22" s="58"/>
      <c r="X22" s="58"/>
      <c r="Y22" s="58"/>
      <c r="Z22" s="17"/>
      <c r="AA22" s="16">
        <v>0</v>
      </c>
      <c r="AB22" s="17"/>
    </row>
    <row r="23" spans="1:28" ht="15" customHeight="1" x14ac:dyDescent="0.2">
      <c r="A23" s="37" t="s">
        <v>60</v>
      </c>
      <c r="B23" s="38"/>
      <c r="C23" s="38"/>
      <c r="D23" s="38"/>
      <c r="E23" s="38"/>
      <c r="F23" s="39"/>
      <c r="G23" s="16"/>
      <c r="H23" s="16">
        <v>62</v>
      </c>
      <c r="I23" s="16"/>
      <c r="J23" s="53"/>
      <c r="K23" s="54"/>
      <c r="L23" s="55"/>
      <c r="M23" s="16"/>
      <c r="N23" s="16">
        <v>0</v>
      </c>
      <c r="O23" s="16"/>
      <c r="P23" s="66"/>
      <c r="Q23" s="66"/>
      <c r="R23" s="66"/>
      <c r="S23" s="66"/>
      <c r="T23" s="17"/>
      <c r="U23" s="16">
        <v>0</v>
      </c>
      <c r="V23" s="17"/>
      <c r="W23" s="58"/>
      <c r="X23" s="58"/>
      <c r="Y23" s="58"/>
      <c r="Z23" s="17"/>
      <c r="AA23" s="16">
        <v>0</v>
      </c>
      <c r="AB23" s="17"/>
    </row>
    <row r="24" spans="1:28" ht="15" customHeight="1" x14ac:dyDescent="0.2">
      <c r="A24" s="37" t="s">
        <v>63</v>
      </c>
      <c r="B24" s="38"/>
      <c r="C24" s="38"/>
      <c r="D24" s="38"/>
      <c r="E24" s="38"/>
      <c r="F24" s="39"/>
      <c r="G24" s="16"/>
      <c r="H24" s="16">
        <v>11</v>
      </c>
      <c r="I24" s="16"/>
      <c r="J24" s="53"/>
      <c r="K24" s="54"/>
      <c r="L24" s="55"/>
      <c r="M24" s="16"/>
      <c r="N24" s="16">
        <v>0</v>
      </c>
      <c r="O24" s="16"/>
      <c r="P24" s="66"/>
      <c r="Q24" s="66"/>
      <c r="R24" s="66"/>
      <c r="S24" s="66"/>
      <c r="T24" s="17"/>
      <c r="U24" s="16">
        <v>0</v>
      </c>
      <c r="V24" s="17"/>
      <c r="W24" s="58"/>
      <c r="X24" s="58"/>
      <c r="Y24" s="58"/>
      <c r="Z24" s="17"/>
      <c r="AA24" s="16">
        <v>0</v>
      </c>
      <c r="AB24" s="17"/>
    </row>
    <row r="25" spans="1:28" ht="15" customHeight="1" x14ac:dyDescent="0.2">
      <c r="A25" s="37" t="s">
        <v>58</v>
      </c>
      <c r="B25" s="38"/>
      <c r="C25" s="38"/>
      <c r="D25" s="38"/>
      <c r="E25" s="38"/>
      <c r="F25" s="39"/>
      <c r="G25" s="16"/>
      <c r="H25" s="16">
        <v>9</v>
      </c>
      <c r="I25" s="16"/>
      <c r="J25" s="70"/>
      <c r="K25" s="71"/>
      <c r="L25" s="72"/>
      <c r="M25" s="16"/>
      <c r="N25" s="16">
        <v>0</v>
      </c>
      <c r="O25" s="16"/>
      <c r="P25" s="66"/>
      <c r="Q25" s="66"/>
      <c r="R25" s="66"/>
      <c r="S25" s="66"/>
      <c r="T25" s="17"/>
      <c r="U25" s="16">
        <v>0</v>
      </c>
      <c r="V25" s="17"/>
      <c r="W25" s="58"/>
      <c r="X25" s="58"/>
      <c r="Y25" s="58"/>
      <c r="Z25" s="17"/>
      <c r="AA25" s="16">
        <v>0</v>
      </c>
      <c r="AB25" s="17"/>
    </row>
    <row r="26" spans="1:28" ht="15" customHeight="1" x14ac:dyDescent="0.2">
      <c r="A26" s="41" t="s">
        <v>59</v>
      </c>
      <c r="B26" s="42"/>
      <c r="C26" s="42"/>
      <c r="D26" s="42"/>
      <c r="E26" s="42"/>
      <c r="F26" s="43"/>
      <c r="G26" s="16"/>
      <c r="H26" s="16">
        <v>159</v>
      </c>
      <c r="I26" s="16"/>
      <c r="J26" s="70"/>
      <c r="K26" s="71"/>
      <c r="L26" s="72"/>
      <c r="M26" s="16"/>
      <c r="N26" s="16">
        <v>0</v>
      </c>
      <c r="O26" s="16"/>
      <c r="P26" s="66"/>
      <c r="Q26" s="66"/>
      <c r="R26" s="66"/>
      <c r="S26" s="66"/>
      <c r="T26" s="17"/>
      <c r="U26" s="16">
        <v>0</v>
      </c>
      <c r="V26" s="17"/>
      <c r="W26" s="58"/>
      <c r="X26" s="58"/>
      <c r="Y26" s="58"/>
      <c r="Z26" s="17"/>
      <c r="AA26" s="16">
        <v>0</v>
      </c>
      <c r="AB26" s="17"/>
    </row>
    <row r="27" spans="1:28" ht="15" customHeight="1" x14ac:dyDescent="0.2">
      <c r="A27" s="41"/>
      <c r="B27" s="42"/>
      <c r="C27" s="42"/>
      <c r="D27" s="42"/>
      <c r="E27" s="42"/>
      <c r="F27" s="43"/>
      <c r="G27" s="16"/>
      <c r="H27" s="16"/>
      <c r="I27" s="16"/>
      <c r="J27" s="53"/>
      <c r="K27" s="54"/>
      <c r="L27" s="55"/>
      <c r="M27" s="16"/>
      <c r="N27" s="16">
        <v>0</v>
      </c>
      <c r="O27" s="16"/>
      <c r="P27" s="66"/>
      <c r="Q27" s="66"/>
      <c r="R27" s="66"/>
      <c r="S27" s="66"/>
      <c r="T27" s="17"/>
      <c r="U27" s="16">
        <v>0</v>
      </c>
      <c r="V27" s="17"/>
      <c r="W27" s="58"/>
      <c r="X27" s="58"/>
      <c r="Y27" s="58"/>
      <c r="Z27" s="17"/>
      <c r="AA27" s="16">
        <v>0</v>
      </c>
      <c r="AB27" s="17"/>
    </row>
    <row r="28" spans="1:28" ht="15" customHeight="1" x14ac:dyDescent="0.2">
      <c r="A28" s="41"/>
      <c r="B28" s="42"/>
      <c r="C28" s="42"/>
      <c r="D28" s="42"/>
      <c r="E28" s="42"/>
      <c r="F28" s="43"/>
      <c r="G28" s="16"/>
      <c r="H28" s="16"/>
      <c r="I28" s="16"/>
      <c r="J28" s="53"/>
      <c r="K28" s="54"/>
      <c r="L28" s="55"/>
      <c r="M28" s="16"/>
      <c r="N28" s="16">
        <v>0</v>
      </c>
      <c r="O28" s="16"/>
      <c r="P28" s="66"/>
      <c r="Q28" s="66"/>
      <c r="R28" s="66"/>
      <c r="S28" s="66"/>
      <c r="T28" s="17"/>
      <c r="U28" s="16">
        <v>0</v>
      </c>
      <c r="V28" s="17"/>
      <c r="W28" s="58"/>
      <c r="X28" s="58"/>
      <c r="Y28" s="58"/>
      <c r="Z28" s="17"/>
      <c r="AA28" s="16">
        <v>0</v>
      </c>
      <c r="AB28" s="17"/>
    </row>
    <row r="29" spans="1:28" ht="15" customHeight="1" x14ac:dyDescent="0.2">
      <c r="A29" s="41"/>
      <c r="B29" s="42"/>
      <c r="C29" s="42"/>
      <c r="D29" s="42"/>
      <c r="E29" s="42"/>
      <c r="F29" s="43"/>
      <c r="G29" s="16"/>
      <c r="H29" s="16"/>
      <c r="I29" s="16"/>
      <c r="J29" s="53"/>
      <c r="K29" s="54"/>
      <c r="L29" s="55"/>
      <c r="M29" s="16"/>
      <c r="N29" s="16">
        <v>0</v>
      </c>
      <c r="O29" s="16"/>
      <c r="P29" s="66"/>
      <c r="Q29" s="66"/>
      <c r="R29" s="66"/>
      <c r="S29" s="66"/>
      <c r="T29" s="17"/>
      <c r="U29" s="16">
        <v>0</v>
      </c>
      <c r="V29" s="17"/>
      <c r="W29" s="58"/>
      <c r="X29" s="58"/>
      <c r="Y29" s="58"/>
      <c r="Z29" s="17"/>
      <c r="AA29" s="16">
        <v>0</v>
      </c>
      <c r="AB29" s="17"/>
    </row>
    <row r="30" spans="1:28" ht="15" customHeight="1" x14ac:dyDescent="0.2">
      <c r="A30" s="41"/>
      <c r="B30" s="42"/>
      <c r="C30" s="42"/>
      <c r="D30" s="42"/>
      <c r="E30" s="42"/>
      <c r="F30" s="43"/>
      <c r="G30" s="16"/>
      <c r="H30" s="16"/>
      <c r="I30" s="16"/>
      <c r="J30" s="53"/>
      <c r="K30" s="54"/>
      <c r="L30" s="55"/>
      <c r="M30" s="16"/>
      <c r="N30" s="16">
        <v>0</v>
      </c>
      <c r="O30" s="16"/>
      <c r="P30" s="56"/>
      <c r="Q30" s="56"/>
      <c r="R30" s="56"/>
      <c r="S30" s="56"/>
      <c r="T30" s="17"/>
      <c r="U30" s="16">
        <v>0</v>
      </c>
      <c r="V30" s="17"/>
      <c r="W30" s="58"/>
      <c r="X30" s="58"/>
      <c r="Y30" s="58"/>
      <c r="Z30" s="17"/>
      <c r="AA30" s="16">
        <v>0</v>
      </c>
      <c r="AB30" s="17"/>
    </row>
    <row r="31" spans="1:28" ht="15" customHeight="1" x14ac:dyDescent="0.2">
      <c r="A31" s="67"/>
      <c r="B31" s="67"/>
      <c r="C31" s="67"/>
      <c r="D31" s="67"/>
      <c r="E31" s="67"/>
      <c r="F31" s="67"/>
      <c r="G31" s="16"/>
      <c r="H31" s="16"/>
      <c r="I31" s="16"/>
      <c r="J31" s="53"/>
      <c r="K31" s="54"/>
      <c r="L31" s="55"/>
      <c r="M31" s="16"/>
      <c r="N31" s="16">
        <v>0</v>
      </c>
      <c r="O31" s="16"/>
      <c r="P31" s="56"/>
      <c r="Q31" s="56"/>
      <c r="R31" s="56"/>
      <c r="S31" s="56"/>
      <c r="T31" s="17"/>
      <c r="U31" s="16">
        <v>0</v>
      </c>
      <c r="V31" s="17"/>
      <c r="W31" s="58"/>
      <c r="X31" s="58"/>
      <c r="Y31" s="58"/>
      <c r="Z31" s="17"/>
      <c r="AA31" s="16">
        <v>0</v>
      </c>
      <c r="AB31" s="17"/>
    </row>
    <row r="32" spans="1:28" ht="15" customHeight="1" x14ac:dyDescent="0.2">
      <c r="A32" s="67"/>
      <c r="B32" s="67"/>
      <c r="C32" s="67"/>
      <c r="D32" s="67"/>
      <c r="E32" s="67"/>
      <c r="F32" s="67"/>
      <c r="G32" s="16"/>
      <c r="H32" s="16"/>
      <c r="I32" s="16"/>
      <c r="J32" s="53"/>
      <c r="K32" s="54"/>
      <c r="L32" s="55"/>
      <c r="M32" s="16"/>
      <c r="N32" s="16">
        <v>0</v>
      </c>
      <c r="O32" s="16"/>
      <c r="P32" s="56"/>
      <c r="Q32" s="56"/>
      <c r="R32" s="56"/>
      <c r="S32" s="56"/>
      <c r="T32" s="17"/>
      <c r="U32" s="16">
        <v>0</v>
      </c>
      <c r="V32" s="17"/>
      <c r="W32" s="58"/>
      <c r="X32" s="58"/>
      <c r="Y32" s="58"/>
      <c r="Z32" s="17"/>
      <c r="AA32" s="16">
        <v>0</v>
      </c>
      <c r="AB32" s="17"/>
    </row>
    <row r="33" spans="1:28" ht="15" customHeight="1" x14ac:dyDescent="0.2">
      <c r="A33" s="41"/>
      <c r="B33" s="42"/>
      <c r="C33" s="42"/>
      <c r="D33" s="42"/>
      <c r="E33" s="42"/>
      <c r="F33" s="43"/>
      <c r="G33" s="16"/>
      <c r="H33" s="16"/>
      <c r="I33" s="16"/>
      <c r="J33" s="53"/>
      <c r="K33" s="54"/>
      <c r="L33" s="55"/>
      <c r="M33" s="16"/>
      <c r="N33" s="16">
        <v>0</v>
      </c>
      <c r="O33" s="16"/>
      <c r="P33" s="56"/>
      <c r="Q33" s="56"/>
      <c r="R33" s="56"/>
      <c r="S33" s="56"/>
      <c r="T33" s="17"/>
      <c r="U33" s="16">
        <v>0</v>
      </c>
      <c r="V33" s="17"/>
      <c r="W33" s="58"/>
      <c r="X33" s="58"/>
      <c r="Y33" s="58"/>
      <c r="Z33" s="17"/>
      <c r="AA33" s="16">
        <v>0</v>
      </c>
      <c r="AB33" s="17"/>
    </row>
    <row r="34" spans="1:28" ht="15" customHeight="1" x14ac:dyDescent="0.2">
      <c r="A34" s="41"/>
      <c r="B34" s="42"/>
      <c r="C34" s="42"/>
      <c r="D34" s="42"/>
      <c r="E34" s="42"/>
      <c r="F34" s="43"/>
      <c r="G34" s="16"/>
      <c r="H34" s="16"/>
      <c r="I34" s="16"/>
      <c r="J34" s="53"/>
      <c r="K34" s="54"/>
      <c r="L34" s="55"/>
      <c r="M34" s="16"/>
      <c r="N34" s="16">
        <v>0</v>
      </c>
      <c r="O34" s="16"/>
      <c r="P34" s="56"/>
      <c r="Q34" s="56"/>
      <c r="R34" s="56"/>
      <c r="S34" s="56"/>
      <c r="T34" s="17"/>
      <c r="U34" s="16">
        <v>0</v>
      </c>
      <c r="V34" s="17"/>
      <c r="W34" s="58"/>
      <c r="X34" s="58"/>
      <c r="Y34" s="58"/>
      <c r="Z34" s="17"/>
      <c r="AA34" s="16">
        <v>0</v>
      </c>
      <c r="AB34" s="17"/>
    </row>
    <row r="35" spans="1:28" ht="15" customHeight="1" x14ac:dyDescent="0.2">
      <c r="A35" s="41"/>
      <c r="B35" s="42"/>
      <c r="C35" s="42"/>
      <c r="D35" s="42"/>
      <c r="E35" s="42"/>
      <c r="F35" s="43"/>
      <c r="G35" s="16"/>
      <c r="H35" s="16"/>
      <c r="I35" s="16"/>
      <c r="J35" s="53"/>
      <c r="K35" s="54"/>
      <c r="L35" s="55"/>
      <c r="M35" s="16"/>
      <c r="N35" s="16">
        <v>0</v>
      </c>
      <c r="O35" s="16"/>
      <c r="P35" s="56"/>
      <c r="Q35" s="56"/>
      <c r="R35" s="56"/>
      <c r="S35" s="56"/>
      <c r="T35" s="17"/>
      <c r="U35" s="16">
        <v>0</v>
      </c>
      <c r="V35" s="17"/>
      <c r="W35" s="58"/>
      <c r="X35" s="58"/>
      <c r="Y35" s="58"/>
      <c r="Z35" s="17"/>
      <c r="AA35" s="16">
        <v>0</v>
      </c>
      <c r="AB35" s="17"/>
    </row>
    <row r="36" spans="1:28" ht="15" customHeight="1" x14ac:dyDescent="0.2">
      <c r="A36" s="41"/>
      <c r="B36" s="42"/>
      <c r="C36" s="42"/>
      <c r="D36" s="42"/>
      <c r="E36" s="42"/>
      <c r="F36" s="43"/>
      <c r="G36" s="16"/>
      <c r="H36" s="16"/>
      <c r="I36" s="16"/>
      <c r="J36" s="53"/>
      <c r="K36" s="54"/>
      <c r="L36" s="55"/>
      <c r="M36" s="16"/>
      <c r="N36" s="16">
        <v>0</v>
      </c>
      <c r="O36" s="16"/>
      <c r="P36" s="56"/>
      <c r="Q36" s="56"/>
      <c r="R36" s="56"/>
      <c r="S36" s="56"/>
      <c r="T36" s="17"/>
      <c r="U36" s="16">
        <v>0</v>
      </c>
      <c r="V36" s="17"/>
      <c r="W36" s="58"/>
      <c r="X36" s="58"/>
      <c r="Y36" s="58"/>
      <c r="Z36" s="17"/>
      <c r="AA36" s="16">
        <v>0</v>
      </c>
      <c r="AB36" s="17"/>
    </row>
    <row r="37" spans="1:28" ht="15" customHeight="1" x14ac:dyDescent="0.2">
      <c r="A37" s="41"/>
      <c r="B37" s="42"/>
      <c r="C37" s="42"/>
      <c r="D37" s="42"/>
      <c r="E37" s="42"/>
      <c r="F37" s="43"/>
      <c r="G37" s="16"/>
      <c r="H37" s="16"/>
      <c r="I37" s="16"/>
      <c r="J37" s="53"/>
      <c r="K37" s="54"/>
      <c r="L37" s="55"/>
      <c r="M37" s="16"/>
      <c r="N37" s="16">
        <v>0</v>
      </c>
      <c r="O37" s="16"/>
      <c r="P37" s="56"/>
      <c r="Q37" s="56"/>
      <c r="R37" s="56"/>
      <c r="S37" s="56"/>
      <c r="T37" s="17"/>
      <c r="U37" s="16">
        <v>0</v>
      </c>
      <c r="V37" s="17"/>
      <c r="W37" s="57"/>
      <c r="X37" s="58"/>
      <c r="Y37" s="58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W39" s="48" t="s">
        <v>33</v>
      </c>
      <c r="X39" s="48"/>
      <c r="Y39" s="48"/>
      <c r="Z39" s="48"/>
      <c r="AA39" s="48"/>
      <c r="AB39" s="48"/>
    </row>
    <row r="40" spans="1:28" ht="22.5" customHeight="1" x14ac:dyDescent="0.2">
      <c r="A40" s="60">
        <v>0</v>
      </c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2"/>
      <c r="W40" s="44"/>
      <c r="X40" s="45"/>
      <c r="Y40" s="45"/>
      <c r="Z40" s="45"/>
      <c r="AA40" s="45"/>
      <c r="AB40" s="46"/>
    </row>
    <row r="41" spans="1:28" ht="26.25" customHeight="1" x14ac:dyDescent="0.2">
      <c r="A41" s="63"/>
      <c r="B41" s="64"/>
      <c r="C41" s="64"/>
      <c r="D41" s="64"/>
      <c r="E41" s="64"/>
      <c r="F41" s="64"/>
      <c r="G41" s="64"/>
      <c r="H41" s="64"/>
      <c r="I41" s="64"/>
      <c r="J41" s="64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5"/>
      <c r="V41" s="49"/>
      <c r="W41" s="47" t="s">
        <v>28</v>
      </c>
      <c r="X41" s="48"/>
      <c r="Y41" s="48"/>
      <c r="Z41" s="48"/>
      <c r="AA41" s="48"/>
      <c r="AB41" s="48"/>
    </row>
    <row r="42" spans="1:28" ht="22.5" customHeight="1" x14ac:dyDescent="0.2">
      <c r="A42" s="63"/>
      <c r="B42" s="64"/>
      <c r="C42" s="64"/>
      <c r="D42" s="64"/>
      <c r="E42" s="64"/>
      <c r="F42" s="64"/>
      <c r="G42" s="64"/>
      <c r="H42" s="64"/>
      <c r="I42" s="64"/>
      <c r="J42" s="64"/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5"/>
      <c r="V42" s="49"/>
      <c r="W42" s="50"/>
      <c r="X42" s="51"/>
      <c r="Y42" s="51"/>
      <c r="Z42" s="51"/>
      <c r="AA42" s="51"/>
      <c r="AB42" s="52"/>
    </row>
  </sheetData>
  <sheetProtection formatCells="0" insertRows="0" deleteRows="0" selectLockedCells="1" sort="0"/>
  <mergeCells count="136">
    <mergeCell ref="A26:F26"/>
    <mergeCell ref="A27:F27"/>
    <mergeCell ref="A28:F28"/>
    <mergeCell ref="A29:F29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J18:L18"/>
    <mergeCell ref="R14:V14"/>
    <mergeCell ref="W14:AB14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6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8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9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0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1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2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3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4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5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6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7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8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9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0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1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2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3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4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5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6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7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28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29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0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1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2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3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4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5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6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7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38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39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0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1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2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3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4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5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6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7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48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49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0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1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2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3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4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5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6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7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58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59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0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1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2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3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4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5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6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7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68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69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0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1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2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3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4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5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6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7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78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79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0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1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2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3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4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5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6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7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8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89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0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1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2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3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4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5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6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7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98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99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0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1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2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3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4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5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6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7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08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09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0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1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2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3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4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5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6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7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18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19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0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1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2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3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4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5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6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7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28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29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0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1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2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3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4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5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6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7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38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39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0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1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2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3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4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5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6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7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48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49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0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1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2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3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4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5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6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7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58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59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0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1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2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3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4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5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6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7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68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69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0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1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2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3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4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5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6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7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78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79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0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1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2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3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4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5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6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7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88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89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0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1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2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3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4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5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6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7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8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99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00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01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02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03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04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05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6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7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08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9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10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11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12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13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14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15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6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17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8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219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20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21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22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23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24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25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26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27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8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9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30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1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2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3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4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5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6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2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3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4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5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6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47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48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49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0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1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2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3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54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55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56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57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58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9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0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1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2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3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64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65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6" name="Button 27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7" name="Button 27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268" name="Button 276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5" r:id="rId269" name="Button 27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6" r:id="rId270" name="Button 27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7" r:id="rId271" name="Button 27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8" r:id="rId272" name="Button 280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9" r:id="rId273" name="Button 28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0" r:id="rId274" name="Button 282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1" r:id="rId275" name="Button 283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2" r:id="rId276" name="Button 28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3" r:id="rId277" name="Button 285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4" r:id="rId278" name="Button 286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5" r:id="rId279" name="Button 28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6" r:id="rId280" name="Button 28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7" r:id="rId281" name="Button 289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8" r:id="rId282" name="Button 290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39" r:id="rId283" name="Button 291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0" r:id="rId284" name="Button 292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1" r:id="rId285" name="Button 293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2" r:id="rId286" name="Button 294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3" r:id="rId287" name="Button 295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4" r:id="rId288" name="Button 296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5" r:id="rId289" name="Button 29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6" r:id="rId290" name="Button 29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7" r:id="rId291" name="Button 29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8" r:id="rId292" name="Button 300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49" r:id="rId293" name="Button 301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0" r:id="rId294" name="Button 302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1" r:id="rId295" name="Button 303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2" r:id="rId296" name="Button 30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3" r:id="rId297" name="Button 30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4" r:id="rId298" name="Button 30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" r:id="rId299" name="Button 30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" r:id="rId300" name="Button 30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" r:id="rId301" name="Button 30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" r:id="rId302" name="Button 31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" r:id="rId303" name="Button 31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" r:id="rId304" name="Button 31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1" r:id="rId305" name="Button 31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2" r:id="rId306" name="Button 31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3" r:id="rId307" name="Button 31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4" r:id="rId308" name="Button 31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" r:id="rId309" name="Button 31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6" r:id="rId310" name="Button 318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7" r:id="rId311" name="Button 319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8" r:id="rId312" name="Button 320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9" r:id="rId313" name="Button 321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0" r:id="rId314" name="Button 322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1" r:id="rId315" name="Button 323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2" r:id="rId316" name="Button 32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3" r:id="rId317" name="Button 32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4" r:id="rId318" name="Button 326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" r:id="rId319" name="Button 3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6" r:id="rId320" name="Button 3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7" r:id="rId321" name="Button 3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8" r:id="rId322" name="Button 3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9" r:id="rId323" name="Button 3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0" r:id="rId324" name="Button 3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1" r:id="rId325" name="Button 3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2" r:id="rId326" name="Button 33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3" r:id="rId327" name="Button 33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4" r:id="rId328" name="Button 336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" r:id="rId329" name="Button 337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" r:id="rId330" name="Button 33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7" r:id="rId331" name="Button 33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8" r:id="rId332" name="Button 340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9" r:id="rId333" name="Button 341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0" r:id="rId334" name="Button 342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1" r:id="rId335" name="Button 343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2" r:id="rId336" name="Button 344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3" r:id="rId337" name="Button 34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4" r:id="rId338" name="Button 34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5" r:id="rId339" name="Button 34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6" r:id="rId340" name="Button 348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7" r:id="rId341" name="Button 34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8" r:id="rId342" name="Button 350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99" r:id="rId343" name="Button 351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0" r:id="rId344" name="Button 352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1" r:id="rId345" name="Button 353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2" r:id="rId346" name="Button 354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3" r:id="rId347" name="Button 3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4" r:id="rId348" name="Button 3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5" r:id="rId349" name="Button 35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" r:id="rId350" name="Button 35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7" r:id="rId351" name="Button 35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8" r:id="rId352" name="Button 36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9" r:id="rId353" name="Button 36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10" r:id="rId354" name="Button 362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43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  <c r="H1" s="30" t="s">
        <v>50</v>
      </c>
      <c r="I1" s="30" t="s">
        <v>51</v>
      </c>
      <c r="J1" s="30" t="s">
        <v>52</v>
      </c>
    </row>
    <row r="2" spans="1:10" x14ac:dyDescent="0.2">
      <c r="A2" s="27" t="str">
        <f>'Densidad de Grupos'!U9</f>
        <v>SP-21-0261</v>
      </c>
      <c r="B2" s="29">
        <f>'Densidad de Grupos'!J13</f>
        <v>6.5059477130977097</v>
      </c>
      <c r="C2" s="29">
        <f>'Densidad de Grupos'!O13</f>
        <v>100</v>
      </c>
      <c r="D2" s="29">
        <f>'Densidad de Grupos'!U13</f>
        <v>5</v>
      </c>
      <c r="E2" s="29">
        <f>'Densidad de Grupos'!AA13</f>
        <v>2</v>
      </c>
      <c r="F2" s="29">
        <f>E2*D2</f>
        <v>10</v>
      </c>
      <c r="G2" s="26" t="str">
        <f>'Densidad de Grupos'!A18</f>
        <v>Mollusca (Limacina)</v>
      </c>
      <c r="H2" s="26">
        <f>'Densidad de Grupos'!H18</f>
        <v>8</v>
      </c>
      <c r="I2" s="28">
        <f>((H2*C2)/(F2*B2))*2</f>
        <v>24.592881322714842</v>
      </c>
      <c r="J2" s="28">
        <f>I2*1000</f>
        <v>24592.881322714842</v>
      </c>
    </row>
    <row r="3" spans="1:10" x14ac:dyDescent="0.2">
      <c r="A3" s="27" t="str">
        <f>$A$2</f>
        <v>SP-21-0261</v>
      </c>
      <c r="B3" s="29">
        <f>$B$2</f>
        <v>6.5059477130977097</v>
      </c>
      <c r="C3" s="29">
        <f>$C$2</f>
        <v>100</v>
      </c>
      <c r="D3" s="29">
        <f>$D$2</f>
        <v>5</v>
      </c>
      <c r="E3" s="29">
        <f>$E$2</f>
        <v>2</v>
      </c>
      <c r="F3" s="29">
        <f>$F$2</f>
        <v>10</v>
      </c>
      <c r="G3" s="26" t="str">
        <f>'Densidad de Grupos'!A19</f>
        <v>Decapoda (Brachyura Zoea)</v>
      </c>
      <c r="H3" s="26">
        <f>'Densidad de Grupos'!H19</f>
        <v>9</v>
      </c>
      <c r="I3" s="28">
        <f t="shared" ref="I3:I65" si="0">((H3*C3)/(F3*B3))*2</f>
        <v>27.666991488054194</v>
      </c>
      <c r="J3" s="28">
        <f t="shared" ref="J3:J65" si="1">I3*1000</f>
        <v>27666.991488054195</v>
      </c>
    </row>
    <row r="4" spans="1:10" x14ac:dyDescent="0.2">
      <c r="A4" s="27" t="str">
        <f t="shared" ref="A4:A65" si="2">$A$2</f>
        <v>SP-21-0261</v>
      </c>
      <c r="B4" s="29">
        <f t="shared" ref="B4:B65" si="3">$B$2</f>
        <v>6.5059477130977097</v>
      </c>
      <c r="C4" s="29">
        <f t="shared" ref="C4:C65" si="4">$C$2</f>
        <v>100</v>
      </c>
      <c r="D4" s="29">
        <f t="shared" ref="D4:D65" si="5">$D$2</f>
        <v>5</v>
      </c>
      <c r="E4" s="29">
        <f t="shared" ref="E4:E65" si="6">$E$2</f>
        <v>2</v>
      </c>
      <c r="F4" s="29">
        <f t="shared" ref="F4:F65" si="7">$F$2</f>
        <v>10</v>
      </c>
      <c r="G4" s="26" t="str">
        <f>'Densidad de Grupos'!A20</f>
        <v>Copepoda (Calanoida)</v>
      </c>
      <c r="H4" s="26">
        <f>'Densidad de Grupos'!H20</f>
        <v>234</v>
      </c>
      <c r="I4" s="31">
        <f t="shared" si="0"/>
        <v>719.34177868940913</v>
      </c>
      <c r="J4" s="28">
        <f t="shared" si="1"/>
        <v>719341.77868940914</v>
      </c>
    </row>
    <row r="5" spans="1:10" x14ac:dyDescent="0.2">
      <c r="A5" s="27" t="str">
        <f t="shared" si="2"/>
        <v>SP-21-0261</v>
      </c>
      <c r="B5" s="29">
        <f t="shared" si="3"/>
        <v>6.5059477130977097</v>
      </c>
      <c r="C5" s="29">
        <f t="shared" si="4"/>
        <v>100</v>
      </c>
      <c r="D5" s="29">
        <f t="shared" si="5"/>
        <v>5</v>
      </c>
      <c r="E5" s="29">
        <f t="shared" si="6"/>
        <v>2</v>
      </c>
      <c r="F5" s="29">
        <f t="shared" si="7"/>
        <v>10</v>
      </c>
      <c r="G5" s="26" t="str">
        <f>'Densidad de Grupos'!A21</f>
        <v>Amphipoda (Hyperiidae)</v>
      </c>
      <c r="H5" s="26">
        <f>'Densidad de Grupos'!H21</f>
        <v>4</v>
      </c>
      <c r="I5" s="28">
        <f t="shared" si="0"/>
        <v>12.296440661357421</v>
      </c>
      <c r="J5" s="28">
        <f t="shared" si="1"/>
        <v>12296.440661357421</v>
      </c>
    </row>
    <row r="6" spans="1:10" x14ac:dyDescent="0.2">
      <c r="A6" s="27" t="str">
        <f t="shared" si="2"/>
        <v>SP-21-0261</v>
      </c>
      <c r="B6" s="29">
        <f t="shared" si="3"/>
        <v>6.5059477130977097</v>
      </c>
      <c r="C6" s="29">
        <f t="shared" si="4"/>
        <v>100</v>
      </c>
      <c r="D6" s="29">
        <f t="shared" si="5"/>
        <v>5</v>
      </c>
      <c r="E6" s="29">
        <f t="shared" si="6"/>
        <v>2</v>
      </c>
      <c r="F6" s="29">
        <f t="shared" si="7"/>
        <v>10</v>
      </c>
      <c r="G6" s="26" t="str">
        <f>'Densidad de Grupos'!A22</f>
        <v>Mollusca (Bivalvia)</v>
      </c>
      <c r="H6" s="26">
        <f>'Densidad de Grupos'!H22</f>
        <v>2</v>
      </c>
      <c r="I6" s="31">
        <f t="shared" si="0"/>
        <v>6.1482203306787104</v>
      </c>
      <c r="J6" s="28">
        <f t="shared" si="1"/>
        <v>6148.2203306787105</v>
      </c>
    </row>
    <row r="7" spans="1:10" x14ac:dyDescent="0.2">
      <c r="A7" s="27" t="str">
        <f t="shared" si="2"/>
        <v>SP-21-0261</v>
      </c>
      <c r="B7" s="29">
        <f t="shared" si="3"/>
        <v>6.5059477130977097</v>
      </c>
      <c r="C7" s="29">
        <f t="shared" si="4"/>
        <v>100</v>
      </c>
      <c r="D7" s="29">
        <f t="shared" si="5"/>
        <v>5</v>
      </c>
      <c r="E7" s="29">
        <f t="shared" si="6"/>
        <v>2</v>
      </c>
      <c r="F7" s="29">
        <f t="shared" si="7"/>
        <v>10</v>
      </c>
      <c r="G7" s="26" t="str">
        <f>'Densidad de Grupos'!A23</f>
        <v>Chaetognatha</v>
      </c>
      <c r="H7" s="26">
        <f>'Densidad de Grupos'!H23</f>
        <v>62</v>
      </c>
      <c r="I7" s="31">
        <f t="shared" si="0"/>
        <v>190.59483025104001</v>
      </c>
      <c r="J7" s="28">
        <f t="shared" si="1"/>
        <v>190594.83025104</v>
      </c>
    </row>
    <row r="8" spans="1:10" x14ac:dyDescent="0.2">
      <c r="A8" s="27" t="str">
        <f t="shared" si="2"/>
        <v>SP-21-0261</v>
      </c>
      <c r="B8" s="29">
        <f t="shared" si="3"/>
        <v>6.5059477130977097</v>
      </c>
      <c r="C8" s="29">
        <f t="shared" si="4"/>
        <v>100</v>
      </c>
      <c r="D8" s="29">
        <f t="shared" si="5"/>
        <v>5</v>
      </c>
      <c r="E8" s="29">
        <f t="shared" si="6"/>
        <v>2</v>
      </c>
      <c r="F8" s="29">
        <f t="shared" si="7"/>
        <v>10</v>
      </c>
      <c r="G8" s="26" t="str">
        <f>'Densidad de Grupos'!A24</f>
        <v>Mollusca (Atlanta)</v>
      </c>
      <c r="H8" s="26">
        <f>'Densidad de Grupos'!H24</f>
        <v>11</v>
      </c>
      <c r="I8" s="31">
        <f t="shared" si="0"/>
        <v>33.815211818732905</v>
      </c>
      <c r="J8" s="28">
        <f t="shared" si="1"/>
        <v>33815.211818732903</v>
      </c>
    </row>
    <row r="9" spans="1:10" x14ac:dyDescent="0.2">
      <c r="A9" s="27" t="str">
        <f t="shared" si="2"/>
        <v>SP-21-0261</v>
      </c>
      <c r="B9" s="29">
        <f t="shared" si="3"/>
        <v>6.5059477130977097</v>
      </c>
      <c r="C9" s="29">
        <f t="shared" si="4"/>
        <v>100</v>
      </c>
      <c r="D9" s="29">
        <f t="shared" si="5"/>
        <v>5</v>
      </c>
      <c r="E9" s="29">
        <f t="shared" si="6"/>
        <v>2</v>
      </c>
      <c r="F9" s="29">
        <f t="shared" si="7"/>
        <v>10</v>
      </c>
      <c r="G9" s="26" t="str">
        <f>'Densidad de Grupos'!A25</f>
        <v>Pez (Huevo)</v>
      </c>
      <c r="H9" s="26">
        <f>'Densidad de Grupos'!H25</f>
        <v>9</v>
      </c>
      <c r="I9" s="31">
        <f t="shared" si="0"/>
        <v>27.666991488054194</v>
      </c>
      <c r="J9" s="28">
        <f t="shared" si="1"/>
        <v>27666.991488054195</v>
      </c>
    </row>
    <row r="10" spans="1:10" x14ac:dyDescent="0.2">
      <c r="A10" s="27" t="str">
        <f t="shared" si="2"/>
        <v>SP-21-0261</v>
      </c>
      <c r="B10" s="29">
        <f t="shared" si="3"/>
        <v>6.5059477130977097</v>
      </c>
      <c r="C10" s="29">
        <f t="shared" si="4"/>
        <v>100</v>
      </c>
      <c r="D10" s="29">
        <f t="shared" si="5"/>
        <v>5</v>
      </c>
      <c r="E10" s="29">
        <f t="shared" si="6"/>
        <v>2</v>
      </c>
      <c r="F10" s="29">
        <f t="shared" si="7"/>
        <v>10</v>
      </c>
      <c r="G10" s="26" t="str">
        <f>'Densidad de Grupos'!A26</f>
        <v>Copepoda (Cyclopoida)</v>
      </c>
      <c r="H10" s="26">
        <f>'Densidad de Grupos'!H26</f>
        <v>159</v>
      </c>
      <c r="I10" s="31">
        <f t="shared" si="0"/>
        <v>488.78351628895746</v>
      </c>
      <c r="J10" s="28">
        <f t="shared" si="1"/>
        <v>488783.51628895744</v>
      </c>
    </row>
    <row r="11" spans="1:10" x14ac:dyDescent="0.2">
      <c r="A11" s="27" t="str">
        <f t="shared" si="2"/>
        <v>SP-21-0261</v>
      </c>
      <c r="B11" s="29">
        <f t="shared" si="3"/>
        <v>6.5059477130977097</v>
      </c>
      <c r="C11" s="29">
        <f t="shared" si="4"/>
        <v>100</v>
      </c>
      <c r="D11" s="29">
        <f t="shared" si="5"/>
        <v>5</v>
      </c>
      <c r="E11" s="29">
        <f t="shared" si="6"/>
        <v>2</v>
      </c>
      <c r="F11" s="29">
        <f t="shared" si="7"/>
        <v>10</v>
      </c>
      <c r="G11" s="26">
        <f>'Densidad de Grupos'!A27</f>
        <v>0</v>
      </c>
      <c r="H11" s="26">
        <f>'Densidad de Grupos'!H27</f>
        <v>0</v>
      </c>
      <c r="I11" s="31">
        <f t="shared" si="0"/>
        <v>0</v>
      </c>
      <c r="J11" s="28">
        <f t="shared" si="1"/>
        <v>0</v>
      </c>
    </row>
    <row r="12" spans="1:10" x14ac:dyDescent="0.2">
      <c r="A12" s="27" t="str">
        <f t="shared" si="2"/>
        <v>SP-21-0261</v>
      </c>
      <c r="B12" s="29">
        <f t="shared" si="3"/>
        <v>6.5059477130977097</v>
      </c>
      <c r="C12" s="29">
        <f t="shared" si="4"/>
        <v>100</v>
      </c>
      <c r="D12" s="29">
        <f t="shared" si="5"/>
        <v>5</v>
      </c>
      <c r="E12" s="29">
        <f t="shared" si="6"/>
        <v>2</v>
      </c>
      <c r="F12" s="29">
        <f t="shared" si="7"/>
        <v>10</v>
      </c>
      <c r="G12" s="26">
        <f>'Densidad de Grupos'!A28</f>
        <v>0</v>
      </c>
      <c r="H12" s="26">
        <f>'Densidad de Grupos'!H28</f>
        <v>0</v>
      </c>
      <c r="I12" s="31">
        <f t="shared" si="0"/>
        <v>0</v>
      </c>
      <c r="J12" s="28">
        <f t="shared" si="1"/>
        <v>0</v>
      </c>
    </row>
    <row r="13" spans="1:10" x14ac:dyDescent="0.2">
      <c r="A13" s="27" t="str">
        <f t="shared" si="2"/>
        <v>SP-21-0261</v>
      </c>
      <c r="B13" s="29">
        <f t="shared" si="3"/>
        <v>6.5059477130977097</v>
      </c>
      <c r="C13" s="29">
        <f t="shared" si="4"/>
        <v>100</v>
      </c>
      <c r="D13" s="29">
        <f t="shared" si="5"/>
        <v>5</v>
      </c>
      <c r="E13" s="29">
        <f t="shared" si="6"/>
        <v>2</v>
      </c>
      <c r="F13" s="29">
        <f t="shared" si="7"/>
        <v>10</v>
      </c>
      <c r="G13" s="26">
        <f>'Densidad de Grupos'!A29</f>
        <v>0</v>
      </c>
      <c r="H13" s="26">
        <f>'Densidad de Grupos'!H29</f>
        <v>0</v>
      </c>
      <c r="I13" s="31">
        <f t="shared" si="0"/>
        <v>0</v>
      </c>
      <c r="J13" s="28">
        <f t="shared" si="1"/>
        <v>0</v>
      </c>
    </row>
    <row r="14" spans="1:10" x14ac:dyDescent="0.2">
      <c r="A14" s="27" t="str">
        <f t="shared" si="2"/>
        <v>SP-21-0261</v>
      </c>
      <c r="B14" s="29">
        <f t="shared" si="3"/>
        <v>6.5059477130977097</v>
      </c>
      <c r="C14" s="29">
        <f t="shared" si="4"/>
        <v>100</v>
      </c>
      <c r="D14" s="29">
        <f t="shared" si="5"/>
        <v>5</v>
      </c>
      <c r="E14" s="29">
        <f t="shared" si="6"/>
        <v>2</v>
      </c>
      <c r="F14" s="29">
        <f t="shared" si="7"/>
        <v>10</v>
      </c>
      <c r="G14" s="26">
        <f>'Densidad de Grupos'!A30</f>
        <v>0</v>
      </c>
      <c r="H14" s="26">
        <f>'Densidad de Grupos'!H30</f>
        <v>0</v>
      </c>
      <c r="I14" s="28">
        <f t="shared" si="0"/>
        <v>0</v>
      </c>
      <c r="J14" s="28">
        <f t="shared" si="1"/>
        <v>0</v>
      </c>
    </row>
    <row r="15" spans="1:10" x14ac:dyDescent="0.2">
      <c r="A15" s="27" t="str">
        <f t="shared" si="2"/>
        <v>SP-21-0261</v>
      </c>
      <c r="B15" s="29">
        <f t="shared" si="3"/>
        <v>6.5059477130977097</v>
      </c>
      <c r="C15" s="29">
        <f t="shared" si="4"/>
        <v>100</v>
      </c>
      <c r="D15" s="29">
        <f t="shared" si="5"/>
        <v>5</v>
      </c>
      <c r="E15" s="29">
        <f t="shared" si="6"/>
        <v>2</v>
      </c>
      <c r="F15" s="29">
        <f t="shared" si="7"/>
        <v>10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SP-21-0261</v>
      </c>
      <c r="B16" s="29">
        <f t="shared" si="3"/>
        <v>6.5059477130977097</v>
      </c>
      <c r="C16" s="29">
        <f t="shared" si="4"/>
        <v>100</v>
      </c>
      <c r="D16" s="29">
        <f t="shared" si="5"/>
        <v>5</v>
      </c>
      <c r="E16" s="29">
        <f t="shared" si="6"/>
        <v>2</v>
      </c>
      <c r="F16" s="29">
        <f t="shared" si="7"/>
        <v>10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SP-21-0261</v>
      </c>
      <c r="B17" s="29">
        <f t="shared" si="3"/>
        <v>6.5059477130977097</v>
      </c>
      <c r="C17" s="29">
        <f t="shared" si="4"/>
        <v>100</v>
      </c>
      <c r="D17" s="29">
        <f t="shared" si="5"/>
        <v>5</v>
      </c>
      <c r="E17" s="29">
        <f t="shared" si="6"/>
        <v>2</v>
      </c>
      <c r="F17" s="29">
        <f t="shared" si="7"/>
        <v>10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SP-21-0261</v>
      </c>
      <c r="B18" s="29">
        <f t="shared" si="3"/>
        <v>6.5059477130977097</v>
      </c>
      <c r="C18" s="29">
        <f t="shared" si="4"/>
        <v>100</v>
      </c>
      <c r="D18" s="29">
        <f t="shared" si="5"/>
        <v>5</v>
      </c>
      <c r="E18" s="29">
        <f t="shared" si="6"/>
        <v>2</v>
      </c>
      <c r="F18" s="29">
        <f t="shared" si="7"/>
        <v>10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SP-21-0261</v>
      </c>
      <c r="B19" s="29">
        <f t="shared" si="3"/>
        <v>6.5059477130977097</v>
      </c>
      <c r="C19" s="29">
        <f t="shared" si="4"/>
        <v>100</v>
      </c>
      <c r="D19" s="29">
        <f t="shared" si="5"/>
        <v>5</v>
      </c>
      <c r="E19" s="29">
        <f t="shared" si="6"/>
        <v>2</v>
      </c>
      <c r="F19" s="29">
        <f t="shared" si="7"/>
        <v>10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SP-21-0261</v>
      </c>
      <c r="B20" s="29">
        <f t="shared" si="3"/>
        <v>6.5059477130977097</v>
      </c>
      <c r="C20" s="29">
        <f t="shared" si="4"/>
        <v>100</v>
      </c>
      <c r="D20" s="29">
        <f t="shared" si="5"/>
        <v>5</v>
      </c>
      <c r="E20" s="29">
        <f t="shared" si="6"/>
        <v>2</v>
      </c>
      <c r="F20" s="29">
        <f t="shared" si="7"/>
        <v>10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SP-21-0261</v>
      </c>
      <c r="B21" s="34">
        <f t="shared" si="3"/>
        <v>6.5059477130977097</v>
      </c>
      <c r="C21" s="34">
        <f t="shared" si="4"/>
        <v>100</v>
      </c>
      <c r="D21" s="34">
        <f t="shared" si="5"/>
        <v>5</v>
      </c>
      <c r="E21" s="34">
        <f t="shared" si="6"/>
        <v>2</v>
      </c>
      <c r="F21" s="34">
        <f t="shared" si="7"/>
        <v>10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SP-21-0261</v>
      </c>
      <c r="B22" s="29">
        <f t="shared" si="3"/>
        <v>6.5059477130977097</v>
      </c>
      <c r="C22" s="29">
        <f t="shared" si="4"/>
        <v>100</v>
      </c>
      <c r="D22" s="29">
        <f t="shared" si="5"/>
        <v>5</v>
      </c>
      <c r="E22" s="29">
        <f t="shared" si="6"/>
        <v>2</v>
      </c>
      <c r="F22" s="29">
        <f t="shared" si="7"/>
        <v>10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SP-21-0261</v>
      </c>
      <c r="B23" s="29">
        <f t="shared" si="3"/>
        <v>6.5059477130977097</v>
      </c>
      <c r="C23" s="29">
        <f t="shared" si="4"/>
        <v>100</v>
      </c>
      <c r="D23" s="29">
        <f t="shared" si="5"/>
        <v>5</v>
      </c>
      <c r="E23" s="29">
        <f t="shared" si="6"/>
        <v>2</v>
      </c>
      <c r="F23" s="29">
        <f t="shared" si="7"/>
        <v>10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SP-21-0261</v>
      </c>
      <c r="B24" s="29">
        <f t="shared" si="3"/>
        <v>6.5059477130977097</v>
      </c>
      <c r="C24" s="29">
        <f t="shared" si="4"/>
        <v>100</v>
      </c>
      <c r="D24" s="29">
        <f t="shared" si="5"/>
        <v>5</v>
      </c>
      <c r="E24" s="29">
        <f t="shared" si="6"/>
        <v>2</v>
      </c>
      <c r="F24" s="29">
        <f t="shared" si="7"/>
        <v>10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SP-21-0261</v>
      </c>
      <c r="B25" s="29">
        <f t="shared" si="3"/>
        <v>6.5059477130977097</v>
      </c>
      <c r="C25" s="29">
        <f t="shared" si="4"/>
        <v>100</v>
      </c>
      <c r="D25" s="29">
        <f t="shared" si="5"/>
        <v>5</v>
      </c>
      <c r="E25" s="29">
        <f t="shared" si="6"/>
        <v>2</v>
      </c>
      <c r="F25" s="29">
        <f t="shared" si="7"/>
        <v>10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SP-21-0261</v>
      </c>
      <c r="B26" s="29">
        <f t="shared" si="3"/>
        <v>6.5059477130977097</v>
      </c>
      <c r="C26" s="29">
        <f t="shared" si="4"/>
        <v>100</v>
      </c>
      <c r="D26" s="29">
        <f t="shared" si="5"/>
        <v>5</v>
      </c>
      <c r="E26" s="29">
        <f t="shared" si="6"/>
        <v>2</v>
      </c>
      <c r="F26" s="29">
        <f t="shared" si="7"/>
        <v>10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SP-21-0261</v>
      </c>
      <c r="B27" s="29">
        <f t="shared" si="3"/>
        <v>6.5059477130977097</v>
      </c>
      <c r="C27" s="29">
        <f t="shared" si="4"/>
        <v>100</v>
      </c>
      <c r="D27" s="29">
        <f t="shared" si="5"/>
        <v>5</v>
      </c>
      <c r="E27" s="29">
        <f t="shared" si="6"/>
        <v>2</v>
      </c>
      <c r="F27" s="29">
        <f t="shared" si="7"/>
        <v>10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SP-21-0261</v>
      </c>
      <c r="B28" s="29">
        <f t="shared" si="3"/>
        <v>6.5059477130977097</v>
      </c>
      <c r="C28" s="29">
        <f t="shared" si="4"/>
        <v>100</v>
      </c>
      <c r="D28" s="29">
        <f t="shared" si="5"/>
        <v>5</v>
      </c>
      <c r="E28" s="29">
        <f t="shared" si="6"/>
        <v>2</v>
      </c>
      <c r="F28" s="29">
        <f t="shared" si="7"/>
        <v>10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SP-21-0261</v>
      </c>
      <c r="B29" s="29">
        <f t="shared" si="3"/>
        <v>6.5059477130977097</v>
      </c>
      <c r="C29" s="29">
        <f t="shared" si="4"/>
        <v>100</v>
      </c>
      <c r="D29" s="29">
        <f t="shared" si="5"/>
        <v>5</v>
      </c>
      <c r="E29" s="29">
        <f t="shared" si="6"/>
        <v>2</v>
      </c>
      <c r="F29" s="29">
        <f t="shared" si="7"/>
        <v>10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SP-21-0261</v>
      </c>
      <c r="B30" s="29">
        <f t="shared" si="3"/>
        <v>6.5059477130977097</v>
      </c>
      <c r="C30" s="29">
        <f t="shared" si="4"/>
        <v>100</v>
      </c>
      <c r="D30" s="29">
        <f t="shared" si="5"/>
        <v>5</v>
      </c>
      <c r="E30" s="29">
        <f t="shared" si="6"/>
        <v>2</v>
      </c>
      <c r="F30" s="29">
        <f t="shared" si="7"/>
        <v>10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SP-21-0261</v>
      </c>
      <c r="B31" s="29">
        <f t="shared" si="3"/>
        <v>6.5059477130977097</v>
      </c>
      <c r="C31" s="29">
        <f t="shared" si="4"/>
        <v>100</v>
      </c>
      <c r="D31" s="29">
        <f t="shared" si="5"/>
        <v>5</v>
      </c>
      <c r="E31" s="29">
        <f t="shared" si="6"/>
        <v>2</v>
      </c>
      <c r="F31" s="29">
        <f t="shared" si="7"/>
        <v>10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SP-21-0261</v>
      </c>
      <c r="B32" s="29">
        <f t="shared" si="3"/>
        <v>6.5059477130977097</v>
      </c>
      <c r="C32" s="29">
        <f t="shared" si="4"/>
        <v>100</v>
      </c>
      <c r="D32" s="29">
        <f t="shared" si="5"/>
        <v>5</v>
      </c>
      <c r="E32" s="29">
        <f t="shared" si="6"/>
        <v>2</v>
      </c>
      <c r="F32" s="29">
        <f t="shared" si="7"/>
        <v>10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SP-21-0261</v>
      </c>
      <c r="B33" s="29">
        <f t="shared" si="3"/>
        <v>6.5059477130977097</v>
      </c>
      <c r="C33" s="29">
        <f t="shared" si="4"/>
        <v>100</v>
      </c>
      <c r="D33" s="29">
        <f t="shared" si="5"/>
        <v>5</v>
      </c>
      <c r="E33" s="29">
        <f t="shared" si="6"/>
        <v>2</v>
      </c>
      <c r="F33" s="29">
        <f t="shared" si="7"/>
        <v>10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SP-21-0261</v>
      </c>
      <c r="B34" s="29">
        <f t="shared" si="3"/>
        <v>6.5059477130977097</v>
      </c>
      <c r="C34" s="29">
        <f t="shared" si="4"/>
        <v>100</v>
      </c>
      <c r="D34" s="29">
        <f t="shared" si="5"/>
        <v>5</v>
      </c>
      <c r="E34" s="29">
        <f t="shared" si="6"/>
        <v>2</v>
      </c>
      <c r="F34" s="29">
        <f t="shared" si="7"/>
        <v>10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SP-21-0261</v>
      </c>
      <c r="B35" s="29">
        <f t="shared" si="3"/>
        <v>6.5059477130977097</v>
      </c>
      <c r="C35" s="29">
        <f t="shared" si="4"/>
        <v>100</v>
      </c>
      <c r="D35" s="29">
        <f t="shared" si="5"/>
        <v>5</v>
      </c>
      <c r="E35" s="29">
        <f t="shared" si="6"/>
        <v>2</v>
      </c>
      <c r="F35" s="29">
        <f t="shared" si="7"/>
        <v>10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SP-21-0261</v>
      </c>
      <c r="B36" s="29">
        <f t="shared" si="3"/>
        <v>6.5059477130977097</v>
      </c>
      <c r="C36" s="29">
        <f t="shared" si="4"/>
        <v>100</v>
      </c>
      <c r="D36" s="29">
        <f t="shared" si="5"/>
        <v>5</v>
      </c>
      <c r="E36" s="29">
        <f t="shared" si="6"/>
        <v>2</v>
      </c>
      <c r="F36" s="29">
        <f t="shared" si="7"/>
        <v>10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SP-21-0261</v>
      </c>
      <c r="B37" s="29">
        <f t="shared" si="3"/>
        <v>6.5059477130977097</v>
      </c>
      <c r="C37" s="29">
        <f t="shared" si="4"/>
        <v>100</v>
      </c>
      <c r="D37" s="29">
        <f t="shared" si="5"/>
        <v>5</v>
      </c>
      <c r="E37" s="29">
        <f t="shared" si="6"/>
        <v>2</v>
      </c>
      <c r="F37" s="29">
        <f t="shared" si="7"/>
        <v>10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SP-21-0261</v>
      </c>
      <c r="B38" s="29">
        <f t="shared" si="3"/>
        <v>6.5059477130977097</v>
      </c>
      <c r="C38" s="29">
        <f t="shared" si="4"/>
        <v>100</v>
      </c>
      <c r="D38" s="29">
        <f t="shared" si="5"/>
        <v>5</v>
      </c>
      <c r="E38" s="29">
        <f t="shared" si="6"/>
        <v>2</v>
      </c>
      <c r="F38" s="29">
        <f t="shared" si="7"/>
        <v>10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SP-21-0261</v>
      </c>
      <c r="B39" s="29">
        <f t="shared" si="3"/>
        <v>6.5059477130977097</v>
      </c>
      <c r="C39" s="29">
        <f t="shared" si="4"/>
        <v>100</v>
      </c>
      <c r="D39" s="29">
        <f t="shared" si="5"/>
        <v>5</v>
      </c>
      <c r="E39" s="29">
        <f t="shared" si="6"/>
        <v>2</v>
      </c>
      <c r="F39" s="29">
        <f t="shared" si="7"/>
        <v>10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SP-21-0261</v>
      </c>
      <c r="B40" s="29">
        <f t="shared" si="3"/>
        <v>6.5059477130977097</v>
      </c>
      <c r="C40" s="29">
        <f t="shared" si="4"/>
        <v>100</v>
      </c>
      <c r="D40" s="29">
        <f t="shared" si="5"/>
        <v>5</v>
      </c>
      <c r="E40" s="29">
        <f t="shared" si="6"/>
        <v>2</v>
      </c>
      <c r="F40" s="29">
        <f t="shared" si="7"/>
        <v>10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SP-21-0261</v>
      </c>
      <c r="B41" s="34">
        <f t="shared" si="3"/>
        <v>6.5059477130977097</v>
      </c>
      <c r="C41" s="34">
        <f t="shared" si="4"/>
        <v>100</v>
      </c>
      <c r="D41" s="34">
        <f t="shared" si="5"/>
        <v>5</v>
      </c>
      <c r="E41" s="34">
        <f t="shared" si="6"/>
        <v>2</v>
      </c>
      <c r="F41" s="34">
        <f t="shared" si="7"/>
        <v>10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SP-21-0261</v>
      </c>
      <c r="B42" s="29">
        <f t="shared" si="3"/>
        <v>6.5059477130977097</v>
      </c>
      <c r="C42" s="29">
        <f t="shared" si="4"/>
        <v>100</v>
      </c>
      <c r="D42" s="29">
        <f t="shared" si="5"/>
        <v>5</v>
      </c>
      <c r="E42" s="29">
        <f t="shared" si="6"/>
        <v>2</v>
      </c>
      <c r="F42" s="29">
        <f t="shared" si="7"/>
        <v>10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SP-21-0261</v>
      </c>
      <c r="B43" s="29">
        <f t="shared" si="3"/>
        <v>6.5059477130977097</v>
      </c>
      <c r="C43" s="29">
        <f t="shared" si="4"/>
        <v>100</v>
      </c>
      <c r="D43" s="29">
        <f t="shared" si="5"/>
        <v>5</v>
      </c>
      <c r="E43" s="29">
        <f t="shared" si="6"/>
        <v>2</v>
      </c>
      <c r="F43" s="29">
        <f t="shared" si="7"/>
        <v>10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SP-21-0261</v>
      </c>
      <c r="B44" s="29">
        <f t="shared" si="3"/>
        <v>6.5059477130977097</v>
      </c>
      <c r="C44" s="29">
        <f t="shared" si="4"/>
        <v>100</v>
      </c>
      <c r="D44" s="29">
        <f t="shared" si="5"/>
        <v>5</v>
      </c>
      <c r="E44" s="29">
        <f t="shared" si="6"/>
        <v>2</v>
      </c>
      <c r="F44" s="29">
        <f t="shared" si="7"/>
        <v>10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SP-21-0261</v>
      </c>
      <c r="B45" s="29">
        <f t="shared" si="3"/>
        <v>6.5059477130977097</v>
      </c>
      <c r="C45" s="29">
        <f t="shared" si="4"/>
        <v>100</v>
      </c>
      <c r="D45" s="29">
        <f t="shared" si="5"/>
        <v>5</v>
      </c>
      <c r="E45" s="29">
        <f t="shared" si="6"/>
        <v>2</v>
      </c>
      <c r="F45" s="29">
        <f t="shared" si="7"/>
        <v>10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SP-21-0261</v>
      </c>
      <c r="B46" s="29">
        <f t="shared" si="3"/>
        <v>6.5059477130977097</v>
      </c>
      <c r="C46" s="29">
        <f t="shared" si="4"/>
        <v>100</v>
      </c>
      <c r="D46" s="29">
        <f t="shared" si="5"/>
        <v>5</v>
      </c>
      <c r="E46" s="29">
        <f t="shared" si="6"/>
        <v>2</v>
      </c>
      <c r="F46" s="29">
        <f t="shared" si="7"/>
        <v>10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SP-21-0261</v>
      </c>
      <c r="B47" s="29">
        <f t="shared" si="3"/>
        <v>6.5059477130977097</v>
      </c>
      <c r="C47" s="29">
        <f t="shared" si="4"/>
        <v>100</v>
      </c>
      <c r="D47" s="29">
        <f t="shared" si="5"/>
        <v>5</v>
      </c>
      <c r="E47" s="29">
        <f t="shared" si="6"/>
        <v>2</v>
      </c>
      <c r="F47" s="29">
        <f t="shared" si="7"/>
        <v>10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SP-21-0261</v>
      </c>
      <c r="B48" s="29">
        <f t="shared" si="3"/>
        <v>6.5059477130977097</v>
      </c>
      <c r="C48" s="29">
        <f t="shared" si="4"/>
        <v>100</v>
      </c>
      <c r="D48" s="29">
        <f t="shared" si="5"/>
        <v>5</v>
      </c>
      <c r="E48" s="29">
        <f t="shared" si="6"/>
        <v>2</v>
      </c>
      <c r="F48" s="29">
        <f t="shared" si="7"/>
        <v>10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SP-21-0261</v>
      </c>
      <c r="B49" s="29">
        <f t="shared" si="3"/>
        <v>6.5059477130977097</v>
      </c>
      <c r="C49" s="29">
        <f t="shared" si="4"/>
        <v>100</v>
      </c>
      <c r="D49" s="29">
        <f t="shared" si="5"/>
        <v>5</v>
      </c>
      <c r="E49" s="29">
        <f t="shared" si="6"/>
        <v>2</v>
      </c>
      <c r="F49" s="29">
        <f t="shared" si="7"/>
        <v>10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SP-21-0261</v>
      </c>
      <c r="B50" s="29">
        <f t="shared" si="3"/>
        <v>6.5059477130977097</v>
      </c>
      <c r="C50" s="29">
        <f t="shared" si="4"/>
        <v>100</v>
      </c>
      <c r="D50" s="29">
        <f t="shared" si="5"/>
        <v>5</v>
      </c>
      <c r="E50" s="29">
        <f t="shared" si="6"/>
        <v>2</v>
      </c>
      <c r="F50" s="29">
        <f t="shared" si="7"/>
        <v>10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SP-21-0261</v>
      </c>
      <c r="B51" s="29">
        <f t="shared" si="3"/>
        <v>6.5059477130977097</v>
      </c>
      <c r="C51" s="29">
        <f t="shared" si="4"/>
        <v>100</v>
      </c>
      <c r="D51" s="29">
        <f t="shared" si="5"/>
        <v>5</v>
      </c>
      <c r="E51" s="29">
        <f t="shared" si="6"/>
        <v>2</v>
      </c>
      <c r="F51" s="29">
        <f t="shared" si="7"/>
        <v>10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SP-21-0261</v>
      </c>
      <c r="B52" s="29">
        <f t="shared" si="3"/>
        <v>6.5059477130977097</v>
      </c>
      <c r="C52" s="29">
        <f t="shared" si="4"/>
        <v>100</v>
      </c>
      <c r="D52" s="29">
        <f t="shared" si="5"/>
        <v>5</v>
      </c>
      <c r="E52" s="29">
        <f t="shared" si="6"/>
        <v>2</v>
      </c>
      <c r="F52" s="29">
        <f t="shared" si="7"/>
        <v>10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SP-21-0261</v>
      </c>
      <c r="B53" s="29">
        <f t="shared" si="3"/>
        <v>6.5059477130977097</v>
      </c>
      <c r="C53" s="29">
        <f t="shared" si="4"/>
        <v>100</v>
      </c>
      <c r="D53" s="29">
        <f t="shared" si="5"/>
        <v>5</v>
      </c>
      <c r="E53" s="29">
        <f t="shared" si="6"/>
        <v>2</v>
      </c>
      <c r="F53" s="29">
        <f t="shared" si="7"/>
        <v>10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SP-21-0261</v>
      </c>
      <c r="B54" s="29">
        <f t="shared" si="3"/>
        <v>6.5059477130977097</v>
      </c>
      <c r="C54" s="29">
        <f t="shared" si="4"/>
        <v>100</v>
      </c>
      <c r="D54" s="29">
        <f t="shared" si="5"/>
        <v>5</v>
      </c>
      <c r="E54" s="29">
        <f t="shared" si="6"/>
        <v>2</v>
      </c>
      <c r="F54" s="29">
        <f t="shared" si="7"/>
        <v>10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SP-21-0261</v>
      </c>
      <c r="B55" s="29">
        <f t="shared" si="3"/>
        <v>6.5059477130977097</v>
      </c>
      <c r="C55" s="29">
        <f t="shared" si="4"/>
        <v>100</v>
      </c>
      <c r="D55" s="29">
        <f t="shared" si="5"/>
        <v>5</v>
      </c>
      <c r="E55" s="29">
        <f t="shared" si="6"/>
        <v>2</v>
      </c>
      <c r="F55" s="29">
        <f t="shared" si="7"/>
        <v>10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SP-21-0261</v>
      </c>
      <c r="B56" s="29">
        <f t="shared" si="3"/>
        <v>6.5059477130977097</v>
      </c>
      <c r="C56" s="29">
        <f t="shared" si="4"/>
        <v>100</v>
      </c>
      <c r="D56" s="29">
        <f t="shared" si="5"/>
        <v>5</v>
      </c>
      <c r="E56" s="29">
        <f t="shared" si="6"/>
        <v>2</v>
      </c>
      <c r="F56" s="29">
        <f t="shared" si="7"/>
        <v>10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SP-21-0261</v>
      </c>
      <c r="B57" s="29">
        <f t="shared" si="3"/>
        <v>6.5059477130977097</v>
      </c>
      <c r="C57" s="29">
        <f t="shared" si="4"/>
        <v>100</v>
      </c>
      <c r="D57" s="29">
        <f t="shared" si="5"/>
        <v>5</v>
      </c>
      <c r="E57" s="29">
        <f t="shared" si="6"/>
        <v>2</v>
      </c>
      <c r="F57" s="29">
        <f t="shared" si="7"/>
        <v>10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SP-21-0261</v>
      </c>
      <c r="B58" s="29">
        <f t="shared" si="3"/>
        <v>6.5059477130977097</v>
      </c>
      <c r="C58" s="29">
        <f t="shared" si="4"/>
        <v>100</v>
      </c>
      <c r="D58" s="29">
        <f t="shared" si="5"/>
        <v>5</v>
      </c>
      <c r="E58" s="29">
        <f t="shared" si="6"/>
        <v>2</v>
      </c>
      <c r="F58" s="29">
        <f t="shared" si="7"/>
        <v>10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SP-21-0261</v>
      </c>
      <c r="B59" s="29">
        <f t="shared" si="3"/>
        <v>6.5059477130977097</v>
      </c>
      <c r="C59" s="29">
        <f t="shared" si="4"/>
        <v>100</v>
      </c>
      <c r="D59" s="29">
        <f t="shared" si="5"/>
        <v>5</v>
      </c>
      <c r="E59" s="29">
        <f t="shared" si="6"/>
        <v>2</v>
      </c>
      <c r="F59" s="29">
        <f t="shared" si="7"/>
        <v>10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SP-21-0261</v>
      </c>
      <c r="B60" s="29">
        <f t="shared" si="3"/>
        <v>6.5059477130977097</v>
      </c>
      <c r="C60" s="29">
        <f t="shared" si="4"/>
        <v>100</v>
      </c>
      <c r="D60" s="29">
        <f t="shared" si="5"/>
        <v>5</v>
      </c>
      <c r="E60" s="29">
        <f t="shared" si="6"/>
        <v>2</v>
      </c>
      <c r="F60" s="29">
        <f t="shared" si="7"/>
        <v>10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SP-21-0261</v>
      </c>
      <c r="B61" s="34">
        <f t="shared" si="3"/>
        <v>6.5059477130977097</v>
      </c>
      <c r="C61" s="34">
        <f t="shared" si="4"/>
        <v>100</v>
      </c>
      <c r="D61" s="34">
        <f t="shared" si="5"/>
        <v>5</v>
      </c>
      <c r="E61" s="34">
        <f t="shared" si="6"/>
        <v>2</v>
      </c>
      <c r="F61" s="34">
        <f t="shared" si="7"/>
        <v>10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SP-21-0261</v>
      </c>
      <c r="B62" s="29">
        <f t="shared" si="3"/>
        <v>6.5059477130977097</v>
      </c>
      <c r="C62" s="29">
        <f t="shared" si="4"/>
        <v>100</v>
      </c>
      <c r="D62" s="29">
        <f t="shared" si="5"/>
        <v>5</v>
      </c>
      <c r="E62" s="29">
        <f t="shared" si="6"/>
        <v>2</v>
      </c>
      <c r="F62" s="29">
        <f t="shared" si="7"/>
        <v>10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SP-21-0261</v>
      </c>
      <c r="B63" s="29">
        <f t="shared" si="3"/>
        <v>6.5059477130977097</v>
      </c>
      <c r="C63" s="29">
        <f t="shared" si="4"/>
        <v>100</v>
      </c>
      <c r="D63" s="29">
        <f t="shared" si="5"/>
        <v>5</v>
      </c>
      <c r="E63" s="29">
        <f t="shared" si="6"/>
        <v>2</v>
      </c>
      <c r="F63" s="29">
        <f t="shared" si="7"/>
        <v>10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SP-21-0261</v>
      </c>
      <c r="B64" s="29">
        <f t="shared" si="3"/>
        <v>6.5059477130977097</v>
      </c>
      <c r="C64" s="29">
        <f t="shared" si="4"/>
        <v>100</v>
      </c>
      <c r="D64" s="29">
        <f t="shared" si="5"/>
        <v>5</v>
      </c>
      <c r="E64" s="29">
        <f t="shared" si="6"/>
        <v>2</v>
      </c>
      <c r="F64" s="29">
        <f t="shared" si="7"/>
        <v>10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SP-21-0261</v>
      </c>
      <c r="B65" s="29">
        <f t="shared" si="3"/>
        <v>6.5059477130977097</v>
      </c>
      <c r="C65" s="29">
        <f t="shared" si="4"/>
        <v>100</v>
      </c>
      <c r="D65" s="29">
        <f t="shared" si="5"/>
        <v>5</v>
      </c>
      <c r="E65" s="29">
        <f t="shared" si="6"/>
        <v>2</v>
      </c>
      <c r="F65" s="29">
        <f t="shared" si="7"/>
        <v>10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SP-21-0261</v>
      </c>
      <c r="B66" s="29">
        <f t="shared" ref="B66:B81" si="9">$B$2</f>
        <v>6.5059477130977097</v>
      </c>
      <c r="C66" s="29">
        <f t="shared" ref="C66:C81" si="10">$C$2</f>
        <v>100</v>
      </c>
      <c r="D66" s="29">
        <f t="shared" ref="D66:D81" si="11">$D$2</f>
        <v>5</v>
      </c>
      <c r="E66" s="29">
        <f t="shared" ref="E66:E81" si="12">$E$2</f>
        <v>2</v>
      </c>
      <c r="F66" s="29">
        <f t="shared" ref="F66:F81" si="13">$F$2</f>
        <v>10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SP-21-0261</v>
      </c>
      <c r="B67" s="29">
        <f t="shared" si="9"/>
        <v>6.5059477130977097</v>
      </c>
      <c r="C67" s="29">
        <f t="shared" si="10"/>
        <v>100</v>
      </c>
      <c r="D67" s="29">
        <f t="shared" si="11"/>
        <v>5</v>
      </c>
      <c r="E67" s="29">
        <f t="shared" si="12"/>
        <v>2</v>
      </c>
      <c r="F67" s="29">
        <f t="shared" si="13"/>
        <v>10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SP-21-0261</v>
      </c>
      <c r="B68" s="29">
        <f t="shared" si="9"/>
        <v>6.5059477130977097</v>
      </c>
      <c r="C68" s="29">
        <f t="shared" si="10"/>
        <v>100</v>
      </c>
      <c r="D68" s="29">
        <f t="shared" si="11"/>
        <v>5</v>
      </c>
      <c r="E68" s="29">
        <f t="shared" si="12"/>
        <v>2</v>
      </c>
      <c r="F68" s="29">
        <f t="shared" si="13"/>
        <v>10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SP-21-0261</v>
      </c>
      <c r="B69" s="29">
        <f t="shared" si="9"/>
        <v>6.5059477130977097</v>
      </c>
      <c r="C69" s="29">
        <f t="shared" si="10"/>
        <v>100</v>
      </c>
      <c r="D69" s="29">
        <f t="shared" si="11"/>
        <v>5</v>
      </c>
      <c r="E69" s="29">
        <f t="shared" si="12"/>
        <v>2</v>
      </c>
      <c r="F69" s="29">
        <f t="shared" si="13"/>
        <v>10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SP-21-0261</v>
      </c>
      <c r="B70" s="29">
        <f t="shared" si="9"/>
        <v>6.5059477130977097</v>
      </c>
      <c r="C70" s="29">
        <f t="shared" si="10"/>
        <v>100</v>
      </c>
      <c r="D70" s="29">
        <f t="shared" si="11"/>
        <v>5</v>
      </c>
      <c r="E70" s="29">
        <f t="shared" si="12"/>
        <v>2</v>
      </c>
      <c r="F70" s="29">
        <f t="shared" si="13"/>
        <v>10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SP-21-0261</v>
      </c>
      <c r="B71" s="29">
        <f t="shared" si="9"/>
        <v>6.5059477130977097</v>
      </c>
      <c r="C71" s="29">
        <f t="shared" si="10"/>
        <v>100</v>
      </c>
      <c r="D71" s="29">
        <f t="shared" si="11"/>
        <v>5</v>
      </c>
      <c r="E71" s="29">
        <f t="shared" si="12"/>
        <v>2</v>
      </c>
      <c r="F71" s="29">
        <f t="shared" si="13"/>
        <v>10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SP-21-0261</v>
      </c>
      <c r="B72" s="29">
        <f t="shared" si="9"/>
        <v>6.5059477130977097</v>
      </c>
      <c r="C72" s="29">
        <f t="shared" si="10"/>
        <v>100</v>
      </c>
      <c r="D72" s="29">
        <f t="shared" si="11"/>
        <v>5</v>
      </c>
      <c r="E72" s="29">
        <f t="shared" si="12"/>
        <v>2</v>
      </c>
      <c r="F72" s="29">
        <f t="shared" si="13"/>
        <v>10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SP-21-0261</v>
      </c>
      <c r="B73" s="29">
        <f t="shared" si="9"/>
        <v>6.5059477130977097</v>
      </c>
      <c r="C73" s="29">
        <f t="shared" si="10"/>
        <v>100</v>
      </c>
      <c r="D73" s="29">
        <f t="shared" si="11"/>
        <v>5</v>
      </c>
      <c r="E73" s="29">
        <f t="shared" si="12"/>
        <v>2</v>
      </c>
      <c r="F73" s="29">
        <f t="shared" si="13"/>
        <v>10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SP-21-0261</v>
      </c>
      <c r="B74" s="29">
        <f t="shared" si="9"/>
        <v>6.5059477130977097</v>
      </c>
      <c r="C74" s="29">
        <f t="shared" si="10"/>
        <v>100</v>
      </c>
      <c r="D74" s="29">
        <f t="shared" si="11"/>
        <v>5</v>
      </c>
      <c r="E74" s="29">
        <f t="shared" si="12"/>
        <v>2</v>
      </c>
      <c r="F74" s="29">
        <f t="shared" si="13"/>
        <v>10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SP-21-0261</v>
      </c>
      <c r="B75" s="29">
        <f t="shared" si="9"/>
        <v>6.5059477130977097</v>
      </c>
      <c r="C75" s="29">
        <f t="shared" si="10"/>
        <v>100</v>
      </c>
      <c r="D75" s="29">
        <f t="shared" si="11"/>
        <v>5</v>
      </c>
      <c r="E75" s="29">
        <f t="shared" si="12"/>
        <v>2</v>
      </c>
      <c r="F75" s="29">
        <f t="shared" si="13"/>
        <v>10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SP-21-0261</v>
      </c>
      <c r="B76" s="29">
        <f t="shared" si="9"/>
        <v>6.5059477130977097</v>
      </c>
      <c r="C76" s="29">
        <f t="shared" si="10"/>
        <v>100</v>
      </c>
      <c r="D76" s="29">
        <f t="shared" si="11"/>
        <v>5</v>
      </c>
      <c r="E76" s="29">
        <f t="shared" si="12"/>
        <v>2</v>
      </c>
      <c r="F76" s="29">
        <f t="shared" si="13"/>
        <v>10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SP-21-0261</v>
      </c>
      <c r="B77" s="29">
        <f t="shared" si="9"/>
        <v>6.5059477130977097</v>
      </c>
      <c r="C77" s="29">
        <f t="shared" si="10"/>
        <v>100</v>
      </c>
      <c r="D77" s="29">
        <f t="shared" si="11"/>
        <v>5</v>
      </c>
      <c r="E77" s="29">
        <f t="shared" si="12"/>
        <v>2</v>
      </c>
      <c r="F77" s="29">
        <f t="shared" si="13"/>
        <v>10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SP-21-0261</v>
      </c>
      <c r="B78" s="29">
        <f t="shared" si="9"/>
        <v>6.5059477130977097</v>
      </c>
      <c r="C78" s="29">
        <f t="shared" si="10"/>
        <v>100</v>
      </c>
      <c r="D78" s="29">
        <f t="shared" si="11"/>
        <v>5</v>
      </c>
      <c r="E78" s="29">
        <f t="shared" si="12"/>
        <v>2</v>
      </c>
      <c r="F78" s="29">
        <f t="shared" si="13"/>
        <v>10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SP-21-0261</v>
      </c>
      <c r="B79" s="29">
        <f t="shared" si="9"/>
        <v>6.5059477130977097</v>
      </c>
      <c r="C79" s="29">
        <f t="shared" si="10"/>
        <v>100</v>
      </c>
      <c r="D79" s="29">
        <f t="shared" si="11"/>
        <v>5</v>
      </c>
      <c r="E79" s="29">
        <f t="shared" si="12"/>
        <v>2</v>
      </c>
      <c r="F79" s="29">
        <f t="shared" si="13"/>
        <v>10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SP-21-0261</v>
      </c>
      <c r="B80" s="29">
        <f t="shared" si="9"/>
        <v>6.5059477130977097</v>
      </c>
      <c r="C80" s="29">
        <f t="shared" si="10"/>
        <v>100</v>
      </c>
      <c r="D80" s="29">
        <f t="shared" si="11"/>
        <v>5</v>
      </c>
      <c r="E80" s="29">
        <f t="shared" si="12"/>
        <v>2</v>
      </c>
      <c r="F80" s="29">
        <f t="shared" si="13"/>
        <v>10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SP-21-0261</v>
      </c>
      <c r="B81" s="29">
        <f t="shared" si="9"/>
        <v>6.5059477130977097</v>
      </c>
      <c r="C81" s="29">
        <f t="shared" si="10"/>
        <v>100</v>
      </c>
      <c r="D81" s="29">
        <f t="shared" si="11"/>
        <v>5</v>
      </c>
      <c r="E81" s="29">
        <f t="shared" si="12"/>
        <v>2</v>
      </c>
      <c r="F81" s="29">
        <f t="shared" si="13"/>
        <v>10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Densidad de Grupos</vt:lpstr>
      <vt:lpstr>Cálculos_Densidad_De_Grupos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2022-02-28T04:05:22Z</dcterms:modified>
</cp:coreProperties>
</file>