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drawings/drawing2.xml" ContentType="application/vnd.openxmlformats-officedocument.drawing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D3D3906B-E64D-4E31-A61B-40F37174054D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DOLIOLIDA" sheetId="10" r:id="rId2"/>
    <sheet name="Cálculos_Densidad_De_Grupos" sheetId="4" r:id="rId3"/>
    <sheet name="Calculos_DOLIOLIDA" sheetId="11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1" l="1"/>
  <c r="B8" i="11"/>
  <c r="B10" i="11"/>
  <c r="B14" i="11"/>
  <c r="B16" i="11"/>
  <c r="B18" i="11"/>
  <c r="B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" i="11"/>
  <c r="H3" i="11"/>
  <c r="H4" i="11"/>
  <c r="H5" i="11"/>
  <c r="H6" i="11"/>
  <c r="H7" i="11"/>
  <c r="H8" i="11"/>
  <c r="H9" i="11"/>
  <c r="H10" i="11"/>
  <c r="I10" i="11" s="1"/>
  <c r="H11" i="11"/>
  <c r="H12" i="11"/>
  <c r="H13" i="11"/>
  <c r="H14" i="11"/>
  <c r="H15" i="11"/>
  <c r="H16" i="11"/>
  <c r="H17" i="11"/>
  <c r="H18" i="11"/>
  <c r="H19" i="11"/>
  <c r="H20" i="11"/>
  <c r="H21" i="11"/>
  <c r="H2" i="11"/>
  <c r="G23" i="11"/>
  <c r="G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E2" i="11"/>
  <c r="D2" i="11"/>
  <c r="C2" i="11"/>
  <c r="J13" i="10"/>
  <c r="B9" i="11" s="1"/>
  <c r="U9" i="10"/>
  <c r="A2" i="11" s="1"/>
  <c r="Y6" i="10"/>
  <c r="U6" i="10"/>
  <c r="Y5" i="10"/>
  <c r="U5" i="10"/>
  <c r="H23" i="4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I9" i="11" l="1"/>
  <c r="J9" i="11"/>
  <c r="J15" i="11"/>
  <c r="B15" i="11"/>
  <c r="I15" i="11" s="1"/>
  <c r="B7" i="11"/>
  <c r="J7" i="11" s="1"/>
  <c r="J6" i="11"/>
  <c r="B21" i="11"/>
  <c r="J21" i="11" s="1"/>
  <c r="B13" i="11"/>
  <c r="I13" i="11" s="1"/>
  <c r="B5" i="11"/>
  <c r="I5" i="11" s="1"/>
  <c r="B20" i="11"/>
  <c r="B12" i="11"/>
  <c r="B4" i="11"/>
  <c r="B19" i="11"/>
  <c r="B11" i="11"/>
  <c r="B3" i="11"/>
  <c r="I18" i="11"/>
  <c r="B17" i="11"/>
  <c r="I2" i="11"/>
  <c r="J14" i="11"/>
  <c r="F2" i="11"/>
  <c r="J2" i="11"/>
  <c r="J16" i="11"/>
  <c r="I8" i="11"/>
  <c r="J18" i="11"/>
  <c r="J10" i="11"/>
  <c r="I6" i="11"/>
  <c r="I14" i="11"/>
  <c r="I16" i="11"/>
  <c r="J8" i="11"/>
  <c r="I7" i="11"/>
  <c r="J17" i="11" l="1"/>
  <c r="I17" i="11"/>
  <c r="J3" i="11"/>
  <c r="I3" i="11"/>
  <c r="I21" i="11"/>
  <c r="J11" i="11"/>
  <c r="I11" i="11"/>
  <c r="J5" i="11"/>
  <c r="J19" i="11"/>
  <c r="I19" i="11"/>
  <c r="J13" i="11"/>
  <c r="I4" i="11"/>
  <c r="J4" i="11"/>
  <c r="J12" i="11"/>
  <c r="I12" i="11"/>
  <c r="J20" i="11"/>
  <c r="I20" i="1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<sst xmlns="http://schemas.openxmlformats.org/spreadsheetml/2006/main" count="134" uniqueCount="75">
  <si>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</si>
  <si>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</si>
  <si>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</si>
  <si>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</si>
  <si>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</si>
  <si>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</si>
  <si>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</si>
  <si>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</si>
  <si>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</si>
  <si>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</si>
  <si>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</si>
  <si>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</si>
  <si>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</si>
  <si>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</si>
  <si>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</si>
  <si>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</si>
  <si>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</si>
  <si>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</si>
  <si>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</si>
  <si>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</si>
  <si>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</si>
  <si>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</si>
  <si>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</si>
  <si>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</si>
  <si>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</si>
  <si>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</si>
  <si>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</si>
  <si>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</si>
  <si>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</si>
  <si>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</si>
  <si>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</si>
  <si>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</si>
  <si>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</si>
  <si>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</si>
  <si>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</si>
  <si>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</si>
  <si>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</si>
  <si>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</si>
  <si>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</si>
  <si>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</si>
  <si>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</si>
  <si>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</si>
  <si>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</si>
  <si>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</si>
  <si>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</si>
  <si>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</si>
  <si>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</si>
  <si>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</si>
  <si>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</si>
  <si>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</si>
  <si>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</si>
  <si>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</si>
  <si>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</si>
  <si>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</si>
  <si>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</si>
  <si>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</si>
  <si>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>0</t>
  </si>
  <si>
    <t xml:space="preserve"> </t>
  </si>
  <si>
    <t>|</t>
  </si>
  <si>
    <t>Decapoda (Anomura Zoea)</t>
  </si>
  <si>
    <t>Decapoda (Brachyura Zoea)</t>
  </si>
  <si>
    <t>Copepoda (Calanoida)</t>
  </si>
  <si>
    <t>Mollusca (Atlanta)</t>
  </si>
  <si>
    <t>Pez (Huevo)</t>
  </si>
  <si>
    <t>Brachiopoda (Lingula)</t>
  </si>
  <si>
    <t>Amphipoda (Hyperiidae)</t>
  </si>
  <si>
    <t>Ostracoda</t>
  </si>
  <si>
    <t>Copepoda (Cyclopoida)</t>
  </si>
  <si>
    <t>Doliolida</t>
  </si>
  <si>
    <t>Chaetognatha</t>
  </si>
  <si>
    <t>Stomatopoda</t>
  </si>
  <si>
    <t>Siphonophora (Lensia)</t>
  </si>
  <si>
    <t>Isopoda</t>
  </si>
  <si>
    <t>SP-21-0214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</si>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</sst>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2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3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0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0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0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0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0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0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0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0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0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0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0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0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0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0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0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0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0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0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0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0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0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0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0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1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1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1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1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1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1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1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1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1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1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5159" name="Button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5160" name="Button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1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5161" name="Button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1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5162" name="Button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1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1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1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1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5166" name="Button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1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5167" name="Button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1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168" name="Button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1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169" name="Button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1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170" name="Butto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171" name="Button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1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172" name="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1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173" name="Button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1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174" name="Butto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1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175" name="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1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176" name="Button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1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185" name="Button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1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186" name="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1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187" name="Button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1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188" name="Button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1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189" name="Button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1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190" name="Button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1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191" name="Button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1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192" name="Button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1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193" name="Button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1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194" name="Button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1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195" name="Button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1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196" name="Button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1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197" name="Button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1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198" name="Button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1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199" name="Button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1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200" name="Button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1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201" name="Button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1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202" name="Button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1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203" name="Button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1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204" name="Button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1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205" name="Button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1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206" name="Button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1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207" name="Button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1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208" name="Button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1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209" name="Button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1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210" name="Button 9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1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211" name="Button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1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1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213" name="Button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1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214" name="Button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1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5215" name="Button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1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216" name="Button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1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217" name="Button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1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218" name="Button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1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219" name="Button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1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220" name="Button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1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221" name="Button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1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222" name="Button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1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223" name="Button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1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224" name="Button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1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5225" name="Button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1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5226" name="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1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5227" name="Button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1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5228" name="Button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1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5229" name="Button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1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5230" name="Button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1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5231" name="Button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1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5232" name="Button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1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5233" name="Button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1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5234" name="Button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1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5235" name="Button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1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5236" name="Button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1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241" name="Button 121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100-00007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5242" name="Button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1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5243" name="Button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1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5244" name="Button 124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100-00007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5245" name="Button 125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1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5246" name="Button 126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100-00007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5247" name="Button 127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100-00007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5248" name="Button 128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100-00008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5249" name="Button 129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100-00008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5250" name="Button 130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100-00008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5251" name="Button 131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100-00008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5252" name="Button 132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1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5253" name="Button 133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100-00008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5254" name="Button 134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1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5255" name="Button 135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1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5256" name="Button 136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0000000-0008-0000-0100-00008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5257" name="Button 137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1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5258" name="Button 138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1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5259" name="Button 139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1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5260" name="Button 14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1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5261" name="Button 141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1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5262" name="Button 142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00000000-0008-0000-0100-00008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5263" name="Button 143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00000000-0008-0000-0100-00008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5264" name="Button 144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00000000-0008-0000-0100-00009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5265" name="Button 145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00000000-0008-0000-0100-00009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5266" name="Button 146" hidden="1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00000000-0008-0000-0100-00009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5267" name="Button 147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00000000-0008-0000-0100-00009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5268" name="Button 148" hidden="1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00000000-0008-0000-0100-00009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5269" name="Button 149" hidden="1">
              <a:extLst>
                <a:ext uri="{63B3BB69-23CF-44E3-9099-C40C66FF867C}">
                  <a14:compatExt spid="_x0000_s5269"/>
                </a:ext>
                <a:ext uri="{FF2B5EF4-FFF2-40B4-BE49-F238E27FC236}">
                  <a16:creationId xmlns:a16="http://schemas.microsoft.com/office/drawing/2014/main" id="{00000000-0008-0000-0100-00009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5270" name="Button 150" hidden="1">
              <a:extLst>
                <a:ext uri="{63B3BB69-23CF-44E3-9099-C40C66FF867C}">
                  <a14:compatExt spid="_x0000_s5270"/>
                </a:ext>
                <a:ext uri="{FF2B5EF4-FFF2-40B4-BE49-F238E27FC236}">
                  <a16:creationId xmlns:a16="http://schemas.microsoft.com/office/drawing/2014/main" id="{00000000-0008-0000-0100-00009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5271" name="Button 151" hidden="1">
              <a:extLst>
                <a:ext uri="{63B3BB69-23CF-44E3-9099-C40C66FF867C}">
                  <a14:compatExt spid="_x0000_s5271"/>
                </a:ext>
                <a:ext uri="{FF2B5EF4-FFF2-40B4-BE49-F238E27FC236}">
                  <a16:creationId xmlns:a16="http://schemas.microsoft.com/office/drawing/2014/main" id="{00000000-0008-0000-0100-00009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5272" name="Button 152" hidden="1">
              <a:extLst>
                <a:ext uri="{63B3BB69-23CF-44E3-9099-C40C66FF867C}">
                  <a14:compatExt spid="_x0000_s5272"/>
                </a:ext>
                <a:ext uri="{FF2B5EF4-FFF2-40B4-BE49-F238E27FC236}">
                  <a16:creationId xmlns:a16="http://schemas.microsoft.com/office/drawing/2014/main" id="{00000000-0008-0000-0100-00009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5273" name="Button 153" hidden="1">
              <a:extLst>
                <a:ext uri="{63B3BB69-23CF-44E3-9099-C40C66FF867C}">
                  <a14:compatExt spid="_x0000_s5273"/>
                </a:ext>
                <a:ext uri="{FF2B5EF4-FFF2-40B4-BE49-F238E27FC236}">
                  <a16:creationId xmlns:a16="http://schemas.microsoft.com/office/drawing/2014/main" id="{00000000-0008-0000-0100-00009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5274" name="Button 154" hidden="1">
              <a:extLst>
                <a:ext uri="{63B3BB69-23CF-44E3-9099-C40C66FF867C}">
                  <a14:compatExt spid="_x0000_s5274"/>
                </a:ext>
                <a:ext uri="{FF2B5EF4-FFF2-40B4-BE49-F238E27FC236}">
                  <a16:creationId xmlns:a16="http://schemas.microsoft.com/office/drawing/2014/main" id="{00000000-0008-0000-0100-00009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5275" name="Button 155" hidden="1">
              <a:extLst>
                <a:ext uri="{63B3BB69-23CF-44E3-9099-C40C66FF867C}">
                  <a14:compatExt spid="_x0000_s5275"/>
                </a:ext>
                <a:ext uri="{FF2B5EF4-FFF2-40B4-BE49-F238E27FC236}">
                  <a16:creationId xmlns:a16="http://schemas.microsoft.com/office/drawing/2014/main" id="{00000000-0008-0000-0100-00009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5276" name="Button 156" hidden="1">
              <a:extLst>
                <a:ext uri="{63B3BB69-23CF-44E3-9099-C40C66FF867C}">
                  <a14:compatExt spid="_x0000_s5276"/>
                </a:ext>
                <a:ext uri="{FF2B5EF4-FFF2-40B4-BE49-F238E27FC236}">
                  <a16:creationId xmlns:a16="http://schemas.microsoft.com/office/drawing/2014/main" id="{00000000-0008-0000-0100-00009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5277" name="Button 157" hidden="1">
              <a:extLst>
                <a:ext uri="{63B3BB69-23CF-44E3-9099-C40C66FF867C}">
                  <a14:compatExt spid="_x0000_s5277"/>
                </a:ext>
                <a:ext uri="{FF2B5EF4-FFF2-40B4-BE49-F238E27FC236}">
                  <a16:creationId xmlns:a16="http://schemas.microsoft.com/office/drawing/2014/main" id="{00000000-0008-0000-0100-00009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5278" name="Button 158" hidden="1">
              <a:extLst>
                <a:ext uri="{63B3BB69-23CF-44E3-9099-C40C66FF867C}">
                  <a14:compatExt spid="_x0000_s5278"/>
                </a:ext>
                <a:ext uri="{FF2B5EF4-FFF2-40B4-BE49-F238E27FC236}">
                  <a16:creationId xmlns:a16="http://schemas.microsoft.com/office/drawing/2014/main" id="{00000000-0008-0000-0100-00009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5279" name="Button 159" hidden="1">
              <a:extLst>
                <a:ext uri="{63B3BB69-23CF-44E3-9099-C40C66FF867C}">
                  <a14:compatExt spid="_x0000_s5279"/>
                </a:ext>
                <a:ext uri="{FF2B5EF4-FFF2-40B4-BE49-F238E27FC236}">
                  <a16:creationId xmlns:a16="http://schemas.microsoft.com/office/drawing/2014/main" id="{00000000-0008-0000-0100-00009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5280" name="Button 160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100-0000A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5281" name="Button 161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100-0000A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5282" name="Button 162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1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5283" name="Button 163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100-0000A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5284" name="Button 164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1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5285" name="Button 165" hidden="1">
              <a:extLst>
                <a:ext uri="{63B3BB69-23CF-44E3-9099-C40C66FF867C}">
                  <a14:compatExt spid="_x0000_s5285"/>
                </a:ext>
                <a:ext uri="{FF2B5EF4-FFF2-40B4-BE49-F238E27FC236}">
                  <a16:creationId xmlns:a16="http://schemas.microsoft.com/office/drawing/2014/main" id="{00000000-0008-0000-0100-0000A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5286" name="Button 166" hidden="1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00000000-0008-0000-0100-0000A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5287" name="Button 167" hidden="1">
              <a:extLst>
                <a:ext uri="{63B3BB69-23CF-44E3-9099-C40C66FF867C}">
                  <a14:compatExt spid="_x0000_s5287"/>
                </a:ext>
                <a:ext uri="{FF2B5EF4-FFF2-40B4-BE49-F238E27FC236}">
                  <a16:creationId xmlns:a16="http://schemas.microsoft.com/office/drawing/2014/main" id="{00000000-0008-0000-0100-0000A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5288" name="Button 168" hidden="1">
              <a:extLst>
                <a:ext uri="{63B3BB69-23CF-44E3-9099-C40C66FF867C}">
                  <a14:compatExt spid="_x0000_s5288"/>
                </a:ext>
                <a:ext uri="{FF2B5EF4-FFF2-40B4-BE49-F238E27FC236}">
                  <a16:creationId xmlns:a16="http://schemas.microsoft.com/office/drawing/2014/main" id="{00000000-0008-0000-0100-0000A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5289" name="Button 169" hidden="1">
              <a:extLst>
                <a:ext uri="{63B3BB69-23CF-44E3-9099-C40C66FF867C}">
                  <a14:compatExt spid="_x0000_s5289"/>
                </a:ext>
                <a:ext uri="{FF2B5EF4-FFF2-40B4-BE49-F238E27FC236}">
                  <a16:creationId xmlns:a16="http://schemas.microsoft.com/office/drawing/2014/main" id="{00000000-0008-0000-0100-0000A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5290" name="Button 170" hidden="1">
              <a:extLst>
                <a:ext uri="{63B3BB69-23CF-44E3-9099-C40C66FF867C}">
                  <a14:compatExt spid="_x0000_s5290"/>
                </a:ext>
                <a:ext uri="{FF2B5EF4-FFF2-40B4-BE49-F238E27FC236}">
                  <a16:creationId xmlns:a16="http://schemas.microsoft.com/office/drawing/2014/main" id="{00000000-0008-0000-0100-0000A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5291" name="Button 171" hidden="1">
              <a:extLst>
                <a:ext uri="{63B3BB69-23CF-44E3-9099-C40C66FF867C}">
                  <a14:compatExt spid="_x0000_s5291"/>
                </a:ext>
                <a:ext uri="{FF2B5EF4-FFF2-40B4-BE49-F238E27FC236}">
                  <a16:creationId xmlns:a16="http://schemas.microsoft.com/office/drawing/2014/main" id="{00000000-0008-0000-0100-0000A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5292" name="Button 172" hidden="1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00000000-0008-0000-0100-0000A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5293" name="Button 173" hidden="1">
              <a:extLst>
                <a:ext uri="{63B3BB69-23CF-44E3-9099-C40C66FF867C}">
                  <a14:compatExt spid="_x0000_s5293"/>
                </a:ext>
                <a:ext uri="{FF2B5EF4-FFF2-40B4-BE49-F238E27FC236}">
                  <a16:creationId xmlns:a16="http://schemas.microsoft.com/office/drawing/2014/main" id="{00000000-0008-0000-0100-0000A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5294" name="Button 174" hidden="1">
              <a:extLst>
                <a:ext uri="{63B3BB69-23CF-44E3-9099-C40C66FF867C}">
                  <a14:compatExt spid="_x0000_s5294"/>
                </a:ext>
                <a:ext uri="{FF2B5EF4-FFF2-40B4-BE49-F238E27FC236}">
                  <a16:creationId xmlns:a16="http://schemas.microsoft.com/office/drawing/2014/main" id="{00000000-0008-0000-0100-0000A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5295" name="Button 175" hidden="1">
              <a:extLst>
                <a:ext uri="{63B3BB69-23CF-44E3-9099-C40C66FF867C}">
                  <a14:compatExt spid="_x0000_s5295"/>
                </a:ext>
                <a:ext uri="{FF2B5EF4-FFF2-40B4-BE49-F238E27FC236}">
                  <a16:creationId xmlns:a16="http://schemas.microsoft.com/office/drawing/2014/main" id="{00000000-0008-0000-0100-0000A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5296" name="Button 176" hidden="1">
              <a:extLst>
                <a:ext uri="{63B3BB69-23CF-44E3-9099-C40C66FF867C}">
                  <a14:compatExt spid="_x0000_s5296"/>
                </a:ext>
                <a:ext uri="{FF2B5EF4-FFF2-40B4-BE49-F238E27FC236}">
                  <a16:creationId xmlns:a16="http://schemas.microsoft.com/office/drawing/2014/main" id="{00000000-0008-0000-0100-0000B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5297" name="Button 177" hidden="1">
              <a:extLst>
                <a:ext uri="{63B3BB69-23CF-44E3-9099-C40C66FF867C}">
                  <a14:compatExt spid="_x0000_s5297"/>
                </a:ext>
                <a:ext uri="{FF2B5EF4-FFF2-40B4-BE49-F238E27FC236}">
                  <a16:creationId xmlns:a16="http://schemas.microsoft.com/office/drawing/2014/main" id="{00000000-0008-0000-0100-0000B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5298" name="Button 178" hidden="1">
              <a:extLst>
                <a:ext uri="{63B3BB69-23CF-44E3-9099-C40C66FF867C}">
                  <a14:compatExt spid="_x0000_s5298"/>
                </a:ext>
                <a:ext uri="{FF2B5EF4-FFF2-40B4-BE49-F238E27FC236}">
                  <a16:creationId xmlns:a16="http://schemas.microsoft.com/office/drawing/2014/main" id="{00000000-0008-0000-0100-0000B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5299" name="Button 179" hidden="1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00000000-0008-0000-0100-0000B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5300" name="Button 180" hidden="1">
              <a:extLst>
                <a:ext uri="{63B3BB69-23CF-44E3-9099-C40C66FF867C}">
                  <a14:compatExt spid="_x0000_s5300"/>
                </a:ext>
                <a:ext uri="{FF2B5EF4-FFF2-40B4-BE49-F238E27FC236}">
                  <a16:creationId xmlns:a16="http://schemas.microsoft.com/office/drawing/2014/main" id="{00000000-0008-0000-0100-0000B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5301" name="Button 181" hidden="1">
              <a:extLst>
                <a:ext uri="{63B3BB69-23CF-44E3-9099-C40C66FF867C}">
                  <a14:compatExt spid="_x0000_s5301"/>
                </a:ext>
                <a:ext uri="{FF2B5EF4-FFF2-40B4-BE49-F238E27FC236}">
                  <a16:creationId xmlns:a16="http://schemas.microsoft.com/office/drawing/2014/main" id="{00000000-0008-0000-0100-0000B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5302" name="Button 182" hidden="1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00000000-0008-0000-0100-0000B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5303" name="Button 183" hidden="1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00000000-0008-0000-0100-0000B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5304" name="Button 184" hidden="1">
              <a:extLst>
                <a:ext uri="{63B3BB69-23CF-44E3-9099-C40C66FF867C}">
                  <a14:compatExt spid="_x0000_s5304"/>
                </a:ext>
                <a:ext uri="{FF2B5EF4-FFF2-40B4-BE49-F238E27FC236}">
                  <a16:creationId xmlns:a16="http://schemas.microsoft.com/office/drawing/2014/main" id="{00000000-0008-0000-0100-0000B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5305" name="Button 185" hidden="1">
              <a:extLst>
                <a:ext uri="{63B3BB69-23CF-44E3-9099-C40C66FF867C}">
                  <a14:compatExt spid="_x0000_s5305"/>
                </a:ext>
                <a:ext uri="{FF2B5EF4-FFF2-40B4-BE49-F238E27FC236}">
                  <a16:creationId xmlns:a16="http://schemas.microsoft.com/office/drawing/2014/main" id="{00000000-0008-0000-0100-0000B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5306" name="Button 186" hidden="1">
              <a:extLst>
                <a:ext uri="{63B3BB69-23CF-44E3-9099-C40C66FF867C}">
                  <a14:compatExt spid="_x0000_s5306"/>
                </a:ext>
                <a:ext uri="{FF2B5EF4-FFF2-40B4-BE49-F238E27FC236}">
                  <a16:creationId xmlns:a16="http://schemas.microsoft.com/office/drawing/2014/main" id="{00000000-0008-0000-0100-0000B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5307" name="Button 187" hidden="1">
              <a:extLst>
                <a:ext uri="{63B3BB69-23CF-44E3-9099-C40C66FF867C}">
                  <a14:compatExt spid="_x0000_s5307"/>
                </a:ext>
                <a:ext uri="{FF2B5EF4-FFF2-40B4-BE49-F238E27FC236}">
                  <a16:creationId xmlns:a16="http://schemas.microsoft.com/office/drawing/2014/main" id="{00000000-0008-0000-0100-0000B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5308" name="Button 188" hidden="1">
              <a:extLst>
                <a:ext uri="{63B3BB69-23CF-44E3-9099-C40C66FF867C}">
                  <a14:compatExt spid="_x0000_s5308"/>
                </a:ext>
                <a:ext uri="{FF2B5EF4-FFF2-40B4-BE49-F238E27FC236}">
                  <a16:creationId xmlns:a16="http://schemas.microsoft.com/office/drawing/2014/main" id="{00000000-0008-0000-0100-0000B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5309" name="Button 189" hidden="1">
              <a:extLst>
                <a:ext uri="{63B3BB69-23CF-44E3-9099-C40C66FF867C}">
                  <a14:compatExt spid="_x0000_s5309"/>
                </a:ext>
                <a:ext uri="{FF2B5EF4-FFF2-40B4-BE49-F238E27FC236}">
                  <a16:creationId xmlns:a16="http://schemas.microsoft.com/office/drawing/2014/main" id="{00000000-0008-0000-0100-0000B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5310" name="Button 190" hidden="1">
              <a:extLst>
                <a:ext uri="{63B3BB69-23CF-44E3-9099-C40C66FF867C}">
                  <a14:compatExt spid="_x0000_s5310"/>
                </a:ext>
                <a:ext uri="{FF2B5EF4-FFF2-40B4-BE49-F238E27FC236}">
                  <a16:creationId xmlns:a16="http://schemas.microsoft.com/office/drawing/2014/main" id="{00000000-0008-0000-0100-0000B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5311" name="Button 191" hidden="1">
              <a:extLst>
                <a:ext uri="{63B3BB69-23CF-44E3-9099-C40C66FF867C}">
                  <a14:compatExt spid="_x0000_s5311"/>
                </a:ext>
                <a:ext uri="{FF2B5EF4-FFF2-40B4-BE49-F238E27FC236}">
                  <a16:creationId xmlns:a16="http://schemas.microsoft.com/office/drawing/2014/main" id="{00000000-0008-0000-0100-0000B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5312" name="Button 192" hidden="1">
              <a:extLst>
                <a:ext uri="{63B3BB69-23CF-44E3-9099-C40C66FF867C}">
                  <a14:compatExt spid="_x0000_s5312"/>
                </a:ext>
                <a:ext uri="{FF2B5EF4-FFF2-40B4-BE49-F238E27FC236}">
                  <a16:creationId xmlns:a16="http://schemas.microsoft.com/office/drawing/2014/main" id="{00000000-0008-0000-0100-0000C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6.xml"/><Relationship Id="rId21" Type="http://schemas.openxmlformats.org/officeDocument/2006/relationships/ctrlProp" Target="../ctrlProps/ctrlProp280.xml"/><Relationship Id="rId42" Type="http://schemas.openxmlformats.org/officeDocument/2006/relationships/ctrlProp" Target="../ctrlProps/ctrlProp301.xml"/><Relationship Id="rId63" Type="http://schemas.openxmlformats.org/officeDocument/2006/relationships/ctrlProp" Target="../ctrlProps/ctrlProp322.xml"/><Relationship Id="rId84" Type="http://schemas.openxmlformats.org/officeDocument/2006/relationships/ctrlProp" Target="../ctrlProps/ctrlProp343.xml"/><Relationship Id="rId138" Type="http://schemas.openxmlformats.org/officeDocument/2006/relationships/ctrlProp" Target="../ctrlProps/ctrlProp397.xml"/><Relationship Id="rId159" Type="http://schemas.openxmlformats.org/officeDocument/2006/relationships/ctrlProp" Target="../ctrlProps/ctrlProp418.xml"/><Relationship Id="rId170" Type="http://schemas.openxmlformats.org/officeDocument/2006/relationships/ctrlProp" Target="../ctrlProps/ctrlProp429.xml"/><Relationship Id="rId191" Type="http://schemas.openxmlformats.org/officeDocument/2006/relationships/ctrlProp" Target="../ctrlProps/ctrlProp450.xml"/><Relationship Id="rId205" Type="http://schemas.openxmlformats.org/officeDocument/2006/relationships/ctrlProp" Target="../ctrlProps/ctrlProp464.xml"/><Relationship Id="rId107" Type="http://schemas.openxmlformats.org/officeDocument/2006/relationships/ctrlProp" Target="../ctrlProps/ctrlProp366.xml"/><Relationship Id="rId11" Type="http://schemas.openxmlformats.org/officeDocument/2006/relationships/ctrlProp" Target="../ctrlProps/ctrlProp270.xml"/><Relationship Id="rId32" Type="http://schemas.openxmlformats.org/officeDocument/2006/relationships/ctrlProp" Target="../ctrlProps/ctrlProp291.xml"/><Relationship Id="rId53" Type="http://schemas.openxmlformats.org/officeDocument/2006/relationships/ctrlProp" Target="../ctrlProps/ctrlProp312.xml"/><Relationship Id="rId74" Type="http://schemas.openxmlformats.org/officeDocument/2006/relationships/ctrlProp" Target="../ctrlProps/ctrlProp333.xml"/><Relationship Id="rId128" Type="http://schemas.openxmlformats.org/officeDocument/2006/relationships/ctrlProp" Target="../ctrlProps/ctrlProp387.xml"/><Relationship Id="rId149" Type="http://schemas.openxmlformats.org/officeDocument/2006/relationships/ctrlProp" Target="../ctrlProps/ctrlProp408.xml"/><Relationship Id="rId5" Type="http://schemas.openxmlformats.org/officeDocument/2006/relationships/ctrlProp" Target="../ctrlProps/ctrlProp264.xml"/><Relationship Id="rId95" Type="http://schemas.openxmlformats.org/officeDocument/2006/relationships/ctrlProp" Target="../ctrlProps/ctrlProp354.xml"/><Relationship Id="rId160" Type="http://schemas.openxmlformats.org/officeDocument/2006/relationships/ctrlProp" Target="../ctrlProps/ctrlProp419.xml"/><Relationship Id="rId181" Type="http://schemas.openxmlformats.org/officeDocument/2006/relationships/ctrlProp" Target="../ctrlProps/ctrlProp440.xml"/><Relationship Id="rId22" Type="http://schemas.openxmlformats.org/officeDocument/2006/relationships/ctrlProp" Target="../ctrlProps/ctrlProp281.xml"/><Relationship Id="rId43" Type="http://schemas.openxmlformats.org/officeDocument/2006/relationships/ctrlProp" Target="../ctrlProps/ctrlProp302.xml"/><Relationship Id="rId64" Type="http://schemas.openxmlformats.org/officeDocument/2006/relationships/ctrlProp" Target="../ctrlProps/ctrlProp323.xml"/><Relationship Id="rId118" Type="http://schemas.openxmlformats.org/officeDocument/2006/relationships/ctrlProp" Target="../ctrlProps/ctrlProp377.xml"/><Relationship Id="rId139" Type="http://schemas.openxmlformats.org/officeDocument/2006/relationships/ctrlProp" Target="../ctrlProps/ctrlProp398.xml"/><Relationship Id="rId85" Type="http://schemas.openxmlformats.org/officeDocument/2006/relationships/ctrlProp" Target="../ctrlProps/ctrlProp344.xml"/><Relationship Id="rId150" Type="http://schemas.openxmlformats.org/officeDocument/2006/relationships/ctrlProp" Target="../ctrlProps/ctrlProp409.xml"/><Relationship Id="rId171" Type="http://schemas.openxmlformats.org/officeDocument/2006/relationships/ctrlProp" Target="../ctrlProps/ctrlProp430.xml"/><Relationship Id="rId192" Type="http://schemas.openxmlformats.org/officeDocument/2006/relationships/ctrlProp" Target="../ctrlProps/ctrlProp451.xml"/><Relationship Id="rId206" Type="http://schemas.openxmlformats.org/officeDocument/2006/relationships/ctrlProp" Target="../ctrlProps/ctrlProp465.xml"/><Relationship Id="rId12" Type="http://schemas.openxmlformats.org/officeDocument/2006/relationships/ctrlProp" Target="../ctrlProps/ctrlProp271.xml"/><Relationship Id="rId33" Type="http://schemas.openxmlformats.org/officeDocument/2006/relationships/ctrlProp" Target="../ctrlProps/ctrlProp292.xml"/><Relationship Id="rId108" Type="http://schemas.openxmlformats.org/officeDocument/2006/relationships/ctrlProp" Target="../ctrlProps/ctrlProp367.xml"/><Relationship Id="rId129" Type="http://schemas.openxmlformats.org/officeDocument/2006/relationships/ctrlProp" Target="../ctrlProps/ctrlProp388.xml"/><Relationship Id="rId54" Type="http://schemas.openxmlformats.org/officeDocument/2006/relationships/ctrlProp" Target="../ctrlProps/ctrlProp313.xml"/><Relationship Id="rId75" Type="http://schemas.openxmlformats.org/officeDocument/2006/relationships/ctrlProp" Target="../ctrlProps/ctrlProp334.xml"/><Relationship Id="rId96" Type="http://schemas.openxmlformats.org/officeDocument/2006/relationships/ctrlProp" Target="../ctrlProps/ctrlProp355.xml"/><Relationship Id="rId140" Type="http://schemas.openxmlformats.org/officeDocument/2006/relationships/ctrlProp" Target="../ctrlProps/ctrlProp399.xml"/><Relationship Id="rId161" Type="http://schemas.openxmlformats.org/officeDocument/2006/relationships/ctrlProp" Target="../ctrlProps/ctrlProp420.xml"/><Relationship Id="rId182" Type="http://schemas.openxmlformats.org/officeDocument/2006/relationships/ctrlProp" Target="../ctrlProps/ctrlProp441.xml"/><Relationship Id="rId6" Type="http://schemas.openxmlformats.org/officeDocument/2006/relationships/ctrlProp" Target="../ctrlProps/ctrlProp265.xml"/><Relationship Id="rId23" Type="http://schemas.openxmlformats.org/officeDocument/2006/relationships/ctrlProp" Target="../ctrlProps/ctrlProp282.xml"/><Relationship Id="rId119" Type="http://schemas.openxmlformats.org/officeDocument/2006/relationships/ctrlProp" Target="../ctrlProps/ctrlProp378.xml"/><Relationship Id="rId44" Type="http://schemas.openxmlformats.org/officeDocument/2006/relationships/ctrlProp" Target="../ctrlProps/ctrlProp303.xml"/><Relationship Id="rId65" Type="http://schemas.openxmlformats.org/officeDocument/2006/relationships/ctrlProp" Target="../ctrlProps/ctrlProp324.xml"/><Relationship Id="rId86" Type="http://schemas.openxmlformats.org/officeDocument/2006/relationships/ctrlProp" Target="../ctrlProps/ctrlProp345.xml"/><Relationship Id="rId130" Type="http://schemas.openxmlformats.org/officeDocument/2006/relationships/ctrlProp" Target="../ctrlProps/ctrlProp389.xml"/><Relationship Id="rId151" Type="http://schemas.openxmlformats.org/officeDocument/2006/relationships/ctrlProp" Target="../ctrlProps/ctrlProp410.xml"/><Relationship Id="rId172" Type="http://schemas.openxmlformats.org/officeDocument/2006/relationships/ctrlProp" Target="../ctrlProps/ctrlProp431.xml"/><Relationship Id="rId193" Type="http://schemas.openxmlformats.org/officeDocument/2006/relationships/ctrlProp" Target="../ctrlProps/ctrlProp452.xml"/><Relationship Id="rId207" Type="http://schemas.openxmlformats.org/officeDocument/2006/relationships/ctrlProp" Target="../ctrlProps/ctrlProp466.xml"/><Relationship Id="rId13" Type="http://schemas.openxmlformats.org/officeDocument/2006/relationships/ctrlProp" Target="../ctrlProps/ctrlProp272.xml"/><Relationship Id="rId109" Type="http://schemas.openxmlformats.org/officeDocument/2006/relationships/ctrlProp" Target="../ctrlProps/ctrlProp368.xml"/><Relationship Id="rId34" Type="http://schemas.openxmlformats.org/officeDocument/2006/relationships/ctrlProp" Target="../ctrlProps/ctrlProp293.xml"/><Relationship Id="rId55" Type="http://schemas.openxmlformats.org/officeDocument/2006/relationships/ctrlProp" Target="../ctrlProps/ctrlProp314.xml"/><Relationship Id="rId76" Type="http://schemas.openxmlformats.org/officeDocument/2006/relationships/ctrlProp" Target="../ctrlProps/ctrlProp335.xml"/><Relationship Id="rId97" Type="http://schemas.openxmlformats.org/officeDocument/2006/relationships/ctrlProp" Target="../ctrlProps/ctrlProp356.xml"/><Relationship Id="rId120" Type="http://schemas.openxmlformats.org/officeDocument/2006/relationships/ctrlProp" Target="../ctrlProps/ctrlProp379.xml"/><Relationship Id="rId141" Type="http://schemas.openxmlformats.org/officeDocument/2006/relationships/ctrlProp" Target="../ctrlProps/ctrlProp400.xml"/><Relationship Id="rId7" Type="http://schemas.openxmlformats.org/officeDocument/2006/relationships/ctrlProp" Target="../ctrlProps/ctrlProp266.xml"/><Relationship Id="rId162" Type="http://schemas.openxmlformats.org/officeDocument/2006/relationships/ctrlProp" Target="../ctrlProps/ctrlProp421.xml"/><Relationship Id="rId183" Type="http://schemas.openxmlformats.org/officeDocument/2006/relationships/ctrlProp" Target="../ctrlProps/ctrlProp442.xml"/><Relationship Id="rId24" Type="http://schemas.openxmlformats.org/officeDocument/2006/relationships/ctrlProp" Target="../ctrlProps/ctrlProp283.xml"/><Relationship Id="rId45" Type="http://schemas.openxmlformats.org/officeDocument/2006/relationships/ctrlProp" Target="../ctrlProps/ctrlProp304.xml"/><Relationship Id="rId66" Type="http://schemas.openxmlformats.org/officeDocument/2006/relationships/ctrlProp" Target="../ctrlProps/ctrlProp325.xml"/><Relationship Id="rId87" Type="http://schemas.openxmlformats.org/officeDocument/2006/relationships/ctrlProp" Target="../ctrlProps/ctrlProp346.xml"/><Relationship Id="rId110" Type="http://schemas.openxmlformats.org/officeDocument/2006/relationships/ctrlProp" Target="../ctrlProps/ctrlProp369.xml"/><Relationship Id="rId131" Type="http://schemas.openxmlformats.org/officeDocument/2006/relationships/ctrlProp" Target="../ctrlProps/ctrlProp390.xml"/><Relationship Id="rId152" Type="http://schemas.openxmlformats.org/officeDocument/2006/relationships/ctrlProp" Target="../ctrlProps/ctrlProp411.xml"/><Relationship Id="rId173" Type="http://schemas.openxmlformats.org/officeDocument/2006/relationships/ctrlProp" Target="../ctrlProps/ctrlProp432.xml"/><Relationship Id="rId194" Type="http://schemas.openxmlformats.org/officeDocument/2006/relationships/ctrlProp" Target="../ctrlProps/ctrlProp453.xml"/><Relationship Id="rId208" Type="http://schemas.openxmlformats.org/officeDocument/2006/relationships/ctrlProp" Target="../ctrlProps/ctrlProp467.xml"/><Relationship Id="rId19" Type="http://schemas.openxmlformats.org/officeDocument/2006/relationships/ctrlProp" Target="../ctrlProps/ctrlProp278.xml"/><Relationship Id="rId14" Type="http://schemas.openxmlformats.org/officeDocument/2006/relationships/ctrlProp" Target="../ctrlProps/ctrlProp273.xml"/><Relationship Id="rId30" Type="http://schemas.openxmlformats.org/officeDocument/2006/relationships/ctrlProp" Target="../ctrlProps/ctrlProp289.xml"/><Relationship Id="rId35" Type="http://schemas.openxmlformats.org/officeDocument/2006/relationships/ctrlProp" Target="../ctrlProps/ctrlProp294.xml"/><Relationship Id="rId56" Type="http://schemas.openxmlformats.org/officeDocument/2006/relationships/ctrlProp" Target="../ctrlProps/ctrlProp315.xml"/><Relationship Id="rId77" Type="http://schemas.openxmlformats.org/officeDocument/2006/relationships/ctrlProp" Target="../ctrlProps/ctrlProp336.xml"/><Relationship Id="rId100" Type="http://schemas.openxmlformats.org/officeDocument/2006/relationships/ctrlProp" Target="../ctrlProps/ctrlProp359.xml"/><Relationship Id="rId105" Type="http://schemas.openxmlformats.org/officeDocument/2006/relationships/ctrlProp" Target="../ctrlProps/ctrlProp364.xml"/><Relationship Id="rId126" Type="http://schemas.openxmlformats.org/officeDocument/2006/relationships/ctrlProp" Target="../ctrlProps/ctrlProp385.xml"/><Relationship Id="rId147" Type="http://schemas.openxmlformats.org/officeDocument/2006/relationships/ctrlProp" Target="../ctrlProps/ctrlProp406.xml"/><Relationship Id="rId168" Type="http://schemas.openxmlformats.org/officeDocument/2006/relationships/ctrlProp" Target="../ctrlProps/ctrlProp427.xml"/><Relationship Id="rId8" Type="http://schemas.openxmlformats.org/officeDocument/2006/relationships/ctrlProp" Target="../ctrlProps/ctrlProp267.xml"/><Relationship Id="rId51" Type="http://schemas.openxmlformats.org/officeDocument/2006/relationships/ctrlProp" Target="../ctrlProps/ctrlProp310.xml"/><Relationship Id="rId72" Type="http://schemas.openxmlformats.org/officeDocument/2006/relationships/ctrlProp" Target="../ctrlProps/ctrlProp331.xml"/><Relationship Id="rId93" Type="http://schemas.openxmlformats.org/officeDocument/2006/relationships/ctrlProp" Target="../ctrlProps/ctrlProp352.xml"/><Relationship Id="rId98" Type="http://schemas.openxmlformats.org/officeDocument/2006/relationships/ctrlProp" Target="../ctrlProps/ctrlProp357.xml"/><Relationship Id="rId121" Type="http://schemas.openxmlformats.org/officeDocument/2006/relationships/ctrlProp" Target="../ctrlProps/ctrlProp380.xml"/><Relationship Id="rId142" Type="http://schemas.openxmlformats.org/officeDocument/2006/relationships/ctrlProp" Target="../ctrlProps/ctrlProp401.xml"/><Relationship Id="rId163" Type="http://schemas.openxmlformats.org/officeDocument/2006/relationships/ctrlProp" Target="../ctrlProps/ctrlProp422.xml"/><Relationship Id="rId184" Type="http://schemas.openxmlformats.org/officeDocument/2006/relationships/ctrlProp" Target="../ctrlProps/ctrlProp443.xml"/><Relationship Id="rId189" Type="http://schemas.openxmlformats.org/officeDocument/2006/relationships/ctrlProp" Target="../ctrlProps/ctrlProp448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73.xml"/><Relationship Id="rId25" Type="http://schemas.openxmlformats.org/officeDocument/2006/relationships/ctrlProp" Target="../ctrlProps/ctrlProp284.xml"/><Relationship Id="rId46" Type="http://schemas.openxmlformats.org/officeDocument/2006/relationships/ctrlProp" Target="../ctrlProps/ctrlProp305.xml"/><Relationship Id="rId67" Type="http://schemas.openxmlformats.org/officeDocument/2006/relationships/ctrlProp" Target="../ctrlProps/ctrlProp326.xml"/><Relationship Id="rId116" Type="http://schemas.openxmlformats.org/officeDocument/2006/relationships/ctrlProp" Target="../ctrlProps/ctrlProp375.xml"/><Relationship Id="rId137" Type="http://schemas.openxmlformats.org/officeDocument/2006/relationships/ctrlProp" Target="../ctrlProps/ctrlProp396.xml"/><Relationship Id="rId158" Type="http://schemas.openxmlformats.org/officeDocument/2006/relationships/ctrlProp" Target="../ctrlProps/ctrlProp417.xml"/><Relationship Id="rId20" Type="http://schemas.openxmlformats.org/officeDocument/2006/relationships/ctrlProp" Target="../ctrlProps/ctrlProp279.xml"/><Relationship Id="rId41" Type="http://schemas.openxmlformats.org/officeDocument/2006/relationships/ctrlProp" Target="../ctrlProps/ctrlProp300.xml"/><Relationship Id="rId62" Type="http://schemas.openxmlformats.org/officeDocument/2006/relationships/ctrlProp" Target="../ctrlProps/ctrlProp321.xml"/><Relationship Id="rId83" Type="http://schemas.openxmlformats.org/officeDocument/2006/relationships/ctrlProp" Target="../ctrlProps/ctrlProp342.xml"/><Relationship Id="rId88" Type="http://schemas.openxmlformats.org/officeDocument/2006/relationships/ctrlProp" Target="../ctrlProps/ctrlProp347.xml"/><Relationship Id="rId111" Type="http://schemas.openxmlformats.org/officeDocument/2006/relationships/ctrlProp" Target="../ctrlProps/ctrlProp370.xml"/><Relationship Id="rId132" Type="http://schemas.openxmlformats.org/officeDocument/2006/relationships/ctrlProp" Target="../ctrlProps/ctrlProp391.xml"/><Relationship Id="rId153" Type="http://schemas.openxmlformats.org/officeDocument/2006/relationships/ctrlProp" Target="../ctrlProps/ctrlProp412.xml"/><Relationship Id="rId174" Type="http://schemas.openxmlformats.org/officeDocument/2006/relationships/ctrlProp" Target="../ctrlProps/ctrlProp433.xml"/><Relationship Id="rId179" Type="http://schemas.openxmlformats.org/officeDocument/2006/relationships/ctrlProp" Target="../ctrlProps/ctrlProp438.xml"/><Relationship Id="rId195" Type="http://schemas.openxmlformats.org/officeDocument/2006/relationships/ctrlProp" Target="../ctrlProps/ctrlProp454.xml"/><Relationship Id="rId209" Type="http://schemas.openxmlformats.org/officeDocument/2006/relationships/ctrlProp" Target="../ctrlProps/ctrlProp468.xml"/><Relationship Id="rId190" Type="http://schemas.openxmlformats.org/officeDocument/2006/relationships/ctrlProp" Target="../ctrlProps/ctrlProp449.xml"/><Relationship Id="rId204" Type="http://schemas.openxmlformats.org/officeDocument/2006/relationships/ctrlProp" Target="../ctrlProps/ctrlProp463.xml"/><Relationship Id="rId15" Type="http://schemas.openxmlformats.org/officeDocument/2006/relationships/ctrlProp" Target="../ctrlProps/ctrlProp274.xml"/><Relationship Id="rId36" Type="http://schemas.openxmlformats.org/officeDocument/2006/relationships/ctrlProp" Target="../ctrlProps/ctrlProp295.xml"/><Relationship Id="rId57" Type="http://schemas.openxmlformats.org/officeDocument/2006/relationships/ctrlProp" Target="../ctrlProps/ctrlProp316.xml"/><Relationship Id="rId106" Type="http://schemas.openxmlformats.org/officeDocument/2006/relationships/ctrlProp" Target="../ctrlProps/ctrlProp365.xml"/><Relationship Id="rId127" Type="http://schemas.openxmlformats.org/officeDocument/2006/relationships/ctrlProp" Target="../ctrlProps/ctrlProp386.xml"/><Relationship Id="rId10" Type="http://schemas.openxmlformats.org/officeDocument/2006/relationships/ctrlProp" Target="../ctrlProps/ctrlProp269.xml"/><Relationship Id="rId31" Type="http://schemas.openxmlformats.org/officeDocument/2006/relationships/ctrlProp" Target="../ctrlProps/ctrlProp290.xml"/><Relationship Id="rId52" Type="http://schemas.openxmlformats.org/officeDocument/2006/relationships/ctrlProp" Target="../ctrlProps/ctrlProp311.xml"/><Relationship Id="rId73" Type="http://schemas.openxmlformats.org/officeDocument/2006/relationships/ctrlProp" Target="../ctrlProps/ctrlProp332.xml"/><Relationship Id="rId78" Type="http://schemas.openxmlformats.org/officeDocument/2006/relationships/ctrlProp" Target="../ctrlProps/ctrlProp337.xml"/><Relationship Id="rId94" Type="http://schemas.openxmlformats.org/officeDocument/2006/relationships/ctrlProp" Target="../ctrlProps/ctrlProp353.xml"/><Relationship Id="rId99" Type="http://schemas.openxmlformats.org/officeDocument/2006/relationships/ctrlProp" Target="../ctrlProps/ctrlProp358.xml"/><Relationship Id="rId101" Type="http://schemas.openxmlformats.org/officeDocument/2006/relationships/ctrlProp" Target="../ctrlProps/ctrlProp360.xml"/><Relationship Id="rId122" Type="http://schemas.openxmlformats.org/officeDocument/2006/relationships/ctrlProp" Target="../ctrlProps/ctrlProp381.xml"/><Relationship Id="rId143" Type="http://schemas.openxmlformats.org/officeDocument/2006/relationships/ctrlProp" Target="../ctrlProps/ctrlProp402.xml"/><Relationship Id="rId148" Type="http://schemas.openxmlformats.org/officeDocument/2006/relationships/ctrlProp" Target="../ctrlProps/ctrlProp407.xml"/><Relationship Id="rId164" Type="http://schemas.openxmlformats.org/officeDocument/2006/relationships/ctrlProp" Target="../ctrlProps/ctrlProp423.xml"/><Relationship Id="rId169" Type="http://schemas.openxmlformats.org/officeDocument/2006/relationships/ctrlProp" Target="../ctrlProps/ctrlProp428.xml"/><Relationship Id="rId185" Type="http://schemas.openxmlformats.org/officeDocument/2006/relationships/ctrlProp" Target="../ctrlProps/ctrlProp444.xml"/><Relationship Id="rId4" Type="http://schemas.openxmlformats.org/officeDocument/2006/relationships/ctrlProp" Target="../ctrlProps/ctrlProp263.xml"/><Relationship Id="rId9" Type="http://schemas.openxmlformats.org/officeDocument/2006/relationships/ctrlProp" Target="../ctrlProps/ctrlProp268.xml"/><Relationship Id="rId180" Type="http://schemas.openxmlformats.org/officeDocument/2006/relationships/ctrlProp" Target="../ctrlProps/ctrlProp439.xml"/><Relationship Id="rId210" Type="http://schemas.openxmlformats.org/officeDocument/2006/relationships/ctrlProp" Target="../ctrlProps/ctrlProp469.xml"/><Relationship Id="rId215" Type="http://schemas.openxmlformats.org/officeDocument/2006/relationships/ctrlProp" Target="../ctrlProps/ctrlProp474.xml"/><Relationship Id="rId26" Type="http://schemas.openxmlformats.org/officeDocument/2006/relationships/ctrlProp" Target="../ctrlProps/ctrlProp285.xml"/><Relationship Id="rId47" Type="http://schemas.openxmlformats.org/officeDocument/2006/relationships/ctrlProp" Target="../ctrlProps/ctrlProp306.xml"/><Relationship Id="rId68" Type="http://schemas.openxmlformats.org/officeDocument/2006/relationships/ctrlProp" Target="../ctrlProps/ctrlProp327.xml"/><Relationship Id="rId89" Type="http://schemas.openxmlformats.org/officeDocument/2006/relationships/ctrlProp" Target="../ctrlProps/ctrlProp348.xml"/><Relationship Id="rId112" Type="http://schemas.openxmlformats.org/officeDocument/2006/relationships/ctrlProp" Target="../ctrlProps/ctrlProp371.xml"/><Relationship Id="rId133" Type="http://schemas.openxmlformats.org/officeDocument/2006/relationships/ctrlProp" Target="../ctrlProps/ctrlProp392.xml"/><Relationship Id="rId154" Type="http://schemas.openxmlformats.org/officeDocument/2006/relationships/ctrlProp" Target="../ctrlProps/ctrlProp413.xml"/><Relationship Id="rId175" Type="http://schemas.openxmlformats.org/officeDocument/2006/relationships/ctrlProp" Target="../ctrlProps/ctrlProp434.xml"/><Relationship Id="rId196" Type="http://schemas.openxmlformats.org/officeDocument/2006/relationships/ctrlProp" Target="../ctrlProps/ctrlProp455.xml"/><Relationship Id="rId200" Type="http://schemas.openxmlformats.org/officeDocument/2006/relationships/ctrlProp" Target="../ctrlProps/ctrlProp459.xml"/><Relationship Id="rId16" Type="http://schemas.openxmlformats.org/officeDocument/2006/relationships/ctrlProp" Target="../ctrlProps/ctrlProp275.xml"/><Relationship Id="rId37" Type="http://schemas.openxmlformats.org/officeDocument/2006/relationships/ctrlProp" Target="../ctrlProps/ctrlProp296.xml"/><Relationship Id="rId58" Type="http://schemas.openxmlformats.org/officeDocument/2006/relationships/ctrlProp" Target="../ctrlProps/ctrlProp317.xml"/><Relationship Id="rId79" Type="http://schemas.openxmlformats.org/officeDocument/2006/relationships/ctrlProp" Target="../ctrlProps/ctrlProp338.xml"/><Relationship Id="rId102" Type="http://schemas.openxmlformats.org/officeDocument/2006/relationships/ctrlProp" Target="../ctrlProps/ctrlProp361.xml"/><Relationship Id="rId123" Type="http://schemas.openxmlformats.org/officeDocument/2006/relationships/ctrlProp" Target="../ctrlProps/ctrlProp382.xml"/><Relationship Id="rId144" Type="http://schemas.openxmlformats.org/officeDocument/2006/relationships/ctrlProp" Target="../ctrlProps/ctrlProp403.xml"/><Relationship Id="rId90" Type="http://schemas.openxmlformats.org/officeDocument/2006/relationships/ctrlProp" Target="../ctrlProps/ctrlProp349.xml"/><Relationship Id="rId165" Type="http://schemas.openxmlformats.org/officeDocument/2006/relationships/ctrlProp" Target="../ctrlProps/ctrlProp424.xml"/><Relationship Id="rId186" Type="http://schemas.openxmlformats.org/officeDocument/2006/relationships/ctrlProp" Target="../ctrlProps/ctrlProp445.xml"/><Relationship Id="rId211" Type="http://schemas.openxmlformats.org/officeDocument/2006/relationships/ctrlProp" Target="../ctrlProps/ctrlProp470.xml"/><Relationship Id="rId27" Type="http://schemas.openxmlformats.org/officeDocument/2006/relationships/ctrlProp" Target="../ctrlProps/ctrlProp286.xml"/><Relationship Id="rId48" Type="http://schemas.openxmlformats.org/officeDocument/2006/relationships/ctrlProp" Target="../ctrlProps/ctrlProp307.xml"/><Relationship Id="rId69" Type="http://schemas.openxmlformats.org/officeDocument/2006/relationships/ctrlProp" Target="../ctrlProps/ctrlProp328.xml"/><Relationship Id="rId113" Type="http://schemas.openxmlformats.org/officeDocument/2006/relationships/ctrlProp" Target="../ctrlProps/ctrlProp372.xml"/><Relationship Id="rId134" Type="http://schemas.openxmlformats.org/officeDocument/2006/relationships/ctrlProp" Target="../ctrlProps/ctrlProp393.xml"/><Relationship Id="rId80" Type="http://schemas.openxmlformats.org/officeDocument/2006/relationships/ctrlProp" Target="../ctrlProps/ctrlProp339.xml"/><Relationship Id="rId155" Type="http://schemas.openxmlformats.org/officeDocument/2006/relationships/ctrlProp" Target="../ctrlProps/ctrlProp414.xml"/><Relationship Id="rId176" Type="http://schemas.openxmlformats.org/officeDocument/2006/relationships/ctrlProp" Target="../ctrlProps/ctrlProp435.xml"/><Relationship Id="rId197" Type="http://schemas.openxmlformats.org/officeDocument/2006/relationships/ctrlProp" Target="../ctrlProps/ctrlProp456.xml"/><Relationship Id="rId201" Type="http://schemas.openxmlformats.org/officeDocument/2006/relationships/ctrlProp" Target="../ctrlProps/ctrlProp460.xml"/><Relationship Id="rId17" Type="http://schemas.openxmlformats.org/officeDocument/2006/relationships/ctrlProp" Target="../ctrlProps/ctrlProp276.xml"/><Relationship Id="rId38" Type="http://schemas.openxmlformats.org/officeDocument/2006/relationships/ctrlProp" Target="../ctrlProps/ctrlProp297.xml"/><Relationship Id="rId59" Type="http://schemas.openxmlformats.org/officeDocument/2006/relationships/ctrlProp" Target="../ctrlProps/ctrlProp318.xml"/><Relationship Id="rId103" Type="http://schemas.openxmlformats.org/officeDocument/2006/relationships/ctrlProp" Target="../ctrlProps/ctrlProp362.xml"/><Relationship Id="rId124" Type="http://schemas.openxmlformats.org/officeDocument/2006/relationships/ctrlProp" Target="../ctrlProps/ctrlProp383.xml"/><Relationship Id="rId70" Type="http://schemas.openxmlformats.org/officeDocument/2006/relationships/ctrlProp" Target="../ctrlProps/ctrlProp329.xml"/><Relationship Id="rId91" Type="http://schemas.openxmlformats.org/officeDocument/2006/relationships/ctrlProp" Target="../ctrlProps/ctrlProp350.xml"/><Relationship Id="rId145" Type="http://schemas.openxmlformats.org/officeDocument/2006/relationships/ctrlProp" Target="../ctrlProps/ctrlProp404.xml"/><Relationship Id="rId166" Type="http://schemas.openxmlformats.org/officeDocument/2006/relationships/ctrlProp" Target="../ctrlProps/ctrlProp425.xml"/><Relationship Id="rId187" Type="http://schemas.openxmlformats.org/officeDocument/2006/relationships/ctrlProp" Target="../ctrlProps/ctrlProp446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71.xml"/><Relationship Id="rId28" Type="http://schemas.openxmlformats.org/officeDocument/2006/relationships/ctrlProp" Target="../ctrlProps/ctrlProp287.xml"/><Relationship Id="rId49" Type="http://schemas.openxmlformats.org/officeDocument/2006/relationships/ctrlProp" Target="../ctrlProps/ctrlProp308.xml"/><Relationship Id="rId114" Type="http://schemas.openxmlformats.org/officeDocument/2006/relationships/ctrlProp" Target="../ctrlProps/ctrlProp373.xml"/><Relationship Id="rId60" Type="http://schemas.openxmlformats.org/officeDocument/2006/relationships/ctrlProp" Target="../ctrlProps/ctrlProp319.xml"/><Relationship Id="rId81" Type="http://schemas.openxmlformats.org/officeDocument/2006/relationships/ctrlProp" Target="../ctrlProps/ctrlProp340.xml"/><Relationship Id="rId135" Type="http://schemas.openxmlformats.org/officeDocument/2006/relationships/ctrlProp" Target="../ctrlProps/ctrlProp394.xml"/><Relationship Id="rId156" Type="http://schemas.openxmlformats.org/officeDocument/2006/relationships/ctrlProp" Target="../ctrlProps/ctrlProp415.xml"/><Relationship Id="rId177" Type="http://schemas.openxmlformats.org/officeDocument/2006/relationships/ctrlProp" Target="../ctrlProps/ctrlProp436.xml"/><Relationship Id="rId198" Type="http://schemas.openxmlformats.org/officeDocument/2006/relationships/ctrlProp" Target="../ctrlProps/ctrlProp457.xml"/><Relationship Id="rId202" Type="http://schemas.openxmlformats.org/officeDocument/2006/relationships/ctrlProp" Target="../ctrlProps/ctrlProp461.xml"/><Relationship Id="rId18" Type="http://schemas.openxmlformats.org/officeDocument/2006/relationships/ctrlProp" Target="../ctrlProps/ctrlProp277.xml"/><Relationship Id="rId39" Type="http://schemas.openxmlformats.org/officeDocument/2006/relationships/ctrlProp" Target="../ctrlProps/ctrlProp298.xml"/><Relationship Id="rId50" Type="http://schemas.openxmlformats.org/officeDocument/2006/relationships/ctrlProp" Target="../ctrlProps/ctrlProp309.xml"/><Relationship Id="rId104" Type="http://schemas.openxmlformats.org/officeDocument/2006/relationships/ctrlProp" Target="../ctrlProps/ctrlProp363.xml"/><Relationship Id="rId125" Type="http://schemas.openxmlformats.org/officeDocument/2006/relationships/ctrlProp" Target="../ctrlProps/ctrlProp384.xml"/><Relationship Id="rId146" Type="http://schemas.openxmlformats.org/officeDocument/2006/relationships/ctrlProp" Target="../ctrlProps/ctrlProp405.xml"/><Relationship Id="rId167" Type="http://schemas.openxmlformats.org/officeDocument/2006/relationships/ctrlProp" Target="../ctrlProps/ctrlProp426.xml"/><Relationship Id="rId188" Type="http://schemas.openxmlformats.org/officeDocument/2006/relationships/ctrlProp" Target="../ctrlProps/ctrlProp447.xml"/><Relationship Id="rId71" Type="http://schemas.openxmlformats.org/officeDocument/2006/relationships/ctrlProp" Target="../ctrlProps/ctrlProp330.xml"/><Relationship Id="rId92" Type="http://schemas.openxmlformats.org/officeDocument/2006/relationships/ctrlProp" Target="../ctrlProps/ctrlProp351.xml"/><Relationship Id="rId213" Type="http://schemas.openxmlformats.org/officeDocument/2006/relationships/ctrlProp" Target="../ctrlProps/ctrlProp472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88.xml"/><Relationship Id="rId40" Type="http://schemas.openxmlformats.org/officeDocument/2006/relationships/ctrlProp" Target="../ctrlProps/ctrlProp299.xml"/><Relationship Id="rId115" Type="http://schemas.openxmlformats.org/officeDocument/2006/relationships/ctrlProp" Target="../ctrlProps/ctrlProp374.xml"/><Relationship Id="rId136" Type="http://schemas.openxmlformats.org/officeDocument/2006/relationships/ctrlProp" Target="../ctrlProps/ctrlProp395.xml"/><Relationship Id="rId157" Type="http://schemas.openxmlformats.org/officeDocument/2006/relationships/ctrlProp" Target="../ctrlProps/ctrlProp416.xml"/><Relationship Id="rId178" Type="http://schemas.openxmlformats.org/officeDocument/2006/relationships/ctrlProp" Target="../ctrlProps/ctrlProp437.xml"/><Relationship Id="rId61" Type="http://schemas.openxmlformats.org/officeDocument/2006/relationships/ctrlProp" Target="../ctrlProps/ctrlProp320.xml"/><Relationship Id="rId82" Type="http://schemas.openxmlformats.org/officeDocument/2006/relationships/ctrlProp" Target="../ctrlProps/ctrlProp341.xml"/><Relationship Id="rId199" Type="http://schemas.openxmlformats.org/officeDocument/2006/relationships/ctrlProp" Target="../ctrlProps/ctrlProp458.xml"/><Relationship Id="rId203" Type="http://schemas.openxmlformats.org/officeDocument/2006/relationships/ctrlProp" Target="../ctrlProps/ctrlProp46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10" workbookViewId="0">
      <selection activeCell="G5" sqref="G5:M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7"/>
      <c r="B1" s="6"/>
      <c r="I1" s="63" t="s">
        <v>33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3"/>
    </row>
    <row r="2" spans="1:29" ht="37.5" customHeight="1" x14ac:dyDescent="0.2">
      <c r="A2" s="57"/>
      <c r="B2" s="6"/>
      <c r="I2" s="58" t="s">
        <v>32</v>
      </c>
      <c r="J2" s="59"/>
      <c r="K2" s="59"/>
      <c r="L2" s="59"/>
      <c r="M2" s="59"/>
      <c r="N2" s="59"/>
      <c r="O2" s="59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62" t="s">
        <v>1</v>
      </c>
      <c r="B4" s="62"/>
      <c r="C4" s="62"/>
      <c r="D4" s="62"/>
      <c r="E4" s="62"/>
      <c r="F4" s="65"/>
      <c r="G4" s="60" t="s">
        <v>74</v>
      </c>
      <c r="H4" s="60"/>
      <c r="I4" s="60"/>
      <c r="J4" s="60"/>
      <c r="K4" s="60"/>
      <c r="L4" s="60"/>
      <c r="M4" s="60"/>
      <c r="N4" s="61" t="s">
        <v>11</v>
      </c>
      <c r="O4" s="61"/>
      <c r="P4" s="61"/>
      <c r="Q4" s="61"/>
      <c r="R4" s="61"/>
      <c r="S4" s="61"/>
      <c r="T4" s="61"/>
      <c r="U4" s="42" t="s">
        <v>55</v>
      </c>
      <c r="V4" s="43"/>
      <c r="W4" s="43"/>
      <c r="X4" s="43"/>
      <c r="Y4" s="43"/>
      <c r="Z4" s="43"/>
      <c r="AA4" s="43"/>
      <c r="AB4" s="44"/>
      <c r="AC4" s="3"/>
    </row>
    <row r="5" spans="1:29" ht="24" customHeight="1" x14ac:dyDescent="0.2">
      <c r="A5" s="62" t="s">
        <v>5</v>
      </c>
      <c r="B5" s="62"/>
      <c r="C5" s="62"/>
      <c r="D5" s="62"/>
      <c r="E5" s="62"/>
      <c r="F5" s="65"/>
      <c r="G5" s="46" t="s">
        <v>38</v>
      </c>
      <c r="H5" s="46"/>
      <c r="I5" s="46"/>
      <c r="J5" s="46"/>
      <c r="K5" s="46"/>
      <c r="L5" s="46"/>
      <c r="M5" s="46"/>
      <c r="N5" s="62" t="s">
        <v>9</v>
      </c>
      <c r="O5" s="62"/>
      <c r="P5" s="62"/>
      <c r="Q5" s="62"/>
      <c r="R5" s="62"/>
      <c r="S5" s="62"/>
      <c r="T5" s="62"/>
      <c r="U5" s="49">
        <v>44474</v>
      </c>
      <c r="V5" s="50"/>
      <c r="W5" s="51"/>
      <c r="X5" s="24" t="s">
        <v>30</v>
      </c>
      <c r="Y5" s="68">
        <v>0.58333333333333337</v>
      </c>
      <c r="Z5" s="69"/>
      <c r="AA5" s="69"/>
      <c r="AB5" s="69"/>
    </row>
    <row r="6" spans="1:29" ht="24" customHeight="1" x14ac:dyDescent="0.2">
      <c r="A6" s="66" t="s">
        <v>7</v>
      </c>
      <c r="B6" s="66"/>
      <c r="C6" s="66"/>
      <c r="D6" s="66"/>
      <c r="E6" s="66"/>
      <c r="F6" s="67"/>
      <c r="G6" s="46" t="s">
        <v>41</v>
      </c>
      <c r="H6" s="46"/>
      <c r="I6" s="46"/>
      <c r="J6" s="46"/>
      <c r="K6" s="46"/>
      <c r="L6" s="46"/>
      <c r="M6" s="46"/>
      <c r="N6" s="70" t="s">
        <v>0</v>
      </c>
      <c r="O6" s="70"/>
      <c r="P6" s="70"/>
      <c r="Q6" s="70"/>
      <c r="R6" s="70"/>
      <c r="S6" s="70"/>
      <c r="T6" s="70"/>
      <c r="U6" s="49">
        <v>44474</v>
      </c>
      <c r="V6" s="50"/>
      <c r="W6" s="51"/>
      <c r="X6" s="24" t="s">
        <v>30</v>
      </c>
      <c r="Y6" s="68">
        <v>0.66666666666666663</v>
      </c>
      <c r="Z6" s="69"/>
      <c r="AA6" s="69"/>
      <c r="AB6" s="69"/>
    </row>
    <row r="7" spans="1:29" ht="24" customHeight="1" x14ac:dyDescent="0.2">
      <c r="A7" s="62" t="s">
        <v>10</v>
      </c>
      <c r="B7" s="62"/>
      <c r="C7" s="62"/>
      <c r="D7" s="62"/>
      <c r="E7" s="62"/>
      <c r="F7" s="65"/>
      <c r="G7" s="46" t="s">
        <v>42</v>
      </c>
      <c r="H7" s="46"/>
      <c r="I7" s="46"/>
      <c r="J7" s="46"/>
      <c r="K7" s="46"/>
      <c r="L7" s="46"/>
      <c r="M7" s="46"/>
      <c r="N7" s="47" t="s">
        <v>35</v>
      </c>
      <c r="O7" s="47"/>
      <c r="P7" s="47"/>
      <c r="Q7" s="47"/>
      <c r="R7" s="47"/>
      <c r="S7" s="47"/>
      <c r="T7" s="47"/>
      <c r="U7" s="73" t="s">
        <v>40</v>
      </c>
      <c r="V7" s="73"/>
      <c r="W7" s="73"/>
      <c r="X7" s="73"/>
      <c r="Y7" s="73"/>
      <c r="Z7" s="73"/>
      <c r="AA7" s="73"/>
      <c r="AB7" s="73"/>
    </row>
    <row r="8" spans="1:29" ht="24" customHeight="1" x14ac:dyDescent="0.2">
      <c r="A8" s="66" t="s">
        <v>2</v>
      </c>
      <c r="B8" s="66"/>
      <c r="C8" s="66"/>
      <c r="D8" s="66"/>
      <c r="E8" s="66"/>
      <c r="F8" s="67"/>
      <c r="G8" s="46">
        <v>20065667</v>
      </c>
      <c r="H8" s="46"/>
      <c r="I8" s="46"/>
      <c r="J8" s="46"/>
      <c r="K8" s="46"/>
      <c r="L8" s="46"/>
      <c r="M8" s="46"/>
      <c r="N8" s="47" t="s">
        <v>4</v>
      </c>
      <c r="O8" s="47"/>
      <c r="P8" s="47"/>
      <c r="Q8" s="47"/>
      <c r="R8" s="47"/>
      <c r="S8" s="47"/>
      <c r="T8" s="47"/>
      <c r="U8" s="48" t="s">
        <v>39</v>
      </c>
      <c r="V8" s="48"/>
      <c r="W8" s="48"/>
      <c r="X8" s="48"/>
      <c r="Y8" s="48"/>
      <c r="Z8" s="48"/>
      <c r="AA8" s="48"/>
      <c r="AB8" s="48"/>
    </row>
    <row r="9" spans="1:29" ht="24" customHeight="1" x14ac:dyDescent="0.2">
      <c r="A9" s="66" t="s">
        <v>6</v>
      </c>
      <c r="B9" s="66"/>
      <c r="C9" s="66"/>
      <c r="D9" s="66"/>
      <c r="E9" s="66"/>
      <c r="F9" s="67"/>
      <c r="G9" s="71" t="s">
        <v>43</v>
      </c>
      <c r="H9" s="71"/>
      <c r="I9" s="71"/>
      <c r="J9" s="71"/>
      <c r="K9" s="71"/>
      <c r="L9" s="71"/>
      <c r="M9" s="71"/>
      <c r="N9" s="47" t="s">
        <v>31</v>
      </c>
      <c r="O9" s="47"/>
      <c r="P9" s="47"/>
      <c r="Q9" s="47"/>
      <c r="R9" s="47"/>
      <c r="S9" s="47"/>
      <c r="T9" s="47"/>
      <c r="U9" s="72" t="s">
        <v>73</v>
      </c>
      <c r="V9" s="72"/>
      <c r="W9" s="72"/>
      <c r="X9" s="72"/>
      <c r="Y9" s="72"/>
      <c r="Z9" s="72"/>
      <c r="AA9" s="72"/>
      <c r="AB9" s="72"/>
    </row>
    <row r="10" spans="1:29" ht="6" customHeight="1" x14ac:dyDescent="0.2">
      <c r="U10" s="8"/>
      <c r="V10" s="8"/>
      <c r="W10" s="8"/>
    </row>
    <row r="11" spans="1:29" ht="23.25" customHeight="1" x14ac:dyDescent="0.2">
      <c r="A11" s="52" t="s">
        <v>8</v>
      </c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19"/>
      <c r="N11" s="47" t="s">
        <v>12</v>
      </c>
      <c r="O11" s="47"/>
      <c r="P11" s="47"/>
      <c r="Q11" s="47"/>
      <c r="R11" s="47"/>
      <c r="S11" s="46"/>
      <c r="T11" s="46"/>
      <c r="U11" s="47" t="s">
        <v>13</v>
      </c>
      <c r="V11" s="47"/>
      <c r="W11" s="47"/>
      <c r="X11" s="47"/>
      <c r="Y11" s="47"/>
      <c r="Z11" s="47"/>
      <c r="AA11" s="42"/>
      <c r="AB11" s="44"/>
    </row>
    <row r="12" spans="1:29" ht="6" customHeight="1" x14ac:dyDescent="0.2"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</row>
    <row r="13" spans="1:29" ht="36" customHeight="1" x14ac:dyDescent="0.2">
      <c r="A13" s="54" t="s">
        <v>36</v>
      </c>
      <c r="B13" s="55"/>
      <c r="C13" s="55"/>
      <c r="D13" s="55"/>
      <c r="E13" s="55"/>
      <c r="F13" s="25" t="s">
        <v>37</v>
      </c>
      <c r="G13" s="45" t="s">
        <v>14</v>
      </c>
      <c r="H13" s="45"/>
      <c r="I13" s="45"/>
      <c r="J13" s="56">
        <v>3.8149231115731115</v>
      </c>
      <c r="K13" s="56">
        <v>33.17347386232386</v>
      </c>
      <c r="L13" s="45" t="s">
        <v>15</v>
      </c>
      <c r="M13" s="45"/>
      <c r="N13" s="45"/>
      <c r="O13" s="42">
        <v>20</v>
      </c>
      <c r="P13" s="43"/>
      <c r="Q13" s="44"/>
      <c r="R13" s="45" t="s">
        <v>16</v>
      </c>
      <c r="S13" s="45"/>
      <c r="T13" s="45"/>
      <c r="U13" s="46">
        <v>5</v>
      </c>
      <c r="V13" s="46"/>
      <c r="W13" s="45" t="s">
        <v>17</v>
      </c>
      <c r="X13" s="45"/>
      <c r="Y13" s="45"/>
      <c r="Z13" s="45"/>
      <c r="AA13" s="46">
        <v>4</v>
      </c>
      <c r="AB13" s="46"/>
    </row>
    <row r="14" spans="1:29" ht="27" customHeight="1" x14ac:dyDescent="0.2">
      <c r="A14" s="55" t="s">
        <v>3</v>
      </c>
      <c r="B14" s="55"/>
      <c r="C14" s="55"/>
      <c r="D14" s="55"/>
      <c r="E14" s="55"/>
      <c r="F14" s="25"/>
      <c r="G14" s="45" t="s">
        <v>18</v>
      </c>
      <c r="H14" s="45"/>
      <c r="I14" s="45"/>
      <c r="J14" s="45"/>
      <c r="K14" s="45"/>
      <c r="L14" s="45"/>
      <c r="M14" s="74"/>
      <c r="N14" s="75"/>
      <c r="O14" s="75"/>
      <c r="P14" s="75"/>
      <c r="Q14" s="76"/>
      <c r="R14" s="45" t="s">
        <v>19</v>
      </c>
      <c r="S14" s="45"/>
      <c r="T14" s="45"/>
      <c r="U14" s="45"/>
      <c r="V14" s="45"/>
      <c r="W14" s="86" t="s">
        <v>57</v>
      </c>
      <c r="X14" s="86"/>
      <c r="Y14" s="86"/>
      <c r="Z14" s="86"/>
      <c r="AA14" s="86"/>
      <c r="AB14" s="86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2" t="s">
        <v>20</v>
      </c>
      <c r="B17" s="83"/>
      <c r="C17" s="83"/>
      <c r="D17" s="83"/>
      <c r="E17" s="83"/>
      <c r="F17" s="84"/>
      <c r="G17" s="77" t="s">
        <v>21</v>
      </c>
      <c r="H17" s="77"/>
      <c r="I17" s="77"/>
      <c r="J17" s="77" t="s">
        <v>23</v>
      </c>
      <c r="K17" s="77"/>
      <c r="L17" s="77"/>
      <c r="M17" s="77" t="s">
        <v>24</v>
      </c>
      <c r="N17" s="77"/>
      <c r="O17" s="77"/>
      <c r="P17" s="77" t="s">
        <v>22</v>
      </c>
      <c r="Q17" s="77"/>
      <c r="R17" s="77"/>
      <c r="S17" s="77"/>
      <c r="T17" s="77" t="s">
        <v>25</v>
      </c>
      <c r="U17" s="77"/>
      <c r="V17" s="77"/>
      <c r="W17" s="77" t="s">
        <v>26</v>
      </c>
      <c r="X17" s="77"/>
      <c r="Y17" s="77"/>
      <c r="Z17" s="77" t="s">
        <v>27</v>
      </c>
      <c r="AA17" s="77"/>
      <c r="AB17" s="77"/>
    </row>
    <row r="18" spans="1:28" ht="15" customHeight="1" x14ac:dyDescent="0.2">
      <c r="A18" s="85" t="s">
        <v>59</v>
      </c>
      <c r="B18" s="85"/>
      <c r="C18" s="85"/>
      <c r="D18" s="85"/>
      <c r="E18" s="85"/>
      <c r="F18" s="85"/>
      <c r="G18" s="16">
        <v>-5</v>
      </c>
      <c r="H18" s="16">
        <v>109</v>
      </c>
      <c r="I18" s="16"/>
      <c r="J18" s="78"/>
      <c r="K18" s="79"/>
      <c r="L18" s="80"/>
      <c r="M18" s="16"/>
      <c r="N18" s="16">
        <v>0</v>
      </c>
      <c r="O18" s="16"/>
      <c r="P18" s="81"/>
      <c r="Q18" s="81"/>
      <c r="R18" s="81"/>
      <c r="S18" s="81"/>
      <c r="T18" s="17"/>
      <c r="U18" s="16">
        <v>0</v>
      </c>
      <c r="V18" s="17"/>
      <c r="W18" s="81"/>
      <c r="X18" s="81"/>
      <c r="Y18" s="81"/>
      <c r="Z18" s="17"/>
      <c r="AA18" s="16">
        <v>0</v>
      </c>
      <c r="AB18" s="17"/>
    </row>
    <row r="19" spans="1:28" ht="15" customHeight="1" x14ac:dyDescent="0.2">
      <c r="A19" s="39" t="s">
        <v>66</v>
      </c>
      <c r="B19" s="40"/>
      <c r="C19" s="40"/>
      <c r="D19" s="40"/>
      <c r="E19" s="40"/>
      <c r="F19" s="41"/>
      <c r="G19" s="16"/>
      <c r="H19" s="16">
        <v>2</v>
      </c>
      <c r="I19" s="16"/>
      <c r="J19" s="78"/>
      <c r="K19" s="79"/>
      <c r="L19" s="80"/>
      <c r="M19" s="16"/>
      <c r="N19" s="16">
        <v>0</v>
      </c>
      <c r="O19" s="16"/>
      <c r="P19" s="81"/>
      <c r="Q19" s="81"/>
      <c r="R19" s="81"/>
      <c r="S19" s="81"/>
      <c r="T19" s="17"/>
      <c r="U19" s="16">
        <v>0</v>
      </c>
      <c r="V19" s="17"/>
      <c r="W19" s="81"/>
      <c r="X19" s="81"/>
      <c r="Y19" s="81"/>
      <c r="Z19" s="17"/>
      <c r="AA19" s="16">
        <v>0</v>
      </c>
      <c r="AB19" s="17"/>
    </row>
    <row r="20" spans="1:28" ht="15" customHeight="1" x14ac:dyDescent="0.2">
      <c r="A20" s="39" t="s">
        <v>60</v>
      </c>
      <c r="B20" s="40"/>
      <c r="C20" s="40"/>
      <c r="D20" s="40"/>
      <c r="E20" s="40"/>
      <c r="F20" s="41"/>
      <c r="G20" s="16"/>
      <c r="H20" s="32">
        <v>31</v>
      </c>
      <c r="I20" s="16"/>
      <c r="J20" s="78"/>
      <c r="K20" s="79"/>
      <c r="L20" s="80"/>
      <c r="M20" s="16"/>
      <c r="N20" s="16">
        <v>0</v>
      </c>
      <c r="O20" s="16"/>
      <c r="P20" s="81"/>
      <c r="Q20" s="81"/>
      <c r="R20" s="81"/>
      <c r="S20" s="81"/>
      <c r="T20" s="17"/>
      <c r="U20" s="16">
        <v>0</v>
      </c>
      <c r="V20" s="17"/>
      <c r="W20" s="81"/>
      <c r="X20" s="81"/>
      <c r="Y20" s="81"/>
      <c r="Z20" s="18"/>
      <c r="AA20" s="16">
        <v>0</v>
      </c>
      <c r="AB20" s="17"/>
    </row>
    <row r="21" spans="1:28" ht="15" customHeight="1" x14ac:dyDescent="0.2">
      <c r="A21" s="39" t="s">
        <v>61</v>
      </c>
      <c r="B21" s="40"/>
      <c r="C21" s="40"/>
      <c r="D21" s="40"/>
      <c r="E21" s="40"/>
      <c r="F21" s="41"/>
      <c r="G21" s="16"/>
      <c r="H21" s="16">
        <v>159</v>
      </c>
      <c r="I21" s="16"/>
      <c r="J21" s="78"/>
      <c r="K21" s="79"/>
      <c r="L21" s="80"/>
      <c r="M21" s="16"/>
      <c r="N21" s="16">
        <v>0</v>
      </c>
      <c r="O21" s="16"/>
      <c r="P21" s="81"/>
      <c r="Q21" s="81"/>
      <c r="R21" s="81"/>
      <c r="S21" s="81"/>
      <c r="T21" s="17"/>
      <c r="U21" s="16">
        <v>0</v>
      </c>
      <c r="V21" s="17"/>
      <c r="W21" s="87"/>
      <c r="X21" s="87"/>
      <c r="Y21" s="87"/>
      <c r="Z21" s="17"/>
      <c r="AA21" s="16">
        <v>0</v>
      </c>
      <c r="AB21" s="17"/>
    </row>
    <row r="22" spans="1:28" ht="15" customHeight="1" x14ac:dyDescent="0.2">
      <c r="A22" s="39" t="s">
        <v>70</v>
      </c>
      <c r="B22" s="40"/>
      <c r="C22" s="40"/>
      <c r="D22" s="40"/>
      <c r="E22" s="40"/>
      <c r="F22" s="41"/>
      <c r="G22" s="32" t="s">
        <v>58</v>
      </c>
      <c r="H22" s="16">
        <v>1</v>
      </c>
      <c r="I22" s="16"/>
      <c r="J22" s="78"/>
      <c r="K22" s="79"/>
      <c r="L22" s="80"/>
      <c r="M22" s="16"/>
      <c r="N22" s="16">
        <v>0</v>
      </c>
      <c r="O22" s="16"/>
      <c r="P22" s="81"/>
      <c r="Q22" s="81"/>
      <c r="R22" s="81"/>
      <c r="S22" s="81"/>
      <c r="T22" s="17"/>
      <c r="U22" s="32">
        <v>0</v>
      </c>
      <c r="V22" s="17"/>
      <c r="W22" s="87"/>
      <c r="X22" s="87"/>
      <c r="Y22" s="87"/>
      <c r="Z22" s="17"/>
      <c r="AA22" s="16">
        <v>0</v>
      </c>
      <c r="AB22" s="17"/>
    </row>
    <row r="23" spans="1:28" ht="15" customHeight="1" x14ac:dyDescent="0.2">
      <c r="A23" s="39" t="s">
        <v>65</v>
      </c>
      <c r="B23" s="40"/>
      <c r="C23" s="40"/>
      <c r="D23" s="40"/>
      <c r="E23" s="40"/>
      <c r="F23" s="41"/>
      <c r="G23" s="16"/>
      <c r="H23" s="16">
        <v>1</v>
      </c>
      <c r="I23" s="16"/>
      <c r="J23" s="78"/>
      <c r="K23" s="79"/>
      <c r="L23" s="80"/>
      <c r="M23" s="16"/>
      <c r="N23" s="16">
        <v>0</v>
      </c>
      <c r="O23" s="16"/>
      <c r="P23" s="88"/>
      <c r="Q23" s="88"/>
      <c r="R23" s="88"/>
      <c r="S23" s="88"/>
      <c r="T23" s="17"/>
      <c r="U23" s="16">
        <v>0</v>
      </c>
      <c r="V23" s="17"/>
      <c r="W23" s="87"/>
      <c r="X23" s="87"/>
      <c r="Y23" s="87"/>
      <c r="Z23" s="17"/>
      <c r="AA23" s="16">
        <v>0</v>
      </c>
      <c r="AB23" s="17"/>
    </row>
    <row r="24" spans="1:28" ht="15" customHeight="1" x14ac:dyDescent="0.2">
      <c r="A24" s="39" t="s">
        <v>69</v>
      </c>
      <c r="B24" s="40"/>
      <c r="C24" s="40"/>
      <c r="D24" s="40"/>
      <c r="E24" s="40"/>
      <c r="F24" s="41"/>
      <c r="G24" s="16"/>
      <c r="H24" s="16">
        <v>25</v>
      </c>
      <c r="I24" s="16"/>
      <c r="J24" s="78"/>
      <c r="K24" s="79"/>
      <c r="L24" s="80"/>
      <c r="M24" s="16"/>
      <c r="N24" s="16">
        <v>0</v>
      </c>
      <c r="O24" s="16"/>
      <c r="P24" s="88"/>
      <c r="Q24" s="88"/>
      <c r="R24" s="88"/>
      <c r="S24" s="88"/>
      <c r="T24" s="17"/>
      <c r="U24" s="16">
        <v>0</v>
      </c>
      <c r="V24" s="17"/>
      <c r="W24" s="87"/>
      <c r="X24" s="87"/>
      <c r="Y24" s="87"/>
      <c r="Z24" s="17"/>
      <c r="AA24" s="16">
        <v>0</v>
      </c>
      <c r="AB24" s="17"/>
    </row>
    <row r="25" spans="1:28" ht="15" customHeight="1" x14ac:dyDescent="0.2">
      <c r="A25" s="39" t="s">
        <v>64</v>
      </c>
      <c r="B25" s="40"/>
      <c r="C25" s="40"/>
      <c r="D25" s="40"/>
      <c r="E25" s="40"/>
      <c r="F25" s="41"/>
      <c r="G25" s="16"/>
      <c r="H25" s="16">
        <v>2</v>
      </c>
      <c r="I25" s="16"/>
      <c r="J25" s="89"/>
      <c r="K25" s="90"/>
      <c r="L25" s="91"/>
      <c r="M25" s="16"/>
      <c r="N25" s="16">
        <v>0</v>
      </c>
      <c r="O25" s="16"/>
      <c r="P25" s="88"/>
      <c r="Q25" s="88"/>
      <c r="R25" s="88"/>
      <c r="S25" s="88"/>
      <c r="T25" s="17"/>
      <c r="U25" s="16">
        <v>0</v>
      </c>
      <c r="V25" s="17"/>
      <c r="W25" s="87"/>
      <c r="X25" s="87"/>
      <c r="Y25" s="87"/>
      <c r="Z25" s="17"/>
      <c r="AA25" s="16">
        <v>0</v>
      </c>
      <c r="AB25" s="17"/>
    </row>
    <row r="26" spans="1:28" ht="15" customHeight="1" x14ac:dyDescent="0.2">
      <c r="A26" s="39" t="s">
        <v>62</v>
      </c>
      <c r="B26" s="40"/>
      <c r="C26" s="40"/>
      <c r="D26" s="40"/>
      <c r="E26" s="40"/>
      <c r="F26" s="41"/>
      <c r="G26" s="16"/>
      <c r="H26" s="16">
        <v>20</v>
      </c>
      <c r="I26" s="16"/>
      <c r="J26" s="89"/>
      <c r="K26" s="90"/>
      <c r="L26" s="91"/>
      <c r="M26" s="16"/>
      <c r="N26" s="16">
        <v>0</v>
      </c>
      <c r="O26" s="16"/>
      <c r="P26" s="88"/>
      <c r="Q26" s="88"/>
      <c r="R26" s="88"/>
      <c r="S26" s="88"/>
      <c r="T26" s="17"/>
      <c r="U26" s="16">
        <v>0</v>
      </c>
      <c r="V26" s="17"/>
      <c r="W26" s="87"/>
      <c r="X26" s="87"/>
      <c r="Y26" s="87"/>
      <c r="Z26" s="17"/>
      <c r="AA26" s="16">
        <v>0</v>
      </c>
      <c r="AB26" s="17"/>
    </row>
    <row r="27" spans="1:28" ht="15" customHeight="1" x14ac:dyDescent="0.2">
      <c r="A27" s="39" t="s">
        <v>63</v>
      </c>
      <c r="B27" s="40"/>
      <c r="C27" s="40"/>
      <c r="D27" s="40"/>
      <c r="E27" s="40"/>
      <c r="F27" s="41"/>
      <c r="G27" s="16"/>
      <c r="H27" s="16">
        <v>9</v>
      </c>
      <c r="I27" s="16"/>
      <c r="J27" s="78"/>
      <c r="K27" s="79"/>
      <c r="L27" s="80"/>
      <c r="M27" s="16"/>
      <c r="N27" s="16">
        <v>0</v>
      </c>
      <c r="O27" s="16"/>
      <c r="P27" s="88"/>
      <c r="Q27" s="88"/>
      <c r="R27" s="88"/>
      <c r="S27" s="88"/>
      <c r="T27" s="17"/>
      <c r="U27" s="16">
        <v>0</v>
      </c>
      <c r="V27" s="17"/>
      <c r="W27" s="87"/>
      <c r="X27" s="87"/>
      <c r="Y27" s="87"/>
      <c r="Z27" s="17"/>
      <c r="AA27" s="16">
        <v>0</v>
      </c>
      <c r="AB27" s="17"/>
    </row>
    <row r="28" spans="1:28" ht="15" customHeight="1" x14ac:dyDescent="0.2">
      <c r="A28" s="39" t="s">
        <v>67</v>
      </c>
      <c r="B28" s="40"/>
      <c r="C28" s="40"/>
      <c r="D28" s="40"/>
      <c r="E28" s="40"/>
      <c r="F28" s="41"/>
      <c r="G28" s="16"/>
      <c r="H28" s="16">
        <v>25</v>
      </c>
      <c r="I28" s="16"/>
      <c r="J28" s="78"/>
      <c r="K28" s="79"/>
      <c r="L28" s="80"/>
      <c r="M28" s="16"/>
      <c r="N28" s="16">
        <v>0</v>
      </c>
      <c r="O28" s="16"/>
      <c r="P28" s="88"/>
      <c r="Q28" s="88"/>
      <c r="R28" s="88"/>
      <c r="S28" s="88"/>
      <c r="T28" s="17"/>
      <c r="U28" s="16">
        <v>0</v>
      </c>
      <c r="V28" s="17"/>
      <c r="W28" s="87"/>
      <c r="X28" s="87"/>
      <c r="Y28" s="87"/>
      <c r="Z28" s="17"/>
      <c r="AA28" s="16">
        <v>0</v>
      </c>
      <c r="AB28" s="17"/>
    </row>
    <row r="29" spans="1:28" ht="15" customHeight="1" x14ac:dyDescent="0.2">
      <c r="A29" s="39" t="s">
        <v>71</v>
      </c>
      <c r="B29" s="40"/>
      <c r="C29" s="40"/>
      <c r="D29" s="40"/>
      <c r="E29" s="40"/>
      <c r="F29" s="41"/>
      <c r="G29" s="16"/>
      <c r="H29" s="16">
        <v>2</v>
      </c>
      <c r="I29" s="16"/>
      <c r="J29" s="78"/>
      <c r="K29" s="79"/>
      <c r="L29" s="80"/>
      <c r="M29" s="16"/>
      <c r="N29" s="16">
        <v>0</v>
      </c>
      <c r="O29" s="16"/>
      <c r="P29" s="88"/>
      <c r="Q29" s="88"/>
      <c r="R29" s="88"/>
      <c r="S29" s="88"/>
      <c r="T29" s="17"/>
      <c r="U29" s="16">
        <v>0</v>
      </c>
      <c r="V29" s="17"/>
      <c r="W29" s="87"/>
      <c r="X29" s="87"/>
      <c r="Y29" s="87"/>
      <c r="Z29" s="17"/>
      <c r="AA29" s="16">
        <v>0</v>
      </c>
      <c r="AB29" s="17"/>
    </row>
    <row r="30" spans="1:28" ht="15" customHeight="1" x14ac:dyDescent="0.2">
      <c r="A30" s="39" t="s">
        <v>72</v>
      </c>
      <c r="B30" s="40"/>
      <c r="C30" s="40"/>
      <c r="D30" s="40"/>
      <c r="E30" s="40"/>
      <c r="F30" s="41"/>
      <c r="G30" s="16"/>
      <c r="H30" s="16">
        <v>1</v>
      </c>
      <c r="I30" s="16"/>
      <c r="J30" s="78"/>
      <c r="K30" s="79"/>
      <c r="L30" s="80"/>
      <c r="M30" s="16"/>
      <c r="N30" s="16">
        <v>0</v>
      </c>
      <c r="O30" s="16"/>
      <c r="P30" s="81"/>
      <c r="Q30" s="81"/>
      <c r="R30" s="81"/>
      <c r="S30" s="81"/>
      <c r="T30" s="17"/>
      <c r="U30" s="16">
        <v>0</v>
      </c>
      <c r="V30" s="17"/>
      <c r="W30" s="87"/>
      <c r="X30" s="87"/>
      <c r="Y30" s="87"/>
      <c r="Z30" s="17"/>
      <c r="AA30" s="16">
        <v>0</v>
      </c>
      <c r="AB30" s="17"/>
    </row>
    <row r="31" spans="1:28" ht="15" customHeight="1" x14ac:dyDescent="0.2">
      <c r="A31" s="85"/>
      <c r="B31" s="85"/>
      <c r="C31" s="85"/>
      <c r="D31" s="85"/>
      <c r="E31" s="85"/>
      <c r="F31" s="85"/>
      <c r="G31" s="16"/>
      <c r="H31" s="16">
        <v>0</v>
      </c>
      <c r="I31" s="16"/>
      <c r="J31" s="78"/>
      <c r="K31" s="79"/>
      <c r="L31" s="80"/>
      <c r="M31" s="16"/>
      <c r="N31" s="16">
        <v>0</v>
      </c>
      <c r="O31" s="16"/>
      <c r="P31" s="81"/>
      <c r="Q31" s="81"/>
      <c r="R31" s="81"/>
      <c r="S31" s="81"/>
      <c r="T31" s="17"/>
      <c r="U31" s="16">
        <v>0</v>
      </c>
      <c r="V31" s="17"/>
      <c r="W31" s="87"/>
      <c r="X31" s="87"/>
      <c r="Y31" s="87"/>
      <c r="Z31" s="17"/>
      <c r="AA31" s="16">
        <v>0</v>
      </c>
      <c r="AB31" s="17"/>
    </row>
    <row r="32" spans="1:28" ht="15" customHeight="1" x14ac:dyDescent="0.2">
      <c r="A32" s="85"/>
      <c r="B32" s="85"/>
      <c r="C32" s="85"/>
      <c r="D32" s="85"/>
      <c r="E32" s="85"/>
      <c r="F32" s="85"/>
      <c r="G32" s="16"/>
      <c r="H32" s="16">
        <v>0</v>
      </c>
      <c r="I32" s="16"/>
      <c r="J32" s="78"/>
      <c r="K32" s="79"/>
      <c r="L32" s="80"/>
      <c r="M32" s="16"/>
      <c r="N32" s="16">
        <v>0</v>
      </c>
      <c r="O32" s="16"/>
      <c r="P32" s="81"/>
      <c r="Q32" s="81"/>
      <c r="R32" s="81"/>
      <c r="S32" s="81"/>
      <c r="T32" s="17"/>
      <c r="U32" s="16">
        <v>0</v>
      </c>
      <c r="V32" s="17"/>
      <c r="W32" s="87"/>
      <c r="X32" s="87"/>
      <c r="Y32" s="87"/>
      <c r="Z32" s="17"/>
      <c r="AA32" s="16">
        <v>0</v>
      </c>
      <c r="AB32" s="17"/>
    </row>
    <row r="33" spans="1:28" ht="15" customHeight="1" x14ac:dyDescent="0.2">
      <c r="A33" s="39"/>
      <c r="B33" s="40"/>
      <c r="C33" s="40"/>
      <c r="D33" s="40"/>
      <c r="E33" s="40"/>
      <c r="F33" s="41"/>
      <c r="G33" s="16"/>
      <c r="H33" s="16">
        <v>0</v>
      </c>
      <c r="I33" s="16"/>
      <c r="J33" s="78"/>
      <c r="K33" s="79"/>
      <c r="L33" s="80"/>
      <c r="M33" s="16"/>
      <c r="N33" s="16">
        <v>0</v>
      </c>
      <c r="O33" s="16"/>
      <c r="P33" s="81"/>
      <c r="Q33" s="81"/>
      <c r="R33" s="81"/>
      <c r="S33" s="81"/>
      <c r="T33" s="17"/>
      <c r="U33" s="16">
        <v>0</v>
      </c>
      <c r="V33" s="17"/>
      <c r="W33" s="87"/>
      <c r="X33" s="87"/>
      <c r="Y33" s="87"/>
      <c r="Z33" s="17"/>
      <c r="AA33" s="16">
        <v>0</v>
      </c>
      <c r="AB33" s="17"/>
    </row>
    <row r="34" spans="1:28" ht="15" customHeight="1" x14ac:dyDescent="0.2">
      <c r="A34" s="39"/>
      <c r="B34" s="40"/>
      <c r="C34" s="40"/>
      <c r="D34" s="40"/>
      <c r="E34" s="40"/>
      <c r="F34" s="41"/>
      <c r="G34" s="16"/>
      <c r="H34" s="16">
        <v>0</v>
      </c>
      <c r="I34" s="16"/>
      <c r="J34" s="78"/>
      <c r="K34" s="79"/>
      <c r="L34" s="80"/>
      <c r="M34" s="16"/>
      <c r="N34" s="16">
        <v>0</v>
      </c>
      <c r="O34" s="16"/>
      <c r="P34" s="81"/>
      <c r="Q34" s="81"/>
      <c r="R34" s="81"/>
      <c r="S34" s="81"/>
      <c r="T34" s="17"/>
      <c r="U34" s="16">
        <v>0</v>
      </c>
      <c r="V34" s="17"/>
      <c r="W34" s="87"/>
      <c r="X34" s="87"/>
      <c r="Y34" s="87"/>
      <c r="Z34" s="17"/>
      <c r="AA34" s="16">
        <v>0</v>
      </c>
      <c r="AB34" s="17"/>
    </row>
    <row r="35" spans="1:28" ht="15" customHeight="1" x14ac:dyDescent="0.2">
      <c r="A35" s="39"/>
      <c r="B35" s="40"/>
      <c r="C35" s="40"/>
      <c r="D35" s="40"/>
      <c r="E35" s="40"/>
      <c r="F35" s="41"/>
      <c r="G35" s="16"/>
      <c r="H35" s="16">
        <v>0</v>
      </c>
      <c r="I35" s="16"/>
      <c r="J35" s="78"/>
      <c r="K35" s="79"/>
      <c r="L35" s="80"/>
      <c r="M35" s="16"/>
      <c r="N35" s="16">
        <v>0</v>
      </c>
      <c r="O35" s="16"/>
      <c r="P35" s="81"/>
      <c r="Q35" s="81"/>
      <c r="R35" s="81"/>
      <c r="S35" s="81"/>
      <c r="T35" s="17"/>
      <c r="U35" s="16">
        <v>0</v>
      </c>
      <c r="V35" s="17"/>
      <c r="W35" s="87"/>
      <c r="X35" s="87"/>
      <c r="Y35" s="87"/>
      <c r="Z35" s="17"/>
      <c r="AA35" s="16">
        <v>0</v>
      </c>
      <c r="AB35" s="17"/>
    </row>
    <row r="36" spans="1:28" ht="15" customHeight="1" x14ac:dyDescent="0.2">
      <c r="A36" s="101"/>
      <c r="B36" s="102"/>
      <c r="C36" s="102"/>
      <c r="D36" s="102"/>
      <c r="E36" s="102"/>
      <c r="F36" s="103"/>
      <c r="G36" s="16"/>
      <c r="H36" s="16">
        <v>0</v>
      </c>
      <c r="I36" s="16"/>
      <c r="J36" s="78"/>
      <c r="K36" s="79"/>
      <c r="L36" s="80"/>
      <c r="M36" s="16"/>
      <c r="N36" s="16">
        <v>0</v>
      </c>
      <c r="O36" s="16"/>
      <c r="P36" s="81"/>
      <c r="Q36" s="81"/>
      <c r="R36" s="81"/>
      <c r="S36" s="81"/>
      <c r="T36" s="17"/>
      <c r="U36" s="16">
        <v>0</v>
      </c>
      <c r="V36" s="17"/>
      <c r="W36" s="87"/>
      <c r="X36" s="87"/>
      <c r="Y36" s="87"/>
      <c r="Z36" s="17"/>
      <c r="AA36" s="16">
        <v>0</v>
      </c>
      <c r="AB36" s="17"/>
    </row>
    <row r="37" spans="1:28" ht="15" customHeight="1" x14ac:dyDescent="0.2">
      <c r="A37" s="39"/>
      <c r="B37" s="40"/>
      <c r="C37" s="40"/>
      <c r="D37" s="40"/>
      <c r="E37" s="40"/>
      <c r="F37" s="41"/>
      <c r="G37" s="16"/>
      <c r="H37" s="16">
        <v>0</v>
      </c>
      <c r="I37" s="16"/>
      <c r="J37" s="78"/>
      <c r="K37" s="79"/>
      <c r="L37" s="80"/>
      <c r="M37" s="16"/>
      <c r="N37" s="16">
        <v>0</v>
      </c>
      <c r="O37" s="16"/>
      <c r="P37" s="81"/>
      <c r="Q37" s="81"/>
      <c r="R37" s="81"/>
      <c r="S37" s="81"/>
      <c r="T37" s="17"/>
      <c r="U37" s="16">
        <v>0</v>
      </c>
      <c r="V37" s="17"/>
      <c r="W37" s="100"/>
      <c r="X37" s="87"/>
      <c r="Y37" s="87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04" t="s">
        <v>28</v>
      </c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W39" s="54" t="s">
        <v>34</v>
      </c>
      <c r="X39" s="54"/>
      <c r="Y39" s="54"/>
      <c r="Z39" s="54"/>
      <c r="AA39" s="54"/>
      <c r="AB39" s="54"/>
    </row>
    <row r="40" spans="1:28" ht="22.5" customHeight="1" x14ac:dyDescent="0.2">
      <c r="A40" s="105"/>
      <c r="B40" s="106"/>
      <c r="C40" s="106"/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7"/>
      <c r="W40" s="92"/>
      <c r="X40" s="93"/>
      <c r="Y40" s="93"/>
      <c r="Z40" s="93"/>
      <c r="AA40" s="93"/>
      <c r="AB40" s="94"/>
    </row>
    <row r="41" spans="1:28" ht="26.25" customHeight="1" x14ac:dyDescent="0.2">
      <c r="A41" s="108"/>
      <c r="B41" s="10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10"/>
      <c r="V41" s="96"/>
      <c r="W41" s="95" t="s">
        <v>29</v>
      </c>
      <c r="X41" s="54"/>
      <c r="Y41" s="54"/>
      <c r="Z41" s="54"/>
      <c r="AA41" s="54"/>
      <c r="AB41" s="54"/>
    </row>
    <row r="42" spans="1:28" ht="22.5" customHeight="1" x14ac:dyDescent="0.2">
      <c r="A42" s="108"/>
      <c r="B42" s="10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10"/>
      <c r="V42" s="96"/>
      <c r="W42" s="97"/>
      <c r="X42" s="98"/>
      <c r="Y42" s="98"/>
      <c r="Z42" s="98"/>
      <c r="AA42" s="98"/>
      <c r="AB42" s="99"/>
    </row>
  </sheetData>
  <sheetProtection formatCells="0" insertRows="0" deleteRows="0" selectLockedCells="1" sort="0"/>
  <mergeCells count="144"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1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2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3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4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5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6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7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8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9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10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11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2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3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4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5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6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7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8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9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20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21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22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3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4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5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6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7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8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9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30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31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32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33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4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5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6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7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8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9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40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41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42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43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44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5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6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7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8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9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50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51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2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53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4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5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6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7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58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9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6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61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62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3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64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65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D9A86-0CCA-453C-8178-3E5474E0F970}">
  <sheetPr codeName="Hoja5"/>
  <dimension ref="A1:AC42"/>
  <sheetViews>
    <sheetView showGridLines="0" view="pageBreakPreview" topLeftCell="A7" zoomScaleNormal="100" zoomScaleSheetLayoutView="110" workbookViewId="0">
      <selection activeCell="A19" sqref="A19:F1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7"/>
      <c r="B1" s="37"/>
      <c r="I1" s="63" t="s">
        <v>33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3"/>
    </row>
    <row r="2" spans="1:29" ht="37.5" customHeight="1" x14ac:dyDescent="0.2">
      <c r="A2" s="57"/>
      <c r="B2" s="37"/>
      <c r="I2" s="58" t="s">
        <v>32</v>
      </c>
      <c r="J2" s="59"/>
      <c r="K2" s="59"/>
      <c r="L2" s="59"/>
      <c r="M2" s="59"/>
      <c r="N2" s="59"/>
      <c r="O2" s="59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62" t="s">
        <v>1</v>
      </c>
      <c r="B4" s="62"/>
      <c r="C4" s="62"/>
      <c r="D4" s="62"/>
      <c r="E4" s="62"/>
      <c r="F4" s="65"/>
      <c r="G4" s="60" t="s">
        <v>56</v>
      </c>
      <c r="H4" s="60"/>
      <c r="I4" s="60"/>
      <c r="J4" s="60"/>
      <c r="K4" s="60"/>
      <c r="L4" s="60"/>
      <c r="M4" s="60"/>
      <c r="N4" s="61" t="s">
        <v>11</v>
      </c>
      <c r="O4" s="61"/>
      <c r="P4" s="61"/>
      <c r="Q4" s="61"/>
      <c r="R4" s="61"/>
      <c r="S4" s="61"/>
      <c r="T4" s="61"/>
      <c r="U4" s="42" t="s">
        <v>55</v>
      </c>
      <c r="V4" s="43"/>
      <c r="W4" s="43"/>
      <c r="X4" s="43"/>
      <c r="Y4" s="43"/>
      <c r="Z4" s="43"/>
      <c r="AA4" s="43"/>
      <c r="AB4" s="44"/>
      <c r="AC4" s="3"/>
    </row>
    <row r="5" spans="1:29" ht="24" customHeight="1" x14ac:dyDescent="0.2">
      <c r="A5" s="62" t="s">
        <v>5</v>
      </c>
      <c r="B5" s="62"/>
      <c r="C5" s="62"/>
      <c r="D5" s="62"/>
      <c r="E5" s="62"/>
      <c r="F5" s="65"/>
      <c r="G5" s="46" t="s">
        <v>38</v>
      </c>
      <c r="H5" s="46"/>
      <c r="I5" s="46"/>
      <c r="J5" s="46"/>
      <c r="K5" s="46"/>
      <c r="L5" s="46"/>
      <c r="M5" s="46"/>
      <c r="N5" s="62" t="s">
        <v>9</v>
      </c>
      <c r="O5" s="62"/>
      <c r="P5" s="62"/>
      <c r="Q5" s="62"/>
      <c r="R5" s="62"/>
      <c r="S5" s="62"/>
      <c r="T5" s="62"/>
      <c r="U5" s="49">
        <f>'Densidad de Grupos'!U5</f>
        <v>44474</v>
      </c>
      <c r="V5" s="50"/>
      <c r="W5" s="51"/>
      <c r="X5" s="24" t="s">
        <v>30</v>
      </c>
      <c r="Y5" s="68">
        <f>'Densidad de Grupos'!Y5</f>
        <v>0.58333333333333337</v>
      </c>
      <c r="Z5" s="69"/>
      <c r="AA5" s="69"/>
      <c r="AB5" s="69"/>
    </row>
    <row r="6" spans="1:29" ht="24" customHeight="1" x14ac:dyDescent="0.2">
      <c r="A6" s="66" t="s">
        <v>7</v>
      </c>
      <c r="B6" s="66"/>
      <c r="C6" s="66"/>
      <c r="D6" s="66"/>
      <c r="E6" s="66"/>
      <c r="F6" s="67"/>
      <c r="G6" s="46" t="s">
        <v>41</v>
      </c>
      <c r="H6" s="46"/>
      <c r="I6" s="46"/>
      <c r="J6" s="46"/>
      <c r="K6" s="46"/>
      <c r="L6" s="46"/>
      <c r="M6" s="46"/>
      <c r="N6" s="70" t="s">
        <v>0</v>
      </c>
      <c r="O6" s="70"/>
      <c r="P6" s="70"/>
      <c r="Q6" s="70"/>
      <c r="R6" s="70"/>
      <c r="S6" s="70"/>
      <c r="T6" s="70"/>
      <c r="U6" s="49">
        <f>'Densidad de Grupos'!U6</f>
        <v>44474</v>
      </c>
      <c r="V6" s="50"/>
      <c r="W6" s="51"/>
      <c r="X6" s="24" t="s">
        <v>30</v>
      </c>
      <c r="Y6" s="68">
        <f>'Densidad de Grupos'!Y6</f>
        <v>0.66666666666666663</v>
      </c>
      <c r="Z6" s="69"/>
      <c r="AA6" s="69"/>
      <c r="AB6" s="69"/>
    </row>
    <row r="7" spans="1:29" ht="24" customHeight="1" x14ac:dyDescent="0.2">
      <c r="A7" s="62" t="s">
        <v>10</v>
      </c>
      <c r="B7" s="62"/>
      <c r="C7" s="62"/>
      <c r="D7" s="62"/>
      <c r="E7" s="62"/>
      <c r="F7" s="65"/>
      <c r="G7" s="46" t="s">
        <v>42</v>
      </c>
      <c r="H7" s="46"/>
      <c r="I7" s="46"/>
      <c r="J7" s="46"/>
      <c r="K7" s="46"/>
      <c r="L7" s="46"/>
      <c r="M7" s="46"/>
      <c r="N7" s="47" t="s">
        <v>35</v>
      </c>
      <c r="O7" s="47"/>
      <c r="P7" s="47"/>
      <c r="Q7" s="47"/>
      <c r="R7" s="47"/>
      <c r="S7" s="47"/>
      <c r="T7" s="47"/>
      <c r="U7" s="73" t="s">
        <v>40</v>
      </c>
      <c r="V7" s="73"/>
      <c r="W7" s="73"/>
      <c r="X7" s="73"/>
      <c r="Y7" s="73"/>
      <c r="Z7" s="73"/>
      <c r="AA7" s="73"/>
      <c r="AB7" s="73"/>
    </row>
    <row r="8" spans="1:29" ht="24" customHeight="1" x14ac:dyDescent="0.2">
      <c r="A8" s="66" t="s">
        <v>2</v>
      </c>
      <c r="B8" s="66"/>
      <c r="C8" s="66"/>
      <c r="D8" s="66"/>
      <c r="E8" s="66"/>
      <c r="F8" s="67"/>
      <c r="G8" s="46">
        <v>20065667</v>
      </c>
      <c r="H8" s="46"/>
      <c r="I8" s="46"/>
      <c r="J8" s="46"/>
      <c r="K8" s="46"/>
      <c r="L8" s="46"/>
      <c r="M8" s="46"/>
      <c r="N8" s="47" t="s">
        <v>4</v>
      </c>
      <c r="O8" s="47"/>
      <c r="P8" s="47"/>
      <c r="Q8" s="47"/>
      <c r="R8" s="47"/>
      <c r="S8" s="47"/>
      <c r="T8" s="47"/>
      <c r="U8" s="48" t="s">
        <v>39</v>
      </c>
      <c r="V8" s="48"/>
      <c r="W8" s="48"/>
      <c r="X8" s="48"/>
      <c r="Y8" s="48"/>
      <c r="Z8" s="48"/>
      <c r="AA8" s="48"/>
      <c r="AB8" s="48"/>
    </row>
    <row r="9" spans="1:29" ht="24" customHeight="1" x14ac:dyDescent="0.2">
      <c r="A9" s="66" t="s">
        <v>6</v>
      </c>
      <c r="B9" s="66"/>
      <c r="C9" s="66"/>
      <c r="D9" s="66"/>
      <c r="E9" s="66"/>
      <c r="F9" s="67"/>
      <c r="G9" s="71" t="s">
        <v>43</v>
      </c>
      <c r="H9" s="71"/>
      <c r="I9" s="71"/>
      <c r="J9" s="71"/>
      <c r="K9" s="71"/>
      <c r="L9" s="71"/>
      <c r="M9" s="71"/>
      <c r="N9" s="47" t="s">
        <v>31</v>
      </c>
      <c r="O9" s="47"/>
      <c r="P9" s="47"/>
      <c r="Q9" s="47"/>
      <c r="R9" s="47"/>
      <c r="S9" s="47"/>
      <c r="T9" s="47"/>
      <c r="U9" s="72" t="str">
        <f>'Densidad de Grupos'!U9</f>
        <v>SP-21-0214</v>
      </c>
      <c r="V9" s="72"/>
      <c r="W9" s="72"/>
      <c r="X9" s="72"/>
      <c r="Y9" s="72"/>
      <c r="Z9" s="72"/>
      <c r="AA9" s="72"/>
      <c r="AB9" s="72"/>
    </row>
    <row r="10" spans="1:29" ht="6" customHeight="1" x14ac:dyDescent="0.2">
      <c r="U10" s="8"/>
      <c r="V10" s="8"/>
      <c r="W10" s="8"/>
    </row>
    <row r="11" spans="1:29" ht="23.25" customHeight="1" x14ac:dyDescent="0.2">
      <c r="A11" s="52" t="s">
        <v>8</v>
      </c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19"/>
      <c r="N11" s="47" t="s">
        <v>12</v>
      </c>
      <c r="O11" s="47"/>
      <c r="P11" s="47"/>
      <c r="Q11" s="47"/>
      <c r="R11" s="47"/>
      <c r="S11" s="46"/>
      <c r="T11" s="46"/>
      <c r="U11" s="47" t="s">
        <v>13</v>
      </c>
      <c r="V11" s="47"/>
      <c r="W11" s="47"/>
      <c r="X11" s="47"/>
      <c r="Y11" s="47"/>
      <c r="Z11" s="47"/>
      <c r="AA11" s="42"/>
      <c r="AB11" s="44"/>
    </row>
    <row r="12" spans="1:29" ht="6" customHeight="1" x14ac:dyDescent="0.2"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</row>
    <row r="13" spans="1:29" ht="36" customHeight="1" x14ac:dyDescent="0.2">
      <c r="A13" s="54" t="s">
        <v>36</v>
      </c>
      <c r="B13" s="55"/>
      <c r="C13" s="55"/>
      <c r="D13" s="55"/>
      <c r="E13" s="55"/>
      <c r="F13" s="38" t="s">
        <v>37</v>
      </c>
      <c r="G13" s="45" t="s">
        <v>14</v>
      </c>
      <c r="H13" s="45"/>
      <c r="I13" s="45"/>
      <c r="J13" s="111">
        <f>'Densidad de Grupos'!J13</f>
        <v>3.8149231115731115</v>
      </c>
      <c r="K13" s="111"/>
      <c r="L13" s="45" t="s">
        <v>15</v>
      </c>
      <c r="M13" s="45"/>
      <c r="N13" s="45"/>
      <c r="O13" s="42" t="s">
        <v>44</v>
      </c>
      <c r="P13" s="43"/>
      <c r="Q13" s="44"/>
      <c r="R13" s="45" t="s">
        <v>16</v>
      </c>
      <c r="S13" s="45"/>
      <c r="T13" s="45"/>
      <c r="U13" s="46" t="s">
        <v>44</v>
      </c>
      <c r="V13" s="46"/>
      <c r="W13" s="45" t="s">
        <v>17</v>
      </c>
      <c r="X13" s="45"/>
      <c r="Y13" s="45"/>
      <c r="Z13" s="45"/>
      <c r="AA13" s="46" t="s">
        <v>44</v>
      </c>
      <c r="AB13" s="46"/>
    </row>
    <row r="14" spans="1:29" ht="27" customHeight="1" x14ac:dyDescent="0.2">
      <c r="A14" s="55" t="s">
        <v>3</v>
      </c>
      <c r="B14" s="55"/>
      <c r="C14" s="55"/>
      <c r="D14" s="55"/>
      <c r="E14" s="55"/>
      <c r="F14" s="38"/>
      <c r="G14" s="45" t="s">
        <v>18</v>
      </c>
      <c r="H14" s="45"/>
      <c r="I14" s="45"/>
      <c r="J14" s="45"/>
      <c r="K14" s="45"/>
      <c r="L14" s="45"/>
      <c r="M14" s="74"/>
      <c r="N14" s="75"/>
      <c r="O14" s="75"/>
      <c r="P14" s="75"/>
      <c r="Q14" s="76"/>
      <c r="R14" s="45" t="s">
        <v>19</v>
      </c>
      <c r="S14" s="45"/>
      <c r="T14" s="45"/>
      <c r="U14" s="45"/>
      <c r="V14" s="45"/>
      <c r="W14" s="86"/>
      <c r="X14" s="86"/>
      <c r="Y14" s="86"/>
      <c r="Z14" s="86"/>
      <c r="AA14" s="86"/>
      <c r="AB14" s="86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2" t="s">
        <v>20</v>
      </c>
      <c r="B17" s="83"/>
      <c r="C17" s="83"/>
      <c r="D17" s="83"/>
      <c r="E17" s="83"/>
      <c r="F17" s="84"/>
      <c r="G17" s="77" t="s">
        <v>21</v>
      </c>
      <c r="H17" s="77"/>
      <c r="I17" s="77"/>
      <c r="J17" s="77" t="s">
        <v>23</v>
      </c>
      <c r="K17" s="77"/>
      <c r="L17" s="77"/>
      <c r="M17" s="77" t="s">
        <v>24</v>
      </c>
      <c r="N17" s="77"/>
      <c r="O17" s="77"/>
      <c r="P17" s="77" t="s">
        <v>22</v>
      </c>
      <c r="Q17" s="77"/>
      <c r="R17" s="77"/>
      <c r="S17" s="77"/>
      <c r="T17" s="77" t="s">
        <v>25</v>
      </c>
      <c r="U17" s="77"/>
      <c r="V17" s="77"/>
      <c r="W17" s="77" t="s">
        <v>26</v>
      </c>
      <c r="X17" s="77"/>
      <c r="Y17" s="77"/>
      <c r="Z17" s="77" t="s">
        <v>27</v>
      </c>
      <c r="AA17" s="77"/>
      <c r="AB17" s="77"/>
    </row>
    <row r="18" spans="1:28" ht="15" customHeight="1" x14ac:dyDescent="0.2">
      <c r="A18" s="85" t="s">
        <v>68</v>
      </c>
      <c r="B18" s="85"/>
      <c r="C18" s="85"/>
      <c r="D18" s="85"/>
      <c r="E18" s="85"/>
      <c r="F18" s="85"/>
      <c r="G18" s="16">
        <v>-5</v>
      </c>
      <c r="H18" s="16">
        <v>2</v>
      </c>
      <c r="I18" s="16"/>
      <c r="J18" s="87"/>
      <c r="K18" s="87"/>
      <c r="L18" s="87"/>
      <c r="M18" s="16"/>
      <c r="N18" s="16">
        <v>0</v>
      </c>
      <c r="O18" s="16"/>
      <c r="P18" s="81"/>
      <c r="Q18" s="81"/>
      <c r="R18" s="81"/>
      <c r="S18" s="81"/>
      <c r="T18" s="17"/>
      <c r="U18" s="16">
        <v>0</v>
      </c>
      <c r="V18" s="17"/>
      <c r="W18" s="81"/>
      <c r="X18" s="81"/>
      <c r="Y18" s="81"/>
      <c r="Z18" s="17"/>
      <c r="AA18" s="16">
        <v>0</v>
      </c>
      <c r="AB18" s="17"/>
    </row>
    <row r="19" spans="1:28" ht="15" customHeight="1" x14ac:dyDescent="0.2">
      <c r="A19" s="85"/>
      <c r="B19" s="85"/>
      <c r="C19" s="85"/>
      <c r="D19" s="85"/>
      <c r="E19" s="85"/>
      <c r="F19" s="85"/>
      <c r="G19" s="16"/>
      <c r="H19" s="16">
        <v>0</v>
      </c>
      <c r="I19" s="16"/>
      <c r="J19" s="87"/>
      <c r="K19" s="87"/>
      <c r="L19" s="87"/>
      <c r="M19" s="16"/>
      <c r="N19" s="16">
        <v>0</v>
      </c>
      <c r="O19" s="16"/>
      <c r="P19" s="81"/>
      <c r="Q19" s="81"/>
      <c r="R19" s="81"/>
      <c r="S19" s="81"/>
      <c r="T19" s="17"/>
      <c r="U19" s="16">
        <v>0</v>
      </c>
      <c r="V19" s="17"/>
      <c r="W19" s="81"/>
      <c r="X19" s="81"/>
      <c r="Y19" s="81"/>
      <c r="Z19" s="17"/>
      <c r="AA19" s="16">
        <v>0</v>
      </c>
      <c r="AB19" s="17"/>
    </row>
    <row r="20" spans="1:28" ht="15" customHeight="1" x14ac:dyDescent="0.2">
      <c r="A20" s="85"/>
      <c r="B20" s="85"/>
      <c r="C20" s="85"/>
      <c r="D20" s="85"/>
      <c r="E20" s="85"/>
      <c r="F20" s="85"/>
      <c r="G20" s="16"/>
      <c r="H20" s="16">
        <v>0</v>
      </c>
      <c r="I20" s="16"/>
      <c r="J20" s="87"/>
      <c r="K20" s="87"/>
      <c r="L20" s="87"/>
      <c r="M20" s="16"/>
      <c r="N20" s="16">
        <v>0</v>
      </c>
      <c r="O20" s="16"/>
      <c r="P20" s="81"/>
      <c r="Q20" s="81"/>
      <c r="R20" s="81"/>
      <c r="S20" s="81"/>
      <c r="T20" s="17"/>
      <c r="U20" s="16">
        <v>0</v>
      </c>
      <c r="V20" s="17"/>
      <c r="W20" s="81"/>
      <c r="X20" s="81"/>
      <c r="Y20" s="81"/>
      <c r="Z20" s="18"/>
      <c r="AA20" s="16">
        <v>0</v>
      </c>
      <c r="AB20" s="17"/>
    </row>
    <row r="21" spans="1:28" ht="15" customHeight="1" x14ac:dyDescent="0.2">
      <c r="A21" s="85"/>
      <c r="B21" s="85"/>
      <c r="C21" s="85"/>
      <c r="D21" s="85"/>
      <c r="E21" s="85"/>
      <c r="F21" s="85"/>
      <c r="G21" s="16"/>
      <c r="H21" s="16">
        <v>0</v>
      </c>
      <c r="I21" s="16"/>
      <c r="J21" s="87"/>
      <c r="K21" s="87"/>
      <c r="L21" s="87"/>
      <c r="M21" s="16"/>
      <c r="N21" s="16">
        <v>0</v>
      </c>
      <c r="O21" s="16"/>
      <c r="P21" s="81"/>
      <c r="Q21" s="81"/>
      <c r="R21" s="81"/>
      <c r="S21" s="81"/>
      <c r="T21" s="17"/>
      <c r="U21" s="16">
        <v>0</v>
      </c>
      <c r="V21" s="17"/>
      <c r="W21" s="87"/>
      <c r="X21" s="87"/>
      <c r="Y21" s="87"/>
      <c r="Z21" s="17"/>
      <c r="AA21" s="16">
        <v>0</v>
      </c>
      <c r="AB21" s="17"/>
    </row>
    <row r="22" spans="1:28" ht="15" customHeight="1" x14ac:dyDescent="0.2">
      <c r="A22" s="85"/>
      <c r="B22" s="85"/>
      <c r="C22" s="85"/>
      <c r="D22" s="85"/>
      <c r="E22" s="85"/>
      <c r="F22" s="85"/>
      <c r="G22" s="16"/>
      <c r="H22" s="16">
        <v>0</v>
      </c>
      <c r="I22" s="16"/>
      <c r="J22" s="87"/>
      <c r="K22" s="87"/>
      <c r="L22" s="87"/>
      <c r="M22" s="16"/>
      <c r="N22" s="16">
        <v>0</v>
      </c>
      <c r="O22" s="16"/>
      <c r="P22" s="81"/>
      <c r="Q22" s="81"/>
      <c r="R22" s="81"/>
      <c r="S22" s="81"/>
      <c r="T22" s="17"/>
      <c r="U22" s="16">
        <v>0</v>
      </c>
      <c r="V22" s="17"/>
      <c r="W22" s="87"/>
      <c r="X22" s="87"/>
      <c r="Y22" s="87"/>
      <c r="Z22" s="17"/>
      <c r="AA22" s="16">
        <v>0</v>
      </c>
      <c r="AB22" s="17"/>
    </row>
    <row r="23" spans="1:28" ht="15" customHeight="1" x14ac:dyDescent="0.2">
      <c r="A23" s="85"/>
      <c r="B23" s="85"/>
      <c r="C23" s="85"/>
      <c r="D23" s="85"/>
      <c r="E23" s="85"/>
      <c r="F23" s="85"/>
      <c r="G23" s="16"/>
      <c r="H23" s="16">
        <v>0</v>
      </c>
      <c r="I23" s="16"/>
      <c r="J23" s="87"/>
      <c r="K23" s="87"/>
      <c r="L23" s="87"/>
      <c r="M23" s="16"/>
      <c r="N23" s="16">
        <v>0</v>
      </c>
      <c r="O23" s="16"/>
      <c r="P23" s="81"/>
      <c r="Q23" s="81"/>
      <c r="R23" s="81"/>
      <c r="S23" s="81"/>
      <c r="T23" s="17"/>
      <c r="U23" s="16">
        <v>0</v>
      </c>
      <c r="V23" s="17"/>
      <c r="W23" s="87"/>
      <c r="X23" s="87"/>
      <c r="Y23" s="87"/>
      <c r="Z23" s="17"/>
      <c r="AA23" s="16">
        <v>0</v>
      </c>
      <c r="AB23" s="17"/>
    </row>
    <row r="24" spans="1:28" ht="15" customHeight="1" x14ac:dyDescent="0.2">
      <c r="A24" s="85"/>
      <c r="B24" s="85"/>
      <c r="C24" s="85"/>
      <c r="D24" s="85"/>
      <c r="E24" s="85"/>
      <c r="F24" s="85"/>
      <c r="G24" s="16"/>
      <c r="H24" s="16">
        <v>0</v>
      </c>
      <c r="I24" s="16"/>
      <c r="J24" s="87"/>
      <c r="K24" s="87"/>
      <c r="L24" s="87"/>
      <c r="M24" s="16"/>
      <c r="N24" s="16">
        <v>0</v>
      </c>
      <c r="O24" s="16"/>
      <c r="P24" s="81"/>
      <c r="Q24" s="81"/>
      <c r="R24" s="81"/>
      <c r="S24" s="81"/>
      <c r="T24" s="17"/>
      <c r="U24" s="16">
        <v>0</v>
      </c>
      <c r="V24" s="17"/>
      <c r="W24" s="87"/>
      <c r="X24" s="87"/>
      <c r="Y24" s="87"/>
      <c r="Z24" s="17"/>
      <c r="AA24" s="16">
        <v>0</v>
      </c>
      <c r="AB24" s="17"/>
    </row>
    <row r="25" spans="1:28" ht="15" customHeight="1" x14ac:dyDescent="0.2">
      <c r="A25" s="85"/>
      <c r="B25" s="85"/>
      <c r="C25" s="85"/>
      <c r="D25" s="85"/>
      <c r="E25" s="85"/>
      <c r="F25" s="85"/>
      <c r="G25" s="16"/>
      <c r="H25" s="16">
        <v>0</v>
      </c>
      <c r="I25" s="16"/>
      <c r="J25" s="87"/>
      <c r="K25" s="87"/>
      <c r="L25" s="87"/>
      <c r="M25" s="16"/>
      <c r="N25" s="16">
        <v>0</v>
      </c>
      <c r="O25" s="16"/>
      <c r="P25" s="81"/>
      <c r="Q25" s="81"/>
      <c r="R25" s="81"/>
      <c r="S25" s="81"/>
      <c r="T25" s="17"/>
      <c r="U25" s="16">
        <v>0</v>
      </c>
      <c r="V25" s="17"/>
      <c r="W25" s="87"/>
      <c r="X25" s="87"/>
      <c r="Y25" s="87"/>
      <c r="Z25" s="17"/>
      <c r="AA25" s="16">
        <v>0</v>
      </c>
      <c r="AB25" s="17"/>
    </row>
    <row r="26" spans="1:28" ht="15" customHeight="1" x14ac:dyDescent="0.2">
      <c r="A26" s="85"/>
      <c r="B26" s="85"/>
      <c r="C26" s="85"/>
      <c r="D26" s="85"/>
      <c r="E26" s="85"/>
      <c r="F26" s="85"/>
      <c r="G26" s="16"/>
      <c r="H26" s="16">
        <v>0</v>
      </c>
      <c r="I26" s="16"/>
      <c r="J26" s="87"/>
      <c r="K26" s="87"/>
      <c r="L26" s="87"/>
      <c r="M26" s="16"/>
      <c r="N26" s="16">
        <v>0</v>
      </c>
      <c r="O26" s="16"/>
      <c r="P26" s="81"/>
      <c r="Q26" s="81"/>
      <c r="R26" s="81"/>
      <c r="S26" s="81"/>
      <c r="T26" s="17"/>
      <c r="U26" s="16">
        <v>0</v>
      </c>
      <c r="V26" s="17"/>
      <c r="W26" s="87"/>
      <c r="X26" s="87"/>
      <c r="Y26" s="87"/>
      <c r="Z26" s="17"/>
      <c r="AA26" s="16">
        <v>0</v>
      </c>
      <c r="AB26" s="17"/>
    </row>
    <row r="27" spans="1:28" ht="15" customHeight="1" x14ac:dyDescent="0.2">
      <c r="A27" s="85"/>
      <c r="B27" s="85"/>
      <c r="C27" s="85"/>
      <c r="D27" s="85"/>
      <c r="E27" s="85"/>
      <c r="F27" s="85"/>
      <c r="G27" s="16"/>
      <c r="H27" s="16">
        <v>0</v>
      </c>
      <c r="I27" s="16"/>
      <c r="J27" s="87"/>
      <c r="K27" s="87"/>
      <c r="L27" s="87"/>
      <c r="M27" s="16"/>
      <c r="N27" s="16">
        <v>0</v>
      </c>
      <c r="O27" s="16"/>
      <c r="P27" s="81"/>
      <c r="Q27" s="81"/>
      <c r="R27" s="81"/>
      <c r="S27" s="81"/>
      <c r="T27" s="17"/>
      <c r="U27" s="16">
        <v>0</v>
      </c>
      <c r="V27" s="17"/>
      <c r="W27" s="87"/>
      <c r="X27" s="87"/>
      <c r="Y27" s="87"/>
      <c r="Z27" s="17"/>
      <c r="AA27" s="16">
        <v>0</v>
      </c>
      <c r="AB27" s="17"/>
    </row>
    <row r="28" spans="1:28" ht="15" customHeight="1" x14ac:dyDescent="0.2">
      <c r="A28" s="85"/>
      <c r="B28" s="85"/>
      <c r="C28" s="85"/>
      <c r="D28" s="85"/>
      <c r="E28" s="85"/>
      <c r="F28" s="85"/>
      <c r="G28" s="16"/>
      <c r="H28" s="16">
        <v>0</v>
      </c>
      <c r="I28" s="16"/>
      <c r="J28" s="87"/>
      <c r="K28" s="87"/>
      <c r="L28" s="87"/>
      <c r="M28" s="16"/>
      <c r="N28" s="16">
        <v>0</v>
      </c>
      <c r="O28" s="16"/>
      <c r="P28" s="81"/>
      <c r="Q28" s="81"/>
      <c r="R28" s="81"/>
      <c r="S28" s="81"/>
      <c r="T28" s="17"/>
      <c r="U28" s="16">
        <v>0</v>
      </c>
      <c r="V28" s="17"/>
      <c r="W28" s="87"/>
      <c r="X28" s="87"/>
      <c r="Y28" s="87"/>
      <c r="Z28" s="17"/>
      <c r="AA28" s="16">
        <v>0</v>
      </c>
      <c r="AB28" s="17"/>
    </row>
    <row r="29" spans="1:28" ht="15" customHeight="1" x14ac:dyDescent="0.2">
      <c r="A29" s="85"/>
      <c r="B29" s="85"/>
      <c r="C29" s="85"/>
      <c r="D29" s="85"/>
      <c r="E29" s="85"/>
      <c r="F29" s="85"/>
      <c r="G29" s="16"/>
      <c r="H29" s="16">
        <v>0</v>
      </c>
      <c r="I29" s="16"/>
      <c r="J29" s="87"/>
      <c r="K29" s="87"/>
      <c r="L29" s="87"/>
      <c r="M29" s="16"/>
      <c r="N29" s="16">
        <v>0</v>
      </c>
      <c r="O29" s="16"/>
      <c r="P29" s="81"/>
      <c r="Q29" s="81"/>
      <c r="R29" s="81"/>
      <c r="S29" s="81"/>
      <c r="T29" s="17"/>
      <c r="U29" s="16">
        <v>0</v>
      </c>
      <c r="V29" s="17"/>
      <c r="W29" s="87"/>
      <c r="X29" s="87"/>
      <c r="Y29" s="87"/>
      <c r="Z29" s="17"/>
      <c r="AA29" s="16">
        <v>0</v>
      </c>
      <c r="AB29" s="17"/>
    </row>
    <row r="30" spans="1:28" ht="15" customHeight="1" x14ac:dyDescent="0.2">
      <c r="A30" s="85"/>
      <c r="B30" s="85"/>
      <c r="C30" s="85"/>
      <c r="D30" s="85"/>
      <c r="E30" s="85"/>
      <c r="F30" s="85"/>
      <c r="G30" s="16"/>
      <c r="H30" s="16">
        <v>0</v>
      </c>
      <c r="I30" s="16"/>
      <c r="J30" s="87"/>
      <c r="K30" s="87"/>
      <c r="L30" s="87"/>
      <c r="M30" s="16"/>
      <c r="N30" s="16">
        <v>0</v>
      </c>
      <c r="O30" s="16"/>
      <c r="P30" s="81"/>
      <c r="Q30" s="81"/>
      <c r="R30" s="81"/>
      <c r="S30" s="81"/>
      <c r="T30" s="17"/>
      <c r="U30" s="16">
        <v>0</v>
      </c>
      <c r="V30" s="17"/>
      <c r="W30" s="87"/>
      <c r="X30" s="87"/>
      <c r="Y30" s="87"/>
      <c r="Z30" s="17"/>
      <c r="AA30" s="16">
        <v>0</v>
      </c>
      <c r="AB30" s="17"/>
    </row>
    <row r="31" spans="1:28" ht="15" customHeight="1" x14ac:dyDescent="0.2">
      <c r="A31" s="85"/>
      <c r="B31" s="85"/>
      <c r="C31" s="85"/>
      <c r="D31" s="85"/>
      <c r="E31" s="85"/>
      <c r="F31" s="85"/>
      <c r="G31" s="16"/>
      <c r="H31" s="16">
        <v>0</v>
      </c>
      <c r="I31" s="16"/>
      <c r="J31" s="87"/>
      <c r="K31" s="87"/>
      <c r="L31" s="87"/>
      <c r="M31" s="16"/>
      <c r="N31" s="16">
        <v>0</v>
      </c>
      <c r="O31" s="16"/>
      <c r="P31" s="81"/>
      <c r="Q31" s="81"/>
      <c r="R31" s="81"/>
      <c r="S31" s="81"/>
      <c r="T31" s="17"/>
      <c r="U31" s="16">
        <v>0</v>
      </c>
      <c r="V31" s="17"/>
      <c r="W31" s="87"/>
      <c r="X31" s="87"/>
      <c r="Y31" s="87"/>
      <c r="Z31" s="17"/>
      <c r="AA31" s="16">
        <v>0</v>
      </c>
      <c r="AB31" s="17"/>
    </row>
    <row r="32" spans="1:28" ht="15" customHeight="1" x14ac:dyDescent="0.2">
      <c r="A32" s="85"/>
      <c r="B32" s="85"/>
      <c r="C32" s="85"/>
      <c r="D32" s="85"/>
      <c r="E32" s="85"/>
      <c r="F32" s="85"/>
      <c r="G32" s="16"/>
      <c r="H32" s="16">
        <v>0</v>
      </c>
      <c r="I32" s="16"/>
      <c r="J32" s="87"/>
      <c r="K32" s="87"/>
      <c r="L32" s="87"/>
      <c r="M32" s="16"/>
      <c r="N32" s="16">
        <v>0</v>
      </c>
      <c r="O32" s="16"/>
      <c r="P32" s="81"/>
      <c r="Q32" s="81"/>
      <c r="R32" s="81"/>
      <c r="S32" s="81"/>
      <c r="T32" s="17"/>
      <c r="U32" s="16">
        <v>0</v>
      </c>
      <c r="V32" s="17"/>
      <c r="W32" s="87"/>
      <c r="X32" s="87"/>
      <c r="Y32" s="87"/>
      <c r="Z32" s="17"/>
      <c r="AA32" s="16">
        <v>0</v>
      </c>
      <c r="AB32" s="17"/>
    </row>
    <row r="33" spans="1:28" ht="15" customHeight="1" x14ac:dyDescent="0.2">
      <c r="A33" s="85"/>
      <c r="B33" s="85"/>
      <c r="C33" s="85"/>
      <c r="D33" s="85"/>
      <c r="E33" s="85"/>
      <c r="F33" s="85"/>
      <c r="G33" s="16"/>
      <c r="H33" s="16">
        <v>0</v>
      </c>
      <c r="I33" s="16"/>
      <c r="J33" s="87"/>
      <c r="K33" s="87"/>
      <c r="L33" s="87"/>
      <c r="M33" s="16"/>
      <c r="N33" s="16">
        <v>0</v>
      </c>
      <c r="O33" s="16"/>
      <c r="P33" s="81"/>
      <c r="Q33" s="81"/>
      <c r="R33" s="81"/>
      <c r="S33" s="81"/>
      <c r="T33" s="17"/>
      <c r="U33" s="16">
        <v>0</v>
      </c>
      <c r="V33" s="17"/>
      <c r="W33" s="87"/>
      <c r="X33" s="87"/>
      <c r="Y33" s="87"/>
      <c r="Z33" s="17"/>
      <c r="AA33" s="16">
        <v>0</v>
      </c>
      <c r="AB33" s="17"/>
    </row>
    <row r="34" spans="1:28" ht="15" customHeight="1" x14ac:dyDescent="0.2">
      <c r="A34" s="85"/>
      <c r="B34" s="85"/>
      <c r="C34" s="85"/>
      <c r="D34" s="85"/>
      <c r="E34" s="85"/>
      <c r="F34" s="85"/>
      <c r="G34" s="16"/>
      <c r="H34" s="16">
        <v>0</v>
      </c>
      <c r="I34" s="16"/>
      <c r="J34" s="87"/>
      <c r="K34" s="87"/>
      <c r="L34" s="87"/>
      <c r="M34" s="16"/>
      <c r="N34" s="16">
        <v>0</v>
      </c>
      <c r="O34" s="16"/>
      <c r="P34" s="81"/>
      <c r="Q34" s="81"/>
      <c r="R34" s="81"/>
      <c r="S34" s="81"/>
      <c r="T34" s="17"/>
      <c r="U34" s="16">
        <v>0</v>
      </c>
      <c r="V34" s="17"/>
      <c r="W34" s="87"/>
      <c r="X34" s="87"/>
      <c r="Y34" s="87"/>
      <c r="Z34" s="17"/>
      <c r="AA34" s="16">
        <v>0</v>
      </c>
      <c r="AB34" s="17"/>
    </row>
    <row r="35" spans="1:28" ht="15" customHeight="1" x14ac:dyDescent="0.2">
      <c r="A35" s="85"/>
      <c r="B35" s="85"/>
      <c r="C35" s="85"/>
      <c r="D35" s="85"/>
      <c r="E35" s="85"/>
      <c r="F35" s="85"/>
      <c r="G35" s="16"/>
      <c r="H35" s="16">
        <v>0</v>
      </c>
      <c r="I35" s="16"/>
      <c r="J35" s="87"/>
      <c r="K35" s="87"/>
      <c r="L35" s="87"/>
      <c r="M35" s="16"/>
      <c r="N35" s="16">
        <v>0</v>
      </c>
      <c r="O35" s="16"/>
      <c r="P35" s="81"/>
      <c r="Q35" s="81"/>
      <c r="R35" s="81"/>
      <c r="S35" s="81"/>
      <c r="T35" s="17"/>
      <c r="U35" s="16">
        <v>0</v>
      </c>
      <c r="V35" s="17"/>
      <c r="W35" s="87"/>
      <c r="X35" s="87"/>
      <c r="Y35" s="87"/>
      <c r="Z35" s="17"/>
      <c r="AA35" s="16">
        <v>0</v>
      </c>
      <c r="AB35" s="17"/>
    </row>
    <row r="36" spans="1:28" ht="15" customHeight="1" x14ac:dyDescent="0.2">
      <c r="A36" s="85"/>
      <c r="B36" s="85"/>
      <c r="C36" s="85"/>
      <c r="D36" s="85"/>
      <c r="E36" s="85"/>
      <c r="F36" s="85"/>
      <c r="G36" s="16"/>
      <c r="H36" s="16">
        <v>0</v>
      </c>
      <c r="I36" s="16"/>
      <c r="J36" s="87"/>
      <c r="K36" s="87"/>
      <c r="L36" s="87"/>
      <c r="M36" s="16"/>
      <c r="N36" s="16">
        <v>0</v>
      </c>
      <c r="O36" s="16"/>
      <c r="P36" s="81"/>
      <c r="Q36" s="81"/>
      <c r="R36" s="81"/>
      <c r="S36" s="81"/>
      <c r="T36" s="17"/>
      <c r="U36" s="16">
        <v>0</v>
      </c>
      <c r="V36" s="17"/>
      <c r="W36" s="87"/>
      <c r="X36" s="87"/>
      <c r="Y36" s="87"/>
      <c r="Z36" s="17"/>
      <c r="AA36" s="16">
        <v>0</v>
      </c>
      <c r="AB36" s="17"/>
    </row>
    <row r="37" spans="1:28" ht="15" customHeight="1" x14ac:dyDescent="0.2">
      <c r="A37" s="85"/>
      <c r="B37" s="85"/>
      <c r="C37" s="85"/>
      <c r="D37" s="85"/>
      <c r="E37" s="85"/>
      <c r="F37" s="85"/>
      <c r="G37" s="16"/>
      <c r="H37" s="16">
        <v>0</v>
      </c>
      <c r="I37" s="16"/>
      <c r="J37" s="87"/>
      <c r="K37" s="87"/>
      <c r="L37" s="87"/>
      <c r="M37" s="16"/>
      <c r="N37" s="16">
        <v>0</v>
      </c>
      <c r="O37" s="16"/>
      <c r="P37" s="81"/>
      <c r="Q37" s="81"/>
      <c r="R37" s="81"/>
      <c r="S37" s="81"/>
      <c r="T37" s="17"/>
      <c r="U37" s="16">
        <v>0</v>
      </c>
      <c r="V37" s="17"/>
      <c r="W37" s="87"/>
      <c r="X37" s="87"/>
      <c r="Y37" s="87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04" t="s">
        <v>28</v>
      </c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W39" s="54" t="s">
        <v>34</v>
      </c>
      <c r="X39" s="54"/>
      <c r="Y39" s="54"/>
      <c r="Z39" s="54"/>
      <c r="AA39" s="54"/>
      <c r="AB39" s="54"/>
    </row>
    <row r="40" spans="1:28" ht="22.5" customHeight="1" x14ac:dyDescent="0.2">
      <c r="A40" s="105"/>
      <c r="B40" s="106"/>
      <c r="C40" s="106"/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7"/>
      <c r="W40" s="92"/>
      <c r="X40" s="93"/>
      <c r="Y40" s="93"/>
      <c r="Z40" s="93"/>
      <c r="AA40" s="93"/>
      <c r="AB40" s="94"/>
    </row>
    <row r="41" spans="1:28" ht="26.25" customHeight="1" x14ac:dyDescent="0.2">
      <c r="A41" s="108"/>
      <c r="B41" s="10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10"/>
      <c r="V41" s="96"/>
      <c r="W41" s="95" t="s">
        <v>29</v>
      </c>
      <c r="X41" s="54"/>
      <c r="Y41" s="54"/>
      <c r="Z41" s="54"/>
      <c r="AA41" s="54"/>
      <c r="AB41" s="54"/>
    </row>
    <row r="42" spans="1:28" ht="22.5" customHeight="1" x14ac:dyDescent="0.2">
      <c r="A42" s="108"/>
      <c r="B42" s="10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10"/>
      <c r="V42" s="96"/>
      <c r="W42" s="97"/>
      <c r="X42" s="98"/>
      <c r="Y42" s="98"/>
      <c r="Z42" s="98"/>
      <c r="AA42" s="98"/>
      <c r="AB42" s="99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J2" activeCellId="1" sqref="H2:H14 J2:J14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'Densidad de Grupos'!U9</f>
        <v>SP-21-0214</v>
      </c>
      <c r="B2" s="29">
        <f>'Densidad de Grupos'!J13</f>
        <v>3.8149231115731115</v>
      </c>
      <c r="C2" s="29">
        <f>'Densidad de Grupos'!O13</f>
        <v>20</v>
      </c>
      <c r="D2" s="29">
        <f>'Densidad de Grupos'!U13</f>
        <v>5</v>
      </c>
      <c r="E2" s="29">
        <f>'Densidad de Grupos'!AA13</f>
        <v>4</v>
      </c>
      <c r="F2" s="29">
        <f>E2*D2</f>
        <v>20</v>
      </c>
      <c r="G2" s="26" t="str">
        <f>'Densidad de Grupos'!A18</f>
        <v>Decapoda (Anomura Zoea)</v>
      </c>
      <c r="H2" s="26">
        <f>'Densidad de Grupos'!H18</f>
        <v>109</v>
      </c>
      <c r="I2" s="28">
        <f>((H2*C2)/(F2*B2))*2</f>
        <v>57.144008836945112</v>
      </c>
      <c r="J2" s="28">
        <f>I2*1000</f>
        <v>57144.008836945111</v>
      </c>
    </row>
    <row r="3" spans="1:10" x14ac:dyDescent="0.2">
      <c r="A3" s="27" t="str">
        <f>$A$2</f>
        <v>SP-21-0214</v>
      </c>
      <c r="B3" s="29">
        <f>$B$2</f>
        <v>3.8149231115731115</v>
      </c>
      <c r="C3" s="29">
        <f>$C$2</f>
        <v>20</v>
      </c>
      <c r="D3" s="29">
        <f>$D$2</f>
        <v>5</v>
      </c>
      <c r="E3" s="29">
        <f>$E$2</f>
        <v>4</v>
      </c>
      <c r="F3" s="29">
        <f>$F$2</f>
        <v>20</v>
      </c>
      <c r="G3" s="26" t="str">
        <f>'Densidad de Grupos'!A19</f>
        <v>Ostracoda</v>
      </c>
      <c r="H3" s="26">
        <f>'Densidad de Grupos'!H19</f>
        <v>2</v>
      </c>
      <c r="I3" s="28">
        <f t="shared" ref="I3:I65" si="0">((H3*C3)/(F3*B3))*2</f>
        <v>1.0485139236136718</v>
      </c>
      <c r="J3" s="28">
        <f t="shared" ref="J3:J65" si="1">I3*1000</f>
        <v>1048.5139236136717</v>
      </c>
    </row>
    <row r="4" spans="1:10" x14ac:dyDescent="0.2">
      <c r="A4" s="27" t="str">
        <f t="shared" ref="A4:A65" si="2">$A$2</f>
        <v>SP-21-0214</v>
      </c>
      <c r="B4" s="29">
        <f t="shared" ref="B4:B65" si="3">$B$2</f>
        <v>3.8149231115731115</v>
      </c>
      <c r="C4" s="29">
        <f t="shared" ref="C4:C65" si="4">$C$2</f>
        <v>20</v>
      </c>
      <c r="D4" s="29">
        <f t="shared" ref="D4:D65" si="5">$D$2</f>
        <v>5</v>
      </c>
      <c r="E4" s="29">
        <f t="shared" ref="E4:E65" si="6">$E$2</f>
        <v>4</v>
      </c>
      <c r="F4" s="29">
        <f t="shared" ref="F4:F65" si="7">$F$2</f>
        <v>20</v>
      </c>
      <c r="G4" s="26" t="str">
        <f>'Densidad de Grupos'!A20</f>
        <v>Decapoda (Brachyura Zoea)</v>
      </c>
      <c r="H4" s="26">
        <f>'Densidad de Grupos'!H20</f>
        <v>31</v>
      </c>
      <c r="I4" s="31">
        <f t="shared" si="0"/>
        <v>16.251965816011911</v>
      </c>
      <c r="J4" s="28">
        <f t="shared" si="1"/>
        <v>16251.965816011911</v>
      </c>
    </row>
    <row r="5" spans="1:10" x14ac:dyDescent="0.2">
      <c r="A5" s="27" t="str">
        <f t="shared" si="2"/>
        <v>SP-21-0214</v>
      </c>
      <c r="B5" s="29">
        <f t="shared" si="3"/>
        <v>3.8149231115731115</v>
      </c>
      <c r="C5" s="29">
        <f t="shared" si="4"/>
        <v>20</v>
      </c>
      <c r="D5" s="29">
        <f t="shared" si="5"/>
        <v>5</v>
      </c>
      <c r="E5" s="29">
        <f t="shared" si="6"/>
        <v>4</v>
      </c>
      <c r="F5" s="29">
        <f t="shared" si="7"/>
        <v>20</v>
      </c>
      <c r="G5" s="26" t="str">
        <f>'Densidad de Grupos'!A21</f>
        <v>Copepoda (Calanoida)</v>
      </c>
      <c r="H5" s="26">
        <f>'Densidad de Grupos'!H21</f>
        <v>159</v>
      </c>
      <c r="I5" s="28">
        <f t="shared" si="0"/>
        <v>83.356856927286898</v>
      </c>
      <c r="J5" s="28">
        <f t="shared" si="1"/>
        <v>83356.856927286892</v>
      </c>
    </row>
    <row r="6" spans="1:10" x14ac:dyDescent="0.2">
      <c r="A6" s="27" t="str">
        <f t="shared" si="2"/>
        <v>SP-21-0214</v>
      </c>
      <c r="B6" s="29">
        <f t="shared" si="3"/>
        <v>3.8149231115731115</v>
      </c>
      <c r="C6" s="29">
        <f t="shared" si="4"/>
        <v>20</v>
      </c>
      <c r="D6" s="29">
        <f t="shared" si="5"/>
        <v>5</v>
      </c>
      <c r="E6" s="29">
        <f t="shared" si="6"/>
        <v>4</v>
      </c>
      <c r="F6" s="29">
        <f t="shared" si="7"/>
        <v>20</v>
      </c>
      <c r="G6" s="26" t="str">
        <f>'Densidad de Grupos'!A22</f>
        <v>Stomatopoda</v>
      </c>
      <c r="H6" s="26">
        <f>'Densidad de Grupos'!H22</f>
        <v>1</v>
      </c>
      <c r="I6" s="31">
        <f t="shared" si="0"/>
        <v>0.5242569618068359</v>
      </c>
      <c r="J6" s="28">
        <f t="shared" si="1"/>
        <v>524.25696180683587</v>
      </c>
    </row>
    <row r="7" spans="1:10" x14ac:dyDescent="0.2">
      <c r="A7" s="27" t="str">
        <f t="shared" si="2"/>
        <v>SP-21-0214</v>
      </c>
      <c r="B7" s="29">
        <f t="shared" si="3"/>
        <v>3.8149231115731115</v>
      </c>
      <c r="C7" s="29">
        <f t="shared" si="4"/>
        <v>20</v>
      </c>
      <c r="D7" s="29">
        <f t="shared" si="5"/>
        <v>5</v>
      </c>
      <c r="E7" s="29">
        <f t="shared" si="6"/>
        <v>4</v>
      </c>
      <c r="F7" s="29">
        <f t="shared" si="7"/>
        <v>20</v>
      </c>
      <c r="G7" s="26" t="str">
        <f>'Densidad de Grupos'!A23</f>
        <v>Amphipoda (Hyperiidae)</v>
      </c>
      <c r="H7" s="26">
        <f>'Densidad de Grupos'!H23</f>
        <v>1</v>
      </c>
      <c r="I7" s="31">
        <f t="shared" si="0"/>
        <v>0.5242569618068359</v>
      </c>
      <c r="J7" s="28">
        <f t="shared" si="1"/>
        <v>524.25696180683587</v>
      </c>
    </row>
    <row r="8" spans="1:10" x14ac:dyDescent="0.2">
      <c r="A8" s="27" t="str">
        <f t="shared" si="2"/>
        <v>SP-21-0214</v>
      </c>
      <c r="B8" s="29">
        <f t="shared" si="3"/>
        <v>3.8149231115731115</v>
      </c>
      <c r="C8" s="29">
        <f t="shared" si="4"/>
        <v>20</v>
      </c>
      <c r="D8" s="29">
        <f t="shared" si="5"/>
        <v>5</v>
      </c>
      <c r="E8" s="29">
        <f t="shared" si="6"/>
        <v>4</v>
      </c>
      <c r="F8" s="29">
        <f t="shared" si="7"/>
        <v>20</v>
      </c>
      <c r="G8" s="26" t="str">
        <f>'Densidad de Grupos'!A24</f>
        <v>Chaetognatha</v>
      </c>
      <c r="H8" s="26">
        <f>'Densidad de Grupos'!H24</f>
        <v>25</v>
      </c>
      <c r="I8" s="31">
        <f t="shared" si="0"/>
        <v>13.106424045170897</v>
      </c>
      <c r="J8" s="28">
        <f t="shared" si="1"/>
        <v>13106.424045170897</v>
      </c>
    </row>
    <row r="9" spans="1:10" x14ac:dyDescent="0.2">
      <c r="A9" s="27" t="str">
        <f t="shared" si="2"/>
        <v>SP-21-0214</v>
      </c>
      <c r="B9" s="29">
        <f t="shared" si="3"/>
        <v>3.8149231115731115</v>
      </c>
      <c r="C9" s="29">
        <f t="shared" si="4"/>
        <v>20</v>
      </c>
      <c r="D9" s="29">
        <f t="shared" si="5"/>
        <v>5</v>
      </c>
      <c r="E9" s="29">
        <f t="shared" si="6"/>
        <v>4</v>
      </c>
      <c r="F9" s="29">
        <f t="shared" si="7"/>
        <v>20</v>
      </c>
      <c r="G9" s="26" t="str">
        <f>'Densidad de Grupos'!A25</f>
        <v>Brachiopoda (Lingula)</v>
      </c>
      <c r="H9" s="26">
        <f>'Densidad de Grupos'!H25</f>
        <v>2</v>
      </c>
      <c r="I9" s="31">
        <f t="shared" si="0"/>
        <v>1.0485139236136718</v>
      </c>
      <c r="J9" s="28">
        <f t="shared" si="1"/>
        <v>1048.5139236136717</v>
      </c>
    </row>
    <row r="10" spans="1:10" x14ac:dyDescent="0.2">
      <c r="A10" s="27" t="str">
        <f t="shared" si="2"/>
        <v>SP-21-0214</v>
      </c>
      <c r="B10" s="29">
        <f t="shared" si="3"/>
        <v>3.8149231115731115</v>
      </c>
      <c r="C10" s="29">
        <f t="shared" si="4"/>
        <v>20</v>
      </c>
      <c r="D10" s="29">
        <f t="shared" si="5"/>
        <v>5</v>
      </c>
      <c r="E10" s="29">
        <f t="shared" si="6"/>
        <v>4</v>
      </c>
      <c r="F10" s="29">
        <f t="shared" si="7"/>
        <v>20</v>
      </c>
      <c r="G10" s="26" t="str">
        <f>'Densidad de Grupos'!A26</f>
        <v>Mollusca (Atlanta)</v>
      </c>
      <c r="H10" s="26">
        <f>'Densidad de Grupos'!H26</f>
        <v>20</v>
      </c>
      <c r="I10" s="31">
        <f t="shared" si="0"/>
        <v>10.485139236136717</v>
      </c>
      <c r="J10" s="28">
        <f t="shared" si="1"/>
        <v>10485.139236136718</v>
      </c>
    </row>
    <row r="11" spans="1:10" x14ac:dyDescent="0.2">
      <c r="A11" s="27" t="str">
        <f t="shared" si="2"/>
        <v>SP-21-0214</v>
      </c>
      <c r="B11" s="29">
        <f t="shared" si="3"/>
        <v>3.8149231115731115</v>
      </c>
      <c r="C11" s="29">
        <f t="shared" si="4"/>
        <v>20</v>
      </c>
      <c r="D11" s="29">
        <f t="shared" si="5"/>
        <v>5</v>
      </c>
      <c r="E11" s="29">
        <f t="shared" si="6"/>
        <v>4</v>
      </c>
      <c r="F11" s="29">
        <f t="shared" si="7"/>
        <v>20</v>
      </c>
      <c r="G11" s="26" t="str">
        <f>'Densidad de Grupos'!A27</f>
        <v>Pez (Huevo)</v>
      </c>
      <c r="H11" s="26">
        <f>'Densidad de Grupos'!H27</f>
        <v>9</v>
      </c>
      <c r="I11" s="31">
        <f t="shared" si="0"/>
        <v>4.7183126562615225</v>
      </c>
      <c r="J11" s="28">
        <f t="shared" si="1"/>
        <v>4718.3126562615225</v>
      </c>
    </row>
    <row r="12" spans="1:10" x14ac:dyDescent="0.2">
      <c r="A12" s="27" t="str">
        <f t="shared" si="2"/>
        <v>SP-21-0214</v>
      </c>
      <c r="B12" s="29">
        <f t="shared" si="3"/>
        <v>3.8149231115731115</v>
      </c>
      <c r="C12" s="29">
        <f t="shared" si="4"/>
        <v>20</v>
      </c>
      <c r="D12" s="29">
        <f t="shared" si="5"/>
        <v>5</v>
      </c>
      <c r="E12" s="29">
        <f t="shared" si="6"/>
        <v>4</v>
      </c>
      <c r="F12" s="29">
        <f t="shared" si="7"/>
        <v>20</v>
      </c>
      <c r="G12" s="26" t="str">
        <f>'Densidad de Grupos'!A28</f>
        <v>Copepoda (Cyclopoida)</v>
      </c>
      <c r="H12" s="26">
        <f>'Densidad de Grupos'!H28</f>
        <v>25</v>
      </c>
      <c r="I12" s="31">
        <f t="shared" si="0"/>
        <v>13.106424045170897</v>
      </c>
      <c r="J12" s="28">
        <f t="shared" si="1"/>
        <v>13106.424045170897</v>
      </c>
    </row>
    <row r="13" spans="1:10" x14ac:dyDescent="0.2">
      <c r="A13" s="27" t="str">
        <f t="shared" si="2"/>
        <v>SP-21-0214</v>
      </c>
      <c r="B13" s="29">
        <f t="shared" si="3"/>
        <v>3.8149231115731115</v>
      </c>
      <c r="C13" s="29">
        <f t="shared" si="4"/>
        <v>20</v>
      </c>
      <c r="D13" s="29">
        <f t="shared" si="5"/>
        <v>5</v>
      </c>
      <c r="E13" s="29">
        <f t="shared" si="6"/>
        <v>4</v>
      </c>
      <c r="F13" s="29">
        <f t="shared" si="7"/>
        <v>20</v>
      </c>
      <c r="G13" s="26" t="str">
        <f>'Densidad de Grupos'!A29</f>
        <v>Siphonophora (Lensia)</v>
      </c>
      <c r="H13" s="26">
        <f>'Densidad de Grupos'!H29</f>
        <v>2</v>
      </c>
      <c r="I13" s="31">
        <f t="shared" si="0"/>
        <v>1.0485139236136718</v>
      </c>
      <c r="J13" s="28">
        <f t="shared" si="1"/>
        <v>1048.5139236136717</v>
      </c>
    </row>
    <row r="14" spans="1:10" x14ac:dyDescent="0.2">
      <c r="A14" s="27" t="str">
        <f t="shared" si="2"/>
        <v>SP-21-0214</v>
      </c>
      <c r="B14" s="29">
        <f t="shared" si="3"/>
        <v>3.8149231115731115</v>
      </c>
      <c r="C14" s="29">
        <f t="shared" si="4"/>
        <v>20</v>
      </c>
      <c r="D14" s="29">
        <f t="shared" si="5"/>
        <v>5</v>
      </c>
      <c r="E14" s="29">
        <f t="shared" si="6"/>
        <v>4</v>
      </c>
      <c r="F14" s="29">
        <f t="shared" si="7"/>
        <v>20</v>
      </c>
      <c r="G14" s="26" t="str">
        <f>'Densidad de Grupos'!A30</f>
        <v>Isopoda</v>
      </c>
      <c r="H14" s="26">
        <f>'Densidad de Grupos'!H30</f>
        <v>1</v>
      </c>
      <c r="I14" s="28">
        <f t="shared" si="0"/>
        <v>0.5242569618068359</v>
      </c>
      <c r="J14" s="28">
        <f t="shared" si="1"/>
        <v>524.25696180683587</v>
      </c>
    </row>
    <row r="15" spans="1:10" x14ac:dyDescent="0.2">
      <c r="A15" s="27" t="str">
        <f t="shared" si="2"/>
        <v>SP-21-0214</v>
      </c>
      <c r="B15" s="29">
        <f t="shared" si="3"/>
        <v>3.8149231115731115</v>
      </c>
      <c r="C15" s="29">
        <f t="shared" si="4"/>
        <v>20</v>
      </c>
      <c r="D15" s="29">
        <f t="shared" si="5"/>
        <v>5</v>
      </c>
      <c r="E15" s="29">
        <f t="shared" si="6"/>
        <v>4</v>
      </c>
      <c r="F15" s="29">
        <f t="shared" si="7"/>
        <v>20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SP-21-0214</v>
      </c>
      <c r="B16" s="29">
        <f t="shared" si="3"/>
        <v>3.8149231115731115</v>
      </c>
      <c r="C16" s="29">
        <f t="shared" si="4"/>
        <v>20</v>
      </c>
      <c r="D16" s="29">
        <f t="shared" si="5"/>
        <v>5</v>
      </c>
      <c r="E16" s="29">
        <f t="shared" si="6"/>
        <v>4</v>
      </c>
      <c r="F16" s="29">
        <f t="shared" si="7"/>
        <v>20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SP-21-0214</v>
      </c>
      <c r="B17" s="29">
        <f t="shared" si="3"/>
        <v>3.8149231115731115</v>
      </c>
      <c r="C17" s="29">
        <f t="shared" si="4"/>
        <v>20</v>
      </c>
      <c r="D17" s="29">
        <f t="shared" si="5"/>
        <v>5</v>
      </c>
      <c r="E17" s="29">
        <f t="shared" si="6"/>
        <v>4</v>
      </c>
      <c r="F17" s="29">
        <f t="shared" si="7"/>
        <v>20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SP-21-0214</v>
      </c>
      <c r="B18" s="29">
        <f t="shared" si="3"/>
        <v>3.8149231115731115</v>
      </c>
      <c r="C18" s="29">
        <f t="shared" si="4"/>
        <v>20</v>
      </c>
      <c r="D18" s="29">
        <f t="shared" si="5"/>
        <v>5</v>
      </c>
      <c r="E18" s="29">
        <f t="shared" si="6"/>
        <v>4</v>
      </c>
      <c r="F18" s="29">
        <f t="shared" si="7"/>
        <v>20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SP-21-0214</v>
      </c>
      <c r="B19" s="29">
        <f t="shared" si="3"/>
        <v>3.8149231115731115</v>
      </c>
      <c r="C19" s="29">
        <f t="shared" si="4"/>
        <v>20</v>
      </c>
      <c r="D19" s="29">
        <f t="shared" si="5"/>
        <v>5</v>
      </c>
      <c r="E19" s="29">
        <f t="shared" si="6"/>
        <v>4</v>
      </c>
      <c r="F19" s="29">
        <f t="shared" si="7"/>
        <v>20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SP-21-0214</v>
      </c>
      <c r="B20" s="29">
        <f t="shared" si="3"/>
        <v>3.8149231115731115</v>
      </c>
      <c r="C20" s="29">
        <f t="shared" si="4"/>
        <v>20</v>
      </c>
      <c r="D20" s="29">
        <f t="shared" si="5"/>
        <v>5</v>
      </c>
      <c r="E20" s="29">
        <f t="shared" si="6"/>
        <v>4</v>
      </c>
      <c r="F20" s="29">
        <f t="shared" si="7"/>
        <v>20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SP-21-0214</v>
      </c>
      <c r="B21" s="34">
        <f t="shared" si="3"/>
        <v>3.8149231115731115</v>
      </c>
      <c r="C21" s="34">
        <f t="shared" si="4"/>
        <v>20</v>
      </c>
      <c r="D21" s="34">
        <f t="shared" si="5"/>
        <v>5</v>
      </c>
      <c r="E21" s="34">
        <f t="shared" si="6"/>
        <v>4</v>
      </c>
      <c r="F21" s="34">
        <f t="shared" si="7"/>
        <v>20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SP-21-0214</v>
      </c>
      <c r="B22" s="29">
        <f t="shared" si="3"/>
        <v>3.8149231115731115</v>
      </c>
      <c r="C22" s="29">
        <f t="shared" si="4"/>
        <v>20</v>
      </c>
      <c r="D22" s="29">
        <f t="shared" si="5"/>
        <v>5</v>
      </c>
      <c r="E22" s="29">
        <f t="shared" si="6"/>
        <v>4</v>
      </c>
      <c r="F22" s="29">
        <f t="shared" si="7"/>
        <v>20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SP-21-0214</v>
      </c>
      <c r="B23" s="29">
        <f t="shared" si="3"/>
        <v>3.8149231115731115</v>
      </c>
      <c r="C23" s="29">
        <f t="shared" si="4"/>
        <v>20</v>
      </c>
      <c r="D23" s="29">
        <f t="shared" si="5"/>
        <v>5</v>
      </c>
      <c r="E23" s="29">
        <f t="shared" si="6"/>
        <v>4</v>
      </c>
      <c r="F23" s="29">
        <f t="shared" si="7"/>
        <v>20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SP-21-0214</v>
      </c>
      <c r="B24" s="29">
        <f t="shared" si="3"/>
        <v>3.8149231115731115</v>
      </c>
      <c r="C24" s="29">
        <f t="shared" si="4"/>
        <v>20</v>
      </c>
      <c r="D24" s="29">
        <f t="shared" si="5"/>
        <v>5</v>
      </c>
      <c r="E24" s="29">
        <f t="shared" si="6"/>
        <v>4</v>
      </c>
      <c r="F24" s="29">
        <f t="shared" si="7"/>
        <v>20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SP-21-0214</v>
      </c>
      <c r="B25" s="29">
        <f t="shared" si="3"/>
        <v>3.8149231115731115</v>
      </c>
      <c r="C25" s="29">
        <f t="shared" si="4"/>
        <v>20</v>
      </c>
      <c r="D25" s="29">
        <f t="shared" si="5"/>
        <v>5</v>
      </c>
      <c r="E25" s="29">
        <f t="shared" si="6"/>
        <v>4</v>
      </c>
      <c r="F25" s="29">
        <f t="shared" si="7"/>
        <v>20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SP-21-0214</v>
      </c>
      <c r="B26" s="29">
        <f t="shared" si="3"/>
        <v>3.8149231115731115</v>
      </c>
      <c r="C26" s="29">
        <f t="shared" si="4"/>
        <v>20</v>
      </c>
      <c r="D26" s="29">
        <f t="shared" si="5"/>
        <v>5</v>
      </c>
      <c r="E26" s="29">
        <f t="shared" si="6"/>
        <v>4</v>
      </c>
      <c r="F26" s="29">
        <f t="shared" si="7"/>
        <v>20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SP-21-0214</v>
      </c>
      <c r="B27" s="29">
        <f t="shared" si="3"/>
        <v>3.8149231115731115</v>
      </c>
      <c r="C27" s="29">
        <f t="shared" si="4"/>
        <v>20</v>
      </c>
      <c r="D27" s="29">
        <f t="shared" si="5"/>
        <v>5</v>
      </c>
      <c r="E27" s="29">
        <f t="shared" si="6"/>
        <v>4</v>
      </c>
      <c r="F27" s="29">
        <f t="shared" si="7"/>
        <v>20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SP-21-0214</v>
      </c>
      <c r="B28" s="29">
        <f t="shared" si="3"/>
        <v>3.8149231115731115</v>
      </c>
      <c r="C28" s="29">
        <f t="shared" si="4"/>
        <v>20</v>
      </c>
      <c r="D28" s="29">
        <f t="shared" si="5"/>
        <v>5</v>
      </c>
      <c r="E28" s="29">
        <f t="shared" si="6"/>
        <v>4</v>
      </c>
      <c r="F28" s="29">
        <f t="shared" si="7"/>
        <v>20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SP-21-0214</v>
      </c>
      <c r="B29" s="29">
        <f t="shared" si="3"/>
        <v>3.8149231115731115</v>
      </c>
      <c r="C29" s="29">
        <f t="shared" si="4"/>
        <v>20</v>
      </c>
      <c r="D29" s="29">
        <f t="shared" si="5"/>
        <v>5</v>
      </c>
      <c r="E29" s="29">
        <f t="shared" si="6"/>
        <v>4</v>
      </c>
      <c r="F29" s="29">
        <f t="shared" si="7"/>
        <v>20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SP-21-0214</v>
      </c>
      <c r="B30" s="29">
        <f t="shared" si="3"/>
        <v>3.8149231115731115</v>
      </c>
      <c r="C30" s="29">
        <f t="shared" si="4"/>
        <v>20</v>
      </c>
      <c r="D30" s="29">
        <f t="shared" si="5"/>
        <v>5</v>
      </c>
      <c r="E30" s="29">
        <f t="shared" si="6"/>
        <v>4</v>
      </c>
      <c r="F30" s="29">
        <f t="shared" si="7"/>
        <v>20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SP-21-0214</v>
      </c>
      <c r="B31" s="29">
        <f t="shared" si="3"/>
        <v>3.8149231115731115</v>
      </c>
      <c r="C31" s="29">
        <f t="shared" si="4"/>
        <v>20</v>
      </c>
      <c r="D31" s="29">
        <f t="shared" si="5"/>
        <v>5</v>
      </c>
      <c r="E31" s="29">
        <f t="shared" si="6"/>
        <v>4</v>
      </c>
      <c r="F31" s="29">
        <f t="shared" si="7"/>
        <v>20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SP-21-0214</v>
      </c>
      <c r="B32" s="29">
        <f t="shared" si="3"/>
        <v>3.8149231115731115</v>
      </c>
      <c r="C32" s="29">
        <f t="shared" si="4"/>
        <v>20</v>
      </c>
      <c r="D32" s="29">
        <f t="shared" si="5"/>
        <v>5</v>
      </c>
      <c r="E32" s="29">
        <f t="shared" si="6"/>
        <v>4</v>
      </c>
      <c r="F32" s="29">
        <f t="shared" si="7"/>
        <v>20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SP-21-0214</v>
      </c>
      <c r="B33" s="29">
        <f t="shared" si="3"/>
        <v>3.8149231115731115</v>
      </c>
      <c r="C33" s="29">
        <f t="shared" si="4"/>
        <v>20</v>
      </c>
      <c r="D33" s="29">
        <f t="shared" si="5"/>
        <v>5</v>
      </c>
      <c r="E33" s="29">
        <f t="shared" si="6"/>
        <v>4</v>
      </c>
      <c r="F33" s="29">
        <f t="shared" si="7"/>
        <v>20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SP-21-0214</v>
      </c>
      <c r="B34" s="29">
        <f t="shared" si="3"/>
        <v>3.8149231115731115</v>
      </c>
      <c r="C34" s="29">
        <f t="shared" si="4"/>
        <v>20</v>
      </c>
      <c r="D34" s="29">
        <f t="shared" si="5"/>
        <v>5</v>
      </c>
      <c r="E34" s="29">
        <f t="shared" si="6"/>
        <v>4</v>
      </c>
      <c r="F34" s="29">
        <f t="shared" si="7"/>
        <v>20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SP-21-0214</v>
      </c>
      <c r="B35" s="29">
        <f t="shared" si="3"/>
        <v>3.8149231115731115</v>
      </c>
      <c r="C35" s="29">
        <f t="shared" si="4"/>
        <v>20</v>
      </c>
      <c r="D35" s="29">
        <f t="shared" si="5"/>
        <v>5</v>
      </c>
      <c r="E35" s="29">
        <f t="shared" si="6"/>
        <v>4</v>
      </c>
      <c r="F35" s="29">
        <f t="shared" si="7"/>
        <v>20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SP-21-0214</v>
      </c>
      <c r="B36" s="29">
        <f t="shared" si="3"/>
        <v>3.8149231115731115</v>
      </c>
      <c r="C36" s="29">
        <f t="shared" si="4"/>
        <v>20</v>
      </c>
      <c r="D36" s="29">
        <f t="shared" si="5"/>
        <v>5</v>
      </c>
      <c r="E36" s="29">
        <f t="shared" si="6"/>
        <v>4</v>
      </c>
      <c r="F36" s="29">
        <f t="shared" si="7"/>
        <v>20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SP-21-0214</v>
      </c>
      <c r="B37" s="29">
        <f t="shared" si="3"/>
        <v>3.8149231115731115</v>
      </c>
      <c r="C37" s="29">
        <f t="shared" si="4"/>
        <v>20</v>
      </c>
      <c r="D37" s="29">
        <f t="shared" si="5"/>
        <v>5</v>
      </c>
      <c r="E37" s="29">
        <f t="shared" si="6"/>
        <v>4</v>
      </c>
      <c r="F37" s="29">
        <f t="shared" si="7"/>
        <v>20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SP-21-0214</v>
      </c>
      <c r="B38" s="29">
        <f t="shared" si="3"/>
        <v>3.8149231115731115</v>
      </c>
      <c r="C38" s="29">
        <f t="shared" si="4"/>
        <v>20</v>
      </c>
      <c r="D38" s="29">
        <f t="shared" si="5"/>
        <v>5</v>
      </c>
      <c r="E38" s="29">
        <f t="shared" si="6"/>
        <v>4</v>
      </c>
      <c r="F38" s="29">
        <f t="shared" si="7"/>
        <v>20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SP-21-0214</v>
      </c>
      <c r="B39" s="29">
        <f t="shared" si="3"/>
        <v>3.8149231115731115</v>
      </c>
      <c r="C39" s="29">
        <f t="shared" si="4"/>
        <v>20</v>
      </c>
      <c r="D39" s="29">
        <f t="shared" si="5"/>
        <v>5</v>
      </c>
      <c r="E39" s="29">
        <f t="shared" si="6"/>
        <v>4</v>
      </c>
      <c r="F39" s="29">
        <f t="shared" si="7"/>
        <v>20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SP-21-0214</v>
      </c>
      <c r="B40" s="29">
        <f t="shared" si="3"/>
        <v>3.8149231115731115</v>
      </c>
      <c r="C40" s="29">
        <f t="shared" si="4"/>
        <v>20</v>
      </c>
      <c r="D40" s="29">
        <f t="shared" si="5"/>
        <v>5</v>
      </c>
      <c r="E40" s="29">
        <f t="shared" si="6"/>
        <v>4</v>
      </c>
      <c r="F40" s="29">
        <f t="shared" si="7"/>
        <v>20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SP-21-0214</v>
      </c>
      <c r="B41" s="34">
        <f t="shared" si="3"/>
        <v>3.8149231115731115</v>
      </c>
      <c r="C41" s="34">
        <f t="shared" si="4"/>
        <v>20</v>
      </c>
      <c r="D41" s="34">
        <f t="shared" si="5"/>
        <v>5</v>
      </c>
      <c r="E41" s="34">
        <f t="shared" si="6"/>
        <v>4</v>
      </c>
      <c r="F41" s="34">
        <f t="shared" si="7"/>
        <v>20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SP-21-0214</v>
      </c>
      <c r="B42" s="29">
        <f t="shared" si="3"/>
        <v>3.8149231115731115</v>
      </c>
      <c r="C42" s="29">
        <f t="shared" si="4"/>
        <v>20</v>
      </c>
      <c r="D42" s="29">
        <f t="shared" si="5"/>
        <v>5</v>
      </c>
      <c r="E42" s="29">
        <f t="shared" si="6"/>
        <v>4</v>
      </c>
      <c r="F42" s="29">
        <f t="shared" si="7"/>
        <v>20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SP-21-0214</v>
      </c>
      <c r="B43" s="29">
        <f t="shared" si="3"/>
        <v>3.8149231115731115</v>
      </c>
      <c r="C43" s="29">
        <f t="shared" si="4"/>
        <v>20</v>
      </c>
      <c r="D43" s="29">
        <f t="shared" si="5"/>
        <v>5</v>
      </c>
      <c r="E43" s="29">
        <f t="shared" si="6"/>
        <v>4</v>
      </c>
      <c r="F43" s="29">
        <f t="shared" si="7"/>
        <v>20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SP-21-0214</v>
      </c>
      <c r="B44" s="29">
        <f t="shared" si="3"/>
        <v>3.8149231115731115</v>
      </c>
      <c r="C44" s="29">
        <f t="shared" si="4"/>
        <v>20</v>
      </c>
      <c r="D44" s="29">
        <f t="shared" si="5"/>
        <v>5</v>
      </c>
      <c r="E44" s="29">
        <f t="shared" si="6"/>
        <v>4</v>
      </c>
      <c r="F44" s="29">
        <f t="shared" si="7"/>
        <v>20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SP-21-0214</v>
      </c>
      <c r="B45" s="29">
        <f t="shared" si="3"/>
        <v>3.8149231115731115</v>
      </c>
      <c r="C45" s="29">
        <f t="shared" si="4"/>
        <v>20</v>
      </c>
      <c r="D45" s="29">
        <f t="shared" si="5"/>
        <v>5</v>
      </c>
      <c r="E45" s="29">
        <f t="shared" si="6"/>
        <v>4</v>
      </c>
      <c r="F45" s="29">
        <f t="shared" si="7"/>
        <v>20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SP-21-0214</v>
      </c>
      <c r="B46" s="29">
        <f t="shared" si="3"/>
        <v>3.8149231115731115</v>
      </c>
      <c r="C46" s="29">
        <f t="shared" si="4"/>
        <v>20</v>
      </c>
      <c r="D46" s="29">
        <f t="shared" si="5"/>
        <v>5</v>
      </c>
      <c r="E46" s="29">
        <f t="shared" si="6"/>
        <v>4</v>
      </c>
      <c r="F46" s="29">
        <f t="shared" si="7"/>
        <v>20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SP-21-0214</v>
      </c>
      <c r="B47" s="29">
        <f t="shared" si="3"/>
        <v>3.8149231115731115</v>
      </c>
      <c r="C47" s="29">
        <f t="shared" si="4"/>
        <v>20</v>
      </c>
      <c r="D47" s="29">
        <f t="shared" si="5"/>
        <v>5</v>
      </c>
      <c r="E47" s="29">
        <f t="shared" si="6"/>
        <v>4</v>
      </c>
      <c r="F47" s="29">
        <f t="shared" si="7"/>
        <v>20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SP-21-0214</v>
      </c>
      <c r="B48" s="29">
        <f t="shared" si="3"/>
        <v>3.8149231115731115</v>
      </c>
      <c r="C48" s="29">
        <f t="shared" si="4"/>
        <v>20</v>
      </c>
      <c r="D48" s="29">
        <f t="shared" si="5"/>
        <v>5</v>
      </c>
      <c r="E48" s="29">
        <f t="shared" si="6"/>
        <v>4</v>
      </c>
      <c r="F48" s="29">
        <f t="shared" si="7"/>
        <v>20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SP-21-0214</v>
      </c>
      <c r="B49" s="29">
        <f t="shared" si="3"/>
        <v>3.8149231115731115</v>
      </c>
      <c r="C49" s="29">
        <f t="shared" si="4"/>
        <v>20</v>
      </c>
      <c r="D49" s="29">
        <f t="shared" si="5"/>
        <v>5</v>
      </c>
      <c r="E49" s="29">
        <f t="shared" si="6"/>
        <v>4</v>
      </c>
      <c r="F49" s="29">
        <f t="shared" si="7"/>
        <v>20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SP-21-0214</v>
      </c>
      <c r="B50" s="29">
        <f t="shared" si="3"/>
        <v>3.8149231115731115</v>
      </c>
      <c r="C50" s="29">
        <f t="shared" si="4"/>
        <v>20</v>
      </c>
      <c r="D50" s="29">
        <f t="shared" si="5"/>
        <v>5</v>
      </c>
      <c r="E50" s="29">
        <f t="shared" si="6"/>
        <v>4</v>
      </c>
      <c r="F50" s="29">
        <f t="shared" si="7"/>
        <v>20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SP-21-0214</v>
      </c>
      <c r="B51" s="29">
        <f t="shared" si="3"/>
        <v>3.8149231115731115</v>
      </c>
      <c r="C51" s="29">
        <f t="shared" si="4"/>
        <v>20</v>
      </c>
      <c r="D51" s="29">
        <f t="shared" si="5"/>
        <v>5</v>
      </c>
      <c r="E51" s="29">
        <f t="shared" si="6"/>
        <v>4</v>
      </c>
      <c r="F51" s="29">
        <f t="shared" si="7"/>
        <v>20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SP-21-0214</v>
      </c>
      <c r="B52" s="29">
        <f t="shared" si="3"/>
        <v>3.8149231115731115</v>
      </c>
      <c r="C52" s="29">
        <f t="shared" si="4"/>
        <v>20</v>
      </c>
      <c r="D52" s="29">
        <f t="shared" si="5"/>
        <v>5</v>
      </c>
      <c r="E52" s="29">
        <f t="shared" si="6"/>
        <v>4</v>
      </c>
      <c r="F52" s="29">
        <f t="shared" si="7"/>
        <v>20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SP-21-0214</v>
      </c>
      <c r="B53" s="29">
        <f t="shared" si="3"/>
        <v>3.8149231115731115</v>
      </c>
      <c r="C53" s="29">
        <f t="shared" si="4"/>
        <v>20</v>
      </c>
      <c r="D53" s="29">
        <f t="shared" si="5"/>
        <v>5</v>
      </c>
      <c r="E53" s="29">
        <f t="shared" si="6"/>
        <v>4</v>
      </c>
      <c r="F53" s="29">
        <f t="shared" si="7"/>
        <v>20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SP-21-0214</v>
      </c>
      <c r="B54" s="29">
        <f t="shared" si="3"/>
        <v>3.8149231115731115</v>
      </c>
      <c r="C54" s="29">
        <f t="shared" si="4"/>
        <v>20</v>
      </c>
      <c r="D54" s="29">
        <f t="shared" si="5"/>
        <v>5</v>
      </c>
      <c r="E54" s="29">
        <f t="shared" si="6"/>
        <v>4</v>
      </c>
      <c r="F54" s="29">
        <f t="shared" si="7"/>
        <v>20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SP-21-0214</v>
      </c>
      <c r="B55" s="29">
        <f t="shared" si="3"/>
        <v>3.8149231115731115</v>
      </c>
      <c r="C55" s="29">
        <f t="shared" si="4"/>
        <v>20</v>
      </c>
      <c r="D55" s="29">
        <f t="shared" si="5"/>
        <v>5</v>
      </c>
      <c r="E55" s="29">
        <f t="shared" si="6"/>
        <v>4</v>
      </c>
      <c r="F55" s="29">
        <f t="shared" si="7"/>
        <v>20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SP-21-0214</v>
      </c>
      <c r="B56" s="29">
        <f t="shared" si="3"/>
        <v>3.8149231115731115</v>
      </c>
      <c r="C56" s="29">
        <f t="shared" si="4"/>
        <v>20</v>
      </c>
      <c r="D56" s="29">
        <f t="shared" si="5"/>
        <v>5</v>
      </c>
      <c r="E56" s="29">
        <f t="shared" si="6"/>
        <v>4</v>
      </c>
      <c r="F56" s="29">
        <f t="shared" si="7"/>
        <v>20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SP-21-0214</v>
      </c>
      <c r="B57" s="29">
        <f t="shared" si="3"/>
        <v>3.8149231115731115</v>
      </c>
      <c r="C57" s="29">
        <f t="shared" si="4"/>
        <v>20</v>
      </c>
      <c r="D57" s="29">
        <f t="shared" si="5"/>
        <v>5</v>
      </c>
      <c r="E57" s="29">
        <f t="shared" si="6"/>
        <v>4</v>
      </c>
      <c r="F57" s="29">
        <f t="shared" si="7"/>
        <v>20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SP-21-0214</v>
      </c>
      <c r="B58" s="29">
        <f t="shared" si="3"/>
        <v>3.8149231115731115</v>
      </c>
      <c r="C58" s="29">
        <f t="shared" si="4"/>
        <v>20</v>
      </c>
      <c r="D58" s="29">
        <f t="shared" si="5"/>
        <v>5</v>
      </c>
      <c r="E58" s="29">
        <f t="shared" si="6"/>
        <v>4</v>
      </c>
      <c r="F58" s="29">
        <f t="shared" si="7"/>
        <v>20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SP-21-0214</v>
      </c>
      <c r="B59" s="29">
        <f t="shared" si="3"/>
        <v>3.8149231115731115</v>
      </c>
      <c r="C59" s="29">
        <f t="shared" si="4"/>
        <v>20</v>
      </c>
      <c r="D59" s="29">
        <f t="shared" si="5"/>
        <v>5</v>
      </c>
      <c r="E59" s="29">
        <f t="shared" si="6"/>
        <v>4</v>
      </c>
      <c r="F59" s="29">
        <f t="shared" si="7"/>
        <v>20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SP-21-0214</v>
      </c>
      <c r="B60" s="29">
        <f t="shared" si="3"/>
        <v>3.8149231115731115</v>
      </c>
      <c r="C60" s="29">
        <f t="shared" si="4"/>
        <v>20</v>
      </c>
      <c r="D60" s="29">
        <f t="shared" si="5"/>
        <v>5</v>
      </c>
      <c r="E60" s="29">
        <f t="shared" si="6"/>
        <v>4</v>
      </c>
      <c r="F60" s="29">
        <f t="shared" si="7"/>
        <v>20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SP-21-0214</v>
      </c>
      <c r="B61" s="34">
        <f t="shared" si="3"/>
        <v>3.8149231115731115</v>
      </c>
      <c r="C61" s="34">
        <f t="shared" si="4"/>
        <v>20</v>
      </c>
      <c r="D61" s="34">
        <f t="shared" si="5"/>
        <v>5</v>
      </c>
      <c r="E61" s="34">
        <f t="shared" si="6"/>
        <v>4</v>
      </c>
      <c r="F61" s="34">
        <f t="shared" si="7"/>
        <v>20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SP-21-0214</v>
      </c>
      <c r="B62" s="29">
        <f t="shared" si="3"/>
        <v>3.8149231115731115</v>
      </c>
      <c r="C62" s="29">
        <f t="shared" si="4"/>
        <v>20</v>
      </c>
      <c r="D62" s="29">
        <f t="shared" si="5"/>
        <v>5</v>
      </c>
      <c r="E62" s="29">
        <f t="shared" si="6"/>
        <v>4</v>
      </c>
      <c r="F62" s="29">
        <f t="shared" si="7"/>
        <v>20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SP-21-0214</v>
      </c>
      <c r="B63" s="29">
        <f t="shared" si="3"/>
        <v>3.8149231115731115</v>
      </c>
      <c r="C63" s="29">
        <f t="shared" si="4"/>
        <v>20</v>
      </c>
      <c r="D63" s="29">
        <f t="shared" si="5"/>
        <v>5</v>
      </c>
      <c r="E63" s="29">
        <f t="shared" si="6"/>
        <v>4</v>
      </c>
      <c r="F63" s="29">
        <f t="shared" si="7"/>
        <v>20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SP-21-0214</v>
      </c>
      <c r="B64" s="29">
        <f t="shared" si="3"/>
        <v>3.8149231115731115</v>
      </c>
      <c r="C64" s="29">
        <f t="shared" si="4"/>
        <v>20</v>
      </c>
      <c r="D64" s="29">
        <f t="shared" si="5"/>
        <v>5</v>
      </c>
      <c r="E64" s="29">
        <f t="shared" si="6"/>
        <v>4</v>
      </c>
      <c r="F64" s="29">
        <f t="shared" si="7"/>
        <v>20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SP-21-0214</v>
      </c>
      <c r="B65" s="29">
        <f t="shared" si="3"/>
        <v>3.8149231115731115</v>
      </c>
      <c r="C65" s="29">
        <f t="shared" si="4"/>
        <v>20</v>
      </c>
      <c r="D65" s="29">
        <f t="shared" si="5"/>
        <v>5</v>
      </c>
      <c r="E65" s="29">
        <f t="shared" si="6"/>
        <v>4</v>
      </c>
      <c r="F65" s="29">
        <f t="shared" si="7"/>
        <v>20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SP-21-0214</v>
      </c>
      <c r="B66" s="29">
        <f t="shared" ref="B66:B81" si="9">$B$2</f>
        <v>3.8149231115731115</v>
      </c>
      <c r="C66" s="29">
        <f t="shared" ref="C66:C81" si="10">$C$2</f>
        <v>20</v>
      </c>
      <c r="D66" s="29">
        <f t="shared" ref="D66:D81" si="11">$D$2</f>
        <v>5</v>
      </c>
      <c r="E66" s="29">
        <f t="shared" ref="E66:E81" si="12">$E$2</f>
        <v>4</v>
      </c>
      <c r="F66" s="29">
        <f t="shared" ref="F66:F81" si="13">$F$2</f>
        <v>20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SP-21-0214</v>
      </c>
      <c r="B67" s="29">
        <f t="shared" si="9"/>
        <v>3.8149231115731115</v>
      </c>
      <c r="C67" s="29">
        <f t="shared" si="10"/>
        <v>20</v>
      </c>
      <c r="D67" s="29">
        <f t="shared" si="11"/>
        <v>5</v>
      </c>
      <c r="E67" s="29">
        <f t="shared" si="12"/>
        <v>4</v>
      </c>
      <c r="F67" s="29">
        <f t="shared" si="13"/>
        <v>20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SP-21-0214</v>
      </c>
      <c r="B68" s="29">
        <f t="shared" si="9"/>
        <v>3.8149231115731115</v>
      </c>
      <c r="C68" s="29">
        <f t="shared" si="10"/>
        <v>20</v>
      </c>
      <c r="D68" s="29">
        <f t="shared" si="11"/>
        <v>5</v>
      </c>
      <c r="E68" s="29">
        <f t="shared" si="12"/>
        <v>4</v>
      </c>
      <c r="F68" s="29">
        <f t="shared" si="13"/>
        <v>20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SP-21-0214</v>
      </c>
      <c r="B69" s="29">
        <f t="shared" si="9"/>
        <v>3.8149231115731115</v>
      </c>
      <c r="C69" s="29">
        <f t="shared" si="10"/>
        <v>20</v>
      </c>
      <c r="D69" s="29">
        <f t="shared" si="11"/>
        <v>5</v>
      </c>
      <c r="E69" s="29">
        <f t="shared" si="12"/>
        <v>4</v>
      </c>
      <c r="F69" s="29">
        <f t="shared" si="13"/>
        <v>20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SP-21-0214</v>
      </c>
      <c r="B70" s="29">
        <f t="shared" si="9"/>
        <v>3.8149231115731115</v>
      </c>
      <c r="C70" s="29">
        <f t="shared" si="10"/>
        <v>20</v>
      </c>
      <c r="D70" s="29">
        <f t="shared" si="11"/>
        <v>5</v>
      </c>
      <c r="E70" s="29">
        <f t="shared" si="12"/>
        <v>4</v>
      </c>
      <c r="F70" s="29">
        <f t="shared" si="13"/>
        <v>20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SP-21-0214</v>
      </c>
      <c r="B71" s="29">
        <f t="shared" si="9"/>
        <v>3.8149231115731115</v>
      </c>
      <c r="C71" s="29">
        <f t="shared" si="10"/>
        <v>20</v>
      </c>
      <c r="D71" s="29">
        <f t="shared" si="11"/>
        <v>5</v>
      </c>
      <c r="E71" s="29">
        <f t="shared" si="12"/>
        <v>4</v>
      </c>
      <c r="F71" s="29">
        <f t="shared" si="13"/>
        <v>20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SP-21-0214</v>
      </c>
      <c r="B72" s="29">
        <f t="shared" si="9"/>
        <v>3.8149231115731115</v>
      </c>
      <c r="C72" s="29">
        <f t="shared" si="10"/>
        <v>20</v>
      </c>
      <c r="D72" s="29">
        <f t="shared" si="11"/>
        <v>5</v>
      </c>
      <c r="E72" s="29">
        <f t="shared" si="12"/>
        <v>4</v>
      </c>
      <c r="F72" s="29">
        <f t="shared" si="13"/>
        <v>20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SP-21-0214</v>
      </c>
      <c r="B73" s="29">
        <f t="shared" si="9"/>
        <v>3.8149231115731115</v>
      </c>
      <c r="C73" s="29">
        <f t="shared" si="10"/>
        <v>20</v>
      </c>
      <c r="D73" s="29">
        <f t="shared" si="11"/>
        <v>5</v>
      </c>
      <c r="E73" s="29">
        <f t="shared" si="12"/>
        <v>4</v>
      </c>
      <c r="F73" s="29">
        <f t="shared" si="13"/>
        <v>20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SP-21-0214</v>
      </c>
      <c r="B74" s="29">
        <f t="shared" si="9"/>
        <v>3.8149231115731115</v>
      </c>
      <c r="C74" s="29">
        <f t="shared" si="10"/>
        <v>20</v>
      </c>
      <c r="D74" s="29">
        <f t="shared" si="11"/>
        <v>5</v>
      </c>
      <c r="E74" s="29">
        <f t="shared" si="12"/>
        <v>4</v>
      </c>
      <c r="F74" s="29">
        <f t="shared" si="13"/>
        <v>20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SP-21-0214</v>
      </c>
      <c r="B75" s="29">
        <f t="shared" si="9"/>
        <v>3.8149231115731115</v>
      </c>
      <c r="C75" s="29">
        <f t="shared" si="10"/>
        <v>20</v>
      </c>
      <c r="D75" s="29">
        <f t="shared" si="11"/>
        <v>5</v>
      </c>
      <c r="E75" s="29">
        <f t="shared" si="12"/>
        <v>4</v>
      </c>
      <c r="F75" s="29">
        <f t="shared" si="13"/>
        <v>20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SP-21-0214</v>
      </c>
      <c r="B76" s="29">
        <f t="shared" si="9"/>
        <v>3.8149231115731115</v>
      </c>
      <c r="C76" s="29">
        <f t="shared" si="10"/>
        <v>20</v>
      </c>
      <c r="D76" s="29">
        <f t="shared" si="11"/>
        <v>5</v>
      </c>
      <c r="E76" s="29">
        <f t="shared" si="12"/>
        <v>4</v>
      </c>
      <c r="F76" s="29">
        <f t="shared" si="13"/>
        <v>20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SP-21-0214</v>
      </c>
      <c r="B77" s="29">
        <f t="shared" si="9"/>
        <v>3.8149231115731115</v>
      </c>
      <c r="C77" s="29">
        <f t="shared" si="10"/>
        <v>20</v>
      </c>
      <c r="D77" s="29">
        <f t="shared" si="11"/>
        <v>5</v>
      </c>
      <c r="E77" s="29">
        <f t="shared" si="12"/>
        <v>4</v>
      </c>
      <c r="F77" s="29">
        <f t="shared" si="13"/>
        <v>20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SP-21-0214</v>
      </c>
      <c r="B78" s="29">
        <f t="shared" si="9"/>
        <v>3.8149231115731115</v>
      </c>
      <c r="C78" s="29">
        <f t="shared" si="10"/>
        <v>20</v>
      </c>
      <c r="D78" s="29">
        <f t="shared" si="11"/>
        <v>5</v>
      </c>
      <c r="E78" s="29">
        <f t="shared" si="12"/>
        <v>4</v>
      </c>
      <c r="F78" s="29">
        <f t="shared" si="13"/>
        <v>20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SP-21-0214</v>
      </c>
      <c r="B79" s="29">
        <f t="shared" si="9"/>
        <v>3.8149231115731115</v>
      </c>
      <c r="C79" s="29">
        <f t="shared" si="10"/>
        <v>20</v>
      </c>
      <c r="D79" s="29">
        <f t="shared" si="11"/>
        <v>5</v>
      </c>
      <c r="E79" s="29">
        <f t="shared" si="12"/>
        <v>4</v>
      </c>
      <c r="F79" s="29">
        <f t="shared" si="13"/>
        <v>20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SP-21-0214</v>
      </c>
      <c r="B80" s="29">
        <f t="shared" si="9"/>
        <v>3.8149231115731115</v>
      </c>
      <c r="C80" s="29">
        <f t="shared" si="10"/>
        <v>20</v>
      </c>
      <c r="D80" s="29">
        <f t="shared" si="11"/>
        <v>5</v>
      </c>
      <c r="E80" s="29">
        <f t="shared" si="12"/>
        <v>4</v>
      </c>
      <c r="F80" s="29">
        <f t="shared" si="13"/>
        <v>20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SP-21-0214</v>
      </c>
      <c r="B81" s="29">
        <f t="shared" si="9"/>
        <v>3.8149231115731115</v>
      </c>
      <c r="C81" s="29">
        <f t="shared" si="10"/>
        <v>20</v>
      </c>
      <c r="D81" s="29">
        <f t="shared" si="11"/>
        <v>5</v>
      </c>
      <c r="E81" s="29">
        <f t="shared" si="12"/>
        <v>4</v>
      </c>
      <c r="F81" s="29">
        <f t="shared" si="13"/>
        <v>20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BFC06-8E9F-4CAA-A3A3-F34C4EBAED37}">
  <dimension ref="A1:J23"/>
  <sheetViews>
    <sheetView topLeftCell="C1" workbookViewId="0">
      <selection activeCell="F14" sqref="F14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8.14062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DOLIOLIDA!U9</f>
        <v>SP-21-0214</v>
      </c>
      <c r="B2" s="26">
        <f>DOLIOLIDA!J$13</f>
        <v>3.8149231115731115</v>
      </c>
      <c r="C2" s="26" t="e">
        <f>#REF!</f>
        <v>#REF!</v>
      </c>
      <c r="D2" s="26" t="e">
        <f>#REF!</f>
        <v>#REF!</v>
      </c>
      <c r="E2" s="26" t="e">
        <f>#REF!</f>
        <v>#REF!</v>
      </c>
      <c r="F2" s="26" t="e">
        <f>E2*D2</f>
        <v>#REF!</v>
      </c>
      <c r="G2" s="26" t="str">
        <f>DOLIOLIDA!A18</f>
        <v>Doliolida</v>
      </c>
      <c r="H2" s="26">
        <f>DOLIOLIDA!H18</f>
        <v>2</v>
      </c>
      <c r="I2" s="31">
        <f>((H2/B2)*2)</f>
        <v>1.0485139236136716</v>
      </c>
      <c r="J2" s="28">
        <f>((H2/B2)*2)*1000</f>
        <v>1048.5139236136715</v>
      </c>
    </row>
    <row r="3" spans="1:10" x14ac:dyDescent="0.2">
      <c r="B3" s="26">
        <f>DOLIOLIDA!J$13</f>
        <v>3.8149231115731115</v>
      </c>
      <c r="F3" s="26">
        <f t="shared" ref="F3:F21" si="0">E3*D3</f>
        <v>0</v>
      </c>
      <c r="G3" s="26">
        <f>DOLIOLIDA!A19</f>
        <v>0</v>
      </c>
      <c r="H3" s="26">
        <f>DOLIOLIDA!H19</f>
        <v>0</v>
      </c>
      <c r="I3" s="31">
        <f t="shared" ref="I3:I21" si="1">((H3/B3)*2)</f>
        <v>0</v>
      </c>
      <c r="J3" s="28">
        <f t="shared" ref="J3:J21" si="2">((H3/B3)*2)*1000</f>
        <v>0</v>
      </c>
    </row>
    <row r="4" spans="1:10" x14ac:dyDescent="0.2">
      <c r="B4" s="26">
        <f>DOLIOLIDA!J$13</f>
        <v>3.8149231115731115</v>
      </c>
      <c r="F4" s="26">
        <f t="shared" si="0"/>
        <v>0</v>
      </c>
      <c r="G4" s="26">
        <f>DOLIOLIDA!A20</f>
        <v>0</v>
      </c>
      <c r="H4" s="26">
        <f>DOLIOLIDA!H20</f>
        <v>0</v>
      </c>
      <c r="I4" s="31">
        <f t="shared" si="1"/>
        <v>0</v>
      </c>
      <c r="J4" s="28">
        <f t="shared" si="2"/>
        <v>0</v>
      </c>
    </row>
    <row r="5" spans="1:10" x14ac:dyDescent="0.2">
      <c r="B5" s="26">
        <f>DOLIOLIDA!J$13</f>
        <v>3.8149231115731115</v>
      </c>
      <c r="F5" s="26">
        <f t="shared" si="0"/>
        <v>0</v>
      </c>
      <c r="G5" s="26">
        <f>DOLIOLIDA!A21</f>
        <v>0</v>
      </c>
      <c r="H5" s="26">
        <f>DOLIOLIDA!H21</f>
        <v>0</v>
      </c>
      <c r="I5" s="31">
        <f t="shared" si="1"/>
        <v>0</v>
      </c>
      <c r="J5" s="28">
        <f t="shared" si="2"/>
        <v>0</v>
      </c>
    </row>
    <row r="6" spans="1:10" x14ac:dyDescent="0.2">
      <c r="B6" s="26">
        <f>DOLIOLIDA!J$13</f>
        <v>3.8149231115731115</v>
      </c>
      <c r="F6" s="26">
        <f t="shared" si="0"/>
        <v>0</v>
      </c>
      <c r="G6" s="26">
        <f>DOLIOLIDA!A22</f>
        <v>0</v>
      </c>
      <c r="H6" s="26">
        <f>DOLIOLIDA!H22</f>
        <v>0</v>
      </c>
      <c r="I6" s="31">
        <f t="shared" si="1"/>
        <v>0</v>
      </c>
      <c r="J6" s="28">
        <f t="shared" si="2"/>
        <v>0</v>
      </c>
    </row>
    <row r="7" spans="1:10" x14ac:dyDescent="0.2">
      <c r="B7" s="26">
        <f>DOLIOLIDA!J$13</f>
        <v>3.8149231115731115</v>
      </c>
      <c r="F7" s="26">
        <f t="shared" si="0"/>
        <v>0</v>
      </c>
      <c r="G7" s="26">
        <f>DOLIOLIDA!A23</f>
        <v>0</v>
      </c>
      <c r="H7" s="26">
        <f>DOLIOLIDA!H23</f>
        <v>0</v>
      </c>
      <c r="I7" s="31">
        <f t="shared" si="1"/>
        <v>0</v>
      </c>
      <c r="J7" s="28">
        <f t="shared" si="2"/>
        <v>0</v>
      </c>
    </row>
    <row r="8" spans="1:10" x14ac:dyDescent="0.2">
      <c r="B8" s="26">
        <f>DOLIOLIDA!J$13</f>
        <v>3.8149231115731115</v>
      </c>
      <c r="F8" s="26">
        <f t="shared" si="0"/>
        <v>0</v>
      </c>
      <c r="G8" s="26">
        <f>DOLIOLIDA!A24</f>
        <v>0</v>
      </c>
      <c r="H8" s="26">
        <f>DOLIOLIDA!H24</f>
        <v>0</v>
      </c>
      <c r="I8" s="31">
        <f t="shared" si="1"/>
        <v>0</v>
      </c>
      <c r="J8" s="28">
        <f t="shared" si="2"/>
        <v>0</v>
      </c>
    </row>
    <row r="9" spans="1:10" x14ac:dyDescent="0.2">
      <c r="B9" s="26">
        <f>DOLIOLIDA!J$13</f>
        <v>3.8149231115731115</v>
      </c>
      <c r="F9" s="26">
        <f t="shared" si="0"/>
        <v>0</v>
      </c>
      <c r="G9" s="26">
        <f>DOLIOLIDA!A25</f>
        <v>0</v>
      </c>
      <c r="H9" s="26">
        <f>DOLIOLIDA!H25</f>
        <v>0</v>
      </c>
      <c r="I9" s="31">
        <f t="shared" si="1"/>
        <v>0</v>
      </c>
      <c r="J9" s="28">
        <f t="shared" si="2"/>
        <v>0</v>
      </c>
    </row>
    <row r="10" spans="1:10" x14ac:dyDescent="0.2">
      <c r="B10" s="26">
        <f>DOLIOLIDA!J$13</f>
        <v>3.8149231115731115</v>
      </c>
      <c r="F10" s="26">
        <f t="shared" si="0"/>
        <v>0</v>
      </c>
      <c r="G10" s="26">
        <f>DOLIOLIDA!A26</f>
        <v>0</v>
      </c>
      <c r="H10" s="26">
        <f>DOLIOLIDA!H26</f>
        <v>0</v>
      </c>
      <c r="I10" s="31">
        <f t="shared" si="1"/>
        <v>0</v>
      </c>
      <c r="J10" s="28">
        <f t="shared" si="2"/>
        <v>0</v>
      </c>
    </row>
    <row r="11" spans="1:10" x14ac:dyDescent="0.2">
      <c r="B11" s="26">
        <f>DOLIOLIDA!J$13</f>
        <v>3.8149231115731115</v>
      </c>
      <c r="F11" s="26">
        <f t="shared" si="0"/>
        <v>0</v>
      </c>
      <c r="G11" s="26">
        <f>DOLIOLIDA!A27</f>
        <v>0</v>
      </c>
      <c r="H11" s="26">
        <f>DOLIOLIDA!H27</f>
        <v>0</v>
      </c>
      <c r="I11" s="31">
        <f t="shared" si="1"/>
        <v>0</v>
      </c>
      <c r="J11" s="28">
        <f t="shared" si="2"/>
        <v>0</v>
      </c>
    </row>
    <row r="12" spans="1:10" x14ac:dyDescent="0.2">
      <c r="B12" s="26">
        <f>DOLIOLIDA!J$13</f>
        <v>3.8149231115731115</v>
      </c>
      <c r="F12" s="26">
        <f t="shared" si="0"/>
        <v>0</v>
      </c>
      <c r="G12" s="26">
        <f>DOLIOLIDA!A28</f>
        <v>0</v>
      </c>
      <c r="H12" s="26">
        <f>DOLIOLIDA!H28</f>
        <v>0</v>
      </c>
      <c r="I12" s="31">
        <f t="shared" si="1"/>
        <v>0</v>
      </c>
      <c r="J12" s="28">
        <f t="shared" si="2"/>
        <v>0</v>
      </c>
    </row>
    <row r="13" spans="1:10" x14ac:dyDescent="0.2">
      <c r="B13" s="26">
        <f>DOLIOLIDA!J$13</f>
        <v>3.8149231115731115</v>
      </c>
      <c r="F13" s="26">
        <f t="shared" si="0"/>
        <v>0</v>
      </c>
      <c r="G13" s="26">
        <f>DOLIOLIDA!A29</f>
        <v>0</v>
      </c>
      <c r="H13" s="26">
        <f>DOLIOLIDA!H29</f>
        <v>0</v>
      </c>
      <c r="I13" s="31">
        <f t="shared" si="1"/>
        <v>0</v>
      </c>
      <c r="J13" s="28">
        <f t="shared" si="2"/>
        <v>0</v>
      </c>
    </row>
    <row r="14" spans="1:10" x14ac:dyDescent="0.2">
      <c r="B14" s="26">
        <f>DOLIOLIDA!J$13</f>
        <v>3.8149231115731115</v>
      </c>
      <c r="F14" s="26">
        <f t="shared" si="0"/>
        <v>0</v>
      </c>
      <c r="G14" s="26">
        <f>DOLIOLIDA!A30</f>
        <v>0</v>
      </c>
      <c r="H14" s="26">
        <f>DOLIOLIDA!H30</f>
        <v>0</v>
      </c>
      <c r="I14" s="31">
        <f t="shared" si="1"/>
        <v>0</v>
      </c>
      <c r="J14" s="28">
        <f t="shared" si="2"/>
        <v>0</v>
      </c>
    </row>
    <row r="15" spans="1:10" x14ac:dyDescent="0.2">
      <c r="B15" s="26">
        <f>DOLIOLIDA!J$13</f>
        <v>3.8149231115731115</v>
      </c>
      <c r="F15" s="26">
        <f t="shared" si="0"/>
        <v>0</v>
      </c>
      <c r="G15" s="26">
        <f>DOLIOLIDA!A31</f>
        <v>0</v>
      </c>
      <c r="H15" s="26">
        <f>DOLIOLIDA!H31</f>
        <v>0</v>
      </c>
      <c r="I15" s="31">
        <f t="shared" si="1"/>
        <v>0</v>
      </c>
      <c r="J15" s="28">
        <f t="shared" si="2"/>
        <v>0</v>
      </c>
    </row>
    <row r="16" spans="1:10" x14ac:dyDescent="0.2">
      <c r="B16" s="26">
        <f>DOLIOLIDA!J$13</f>
        <v>3.8149231115731115</v>
      </c>
      <c r="F16" s="26">
        <f t="shared" si="0"/>
        <v>0</v>
      </c>
      <c r="G16" s="26">
        <f>DOLIOLIDA!A32</f>
        <v>0</v>
      </c>
      <c r="H16" s="26">
        <f>DOLIOLIDA!H32</f>
        <v>0</v>
      </c>
      <c r="I16" s="31">
        <f t="shared" si="1"/>
        <v>0</v>
      </c>
      <c r="J16" s="28">
        <f t="shared" si="2"/>
        <v>0</v>
      </c>
    </row>
    <row r="17" spans="2:10" x14ac:dyDescent="0.2">
      <c r="B17" s="26">
        <f>DOLIOLIDA!J$13</f>
        <v>3.8149231115731115</v>
      </c>
      <c r="F17" s="26">
        <f t="shared" si="0"/>
        <v>0</v>
      </c>
      <c r="G17" s="26">
        <f>DOLIOLIDA!A33</f>
        <v>0</v>
      </c>
      <c r="H17" s="26">
        <f>DOLIOLIDA!H33</f>
        <v>0</v>
      </c>
      <c r="I17" s="31">
        <f t="shared" si="1"/>
        <v>0</v>
      </c>
      <c r="J17" s="28">
        <f t="shared" si="2"/>
        <v>0</v>
      </c>
    </row>
    <row r="18" spans="2:10" x14ac:dyDescent="0.2">
      <c r="B18" s="26">
        <f>DOLIOLIDA!J$13</f>
        <v>3.8149231115731115</v>
      </c>
      <c r="F18" s="26">
        <f t="shared" si="0"/>
        <v>0</v>
      </c>
      <c r="G18" s="26">
        <f>DOLIOLIDA!A34</f>
        <v>0</v>
      </c>
      <c r="H18" s="26">
        <f>DOLIOLIDA!H34</f>
        <v>0</v>
      </c>
      <c r="I18" s="31">
        <f t="shared" si="1"/>
        <v>0</v>
      </c>
      <c r="J18" s="28">
        <f t="shared" si="2"/>
        <v>0</v>
      </c>
    </row>
    <row r="19" spans="2:10" x14ac:dyDescent="0.2">
      <c r="B19" s="26">
        <f>DOLIOLIDA!J$13</f>
        <v>3.8149231115731115</v>
      </c>
      <c r="F19" s="26">
        <f t="shared" si="0"/>
        <v>0</v>
      </c>
      <c r="G19" s="26">
        <f>DOLIOLIDA!A35</f>
        <v>0</v>
      </c>
      <c r="H19" s="26">
        <f>DOLIOLIDA!H35</f>
        <v>0</v>
      </c>
      <c r="I19" s="31">
        <f t="shared" si="1"/>
        <v>0</v>
      </c>
      <c r="J19" s="28">
        <f t="shared" si="2"/>
        <v>0</v>
      </c>
    </row>
    <row r="20" spans="2:10" x14ac:dyDescent="0.2">
      <c r="B20" s="26">
        <f>DOLIOLIDA!J$13</f>
        <v>3.8149231115731115</v>
      </c>
      <c r="F20" s="26">
        <f t="shared" si="0"/>
        <v>0</v>
      </c>
      <c r="G20" s="26">
        <f>DOLIOLIDA!A36</f>
        <v>0</v>
      </c>
      <c r="H20" s="26">
        <f>DOLIOLIDA!H36</f>
        <v>0</v>
      </c>
      <c r="I20" s="31">
        <f t="shared" si="1"/>
        <v>0</v>
      </c>
      <c r="J20" s="28">
        <f t="shared" si="2"/>
        <v>0</v>
      </c>
    </row>
    <row r="21" spans="2:10" x14ac:dyDescent="0.2">
      <c r="B21" s="26">
        <f>DOLIOLIDA!J$13</f>
        <v>3.8149231115731115</v>
      </c>
      <c r="F21" s="26">
        <f t="shared" si="0"/>
        <v>0</v>
      </c>
      <c r="G21" s="26">
        <f>DOLIOLIDA!A37</f>
        <v>0</v>
      </c>
      <c r="H21" s="26">
        <f>DOLIOLIDA!H37</f>
        <v>0</v>
      </c>
      <c r="I21" s="31">
        <f t="shared" si="1"/>
        <v>0</v>
      </c>
      <c r="J21" s="28">
        <f t="shared" si="2"/>
        <v>0</v>
      </c>
    </row>
    <row r="22" spans="2:10" x14ac:dyDescent="0.2">
      <c r="G22" s="26" t="e">
        <f>#REF!</f>
        <v>#REF!</v>
      </c>
    </row>
    <row r="23" spans="2:10" x14ac:dyDescent="0.2">
      <c r="G23" s="26" t="e">
        <f>#REF!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Densidad de Grupos</vt:lpstr>
      <vt:lpstr>DOLIOLIDA</vt:lpstr>
      <vt:lpstr>Cálculos_Densidad_De_Grupos</vt:lpstr>
      <vt:lpstr>Calculos_DOLIOLIDA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2022-02-27T20:40:15Z</dcterms:modified>
</cp:coreProperties>
</file>